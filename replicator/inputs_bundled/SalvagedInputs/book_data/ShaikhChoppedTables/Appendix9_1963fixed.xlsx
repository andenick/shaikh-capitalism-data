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bprod1-my.sharepoint.com/personal/nicholas_anderson_ny_frb_org/Documents/Desktop/ShaikhChopped/"/>
    </mc:Choice>
  </mc:AlternateContent>
  <xr:revisionPtr revIDLastSave="21" documentId="8_{07C3182C-2F8F-4E12-9DB5-2DD4B24A060E}" xr6:coauthVersionLast="47" xr6:coauthVersionMax="47" xr10:uidLastSave="{AC16A490-44BA-4BA4-BD4F-210F1D66DE2C}"/>
  <bookViews>
    <workbookView xWindow="-28920" yWindow="-300" windowWidth="29040" windowHeight="15720" xr2:uid="{6DE619B1-0DAF-4F84-A6F4-323AD47A6A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3" i="1" l="1"/>
  <c r="K73" i="1"/>
  <c r="J73" i="1"/>
  <c r="L72" i="1"/>
  <c r="K72" i="1"/>
  <c r="J72" i="1"/>
  <c r="L71" i="1"/>
  <c r="K71" i="1"/>
  <c r="J71" i="1"/>
  <c r="L70" i="1"/>
  <c r="K70" i="1"/>
  <c r="J70" i="1"/>
  <c r="L69" i="1"/>
  <c r="K69" i="1"/>
  <c r="J69" i="1"/>
  <c r="L68" i="1"/>
  <c r="K68" i="1"/>
  <c r="J68" i="1"/>
  <c r="L67" i="1"/>
  <c r="K67" i="1"/>
  <c r="J67" i="1"/>
  <c r="L66" i="1"/>
  <c r="K66" i="1"/>
  <c r="J66" i="1"/>
  <c r="L65" i="1"/>
  <c r="K65" i="1"/>
  <c r="J65" i="1"/>
  <c r="L64" i="1"/>
  <c r="K64" i="1"/>
  <c r="J64" i="1"/>
  <c r="L63" i="1"/>
  <c r="K63" i="1"/>
  <c r="J63" i="1"/>
  <c r="L62" i="1"/>
  <c r="K62" i="1"/>
  <c r="J62" i="1"/>
  <c r="L61" i="1"/>
  <c r="K61" i="1"/>
  <c r="J61" i="1"/>
  <c r="L60" i="1"/>
  <c r="K60" i="1"/>
  <c r="J60" i="1"/>
  <c r="L59" i="1"/>
  <c r="K59" i="1"/>
  <c r="J59" i="1"/>
  <c r="L58" i="1"/>
  <c r="K58" i="1"/>
  <c r="J58" i="1"/>
  <c r="L57" i="1"/>
  <c r="K57" i="1"/>
  <c r="J57" i="1"/>
  <c r="L56" i="1"/>
  <c r="K56" i="1"/>
  <c r="J56" i="1"/>
  <c r="L55" i="1"/>
  <c r="K55" i="1"/>
  <c r="J55" i="1"/>
  <c r="L54" i="1"/>
  <c r="K54" i="1"/>
  <c r="J54" i="1"/>
  <c r="L53" i="1"/>
  <c r="K53" i="1"/>
  <c r="J53" i="1"/>
  <c r="L52" i="1"/>
  <c r="K52" i="1"/>
  <c r="J52" i="1"/>
  <c r="L51" i="1"/>
  <c r="K51" i="1"/>
  <c r="J51" i="1"/>
  <c r="L50" i="1"/>
  <c r="K50" i="1"/>
  <c r="J50" i="1"/>
  <c r="L49" i="1"/>
  <c r="K49" i="1"/>
  <c r="J49" i="1"/>
  <c r="L48" i="1"/>
  <c r="K48" i="1"/>
  <c r="J48" i="1"/>
  <c r="L47" i="1"/>
  <c r="K47" i="1"/>
  <c r="J47" i="1"/>
  <c r="L46" i="1"/>
  <c r="K46" i="1"/>
  <c r="J46" i="1"/>
  <c r="L45" i="1"/>
  <c r="K45" i="1"/>
  <c r="J45" i="1"/>
  <c r="L44" i="1"/>
  <c r="K44" i="1"/>
  <c r="J44" i="1"/>
  <c r="L43" i="1"/>
  <c r="K43" i="1"/>
  <c r="J43" i="1"/>
  <c r="L42" i="1"/>
  <c r="K42" i="1"/>
  <c r="J42" i="1"/>
  <c r="L41" i="1"/>
  <c r="K41" i="1"/>
  <c r="J41" i="1"/>
  <c r="L40" i="1"/>
  <c r="K40" i="1"/>
  <c r="J40" i="1"/>
  <c r="L39" i="1"/>
  <c r="K39" i="1"/>
  <c r="J39" i="1"/>
  <c r="L38" i="1"/>
  <c r="K38" i="1"/>
  <c r="J38" i="1"/>
  <c r="L37" i="1"/>
  <c r="K37" i="1"/>
  <c r="J37" i="1"/>
  <c r="L36" i="1"/>
  <c r="K36" i="1"/>
  <c r="J36" i="1"/>
  <c r="L35" i="1"/>
  <c r="K35" i="1"/>
  <c r="J35" i="1"/>
  <c r="L34" i="1"/>
  <c r="K34" i="1"/>
  <c r="J34" i="1"/>
  <c r="L33" i="1"/>
  <c r="K33" i="1"/>
  <c r="J33" i="1"/>
  <c r="L32" i="1"/>
  <c r="K32" i="1"/>
  <c r="J32" i="1"/>
  <c r="L31" i="1"/>
  <c r="K31" i="1"/>
  <c r="J31" i="1"/>
  <c r="L30" i="1"/>
  <c r="K30" i="1"/>
  <c r="J30" i="1"/>
  <c r="L29" i="1"/>
  <c r="K29" i="1"/>
  <c r="J29" i="1"/>
  <c r="L28" i="1"/>
  <c r="K28" i="1"/>
  <c r="J28" i="1"/>
  <c r="L27" i="1"/>
  <c r="K27" i="1"/>
  <c r="J27" i="1"/>
  <c r="L26" i="1"/>
  <c r="K26" i="1"/>
  <c r="J26" i="1"/>
  <c r="L25" i="1"/>
  <c r="K25" i="1"/>
  <c r="J25" i="1"/>
  <c r="L24" i="1"/>
  <c r="K24" i="1"/>
  <c r="J24" i="1"/>
  <c r="L23" i="1"/>
  <c r="K23" i="1"/>
  <c r="J23" i="1"/>
  <c r="L22" i="1"/>
  <c r="K22" i="1"/>
  <c r="J22" i="1"/>
  <c r="L21" i="1"/>
  <c r="K21" i="1"/>
  <c r="J21" i="1"/>
  <c r="L20" i="1"/>
  <c r="K20" i="1"/>
  <c r="J20" i="1"/>
  <c r="L19" i="1"/>
  <c r="K19" i="1"/>
  <c r="J19" i="1"/>
  <c r="L18" i="1"/>
  <c r="K18" i="1"/>
  <c r="J18" i="1"/>
  <c r="L17" i="1"/>
  <c r="K17" i="1"/>
  <c r="J17" i="1"/>
  <c r="L16" i="1"/>
  <c r="K16" i="1"/>
  <c r="J16" i="1"/>
  <c r="L15" i="1"/>
  <c r="K15" i="1"/>
  <c r="J15" i="1"/>
  <c r="L14" i="1"/>
  <c r="K14" i="1"/>
  <c r="J14" i="1"/>
  <c r="L13" i="1"/>
  <c r="K13" i="1"/>
  <c r="J13" i="1"/>
  <c r="L12" i="1"/>
  <c r="K12" i="1"/>
  <c r="J12" i="1"/>
  <c r="L11" i="1"/>
  <c r="K11" i="1"/>
  <c r="J11" i="1"/>
  <c r="L10" i="1"/>
  <c r="K10" i="1"/>
  <c r="J10" i="1"/>
  <c r="L9" i="1"/>
  <c r="K9" i="1"/>
  <c r="J9" i="1"/>
  <c r="L8" i="1"/>
  <c r="K8" i="1"/>
  <c r="J8" i="1"/>
  <c r="L7" i="1"/>
  <c r="K7" i="1"/>
  <c r="J7" i="1"/>
  <c r="L6" i="1"/>
  <c r="K6" i="1"/>
  <c r="J6" i="1"/>
  <c r="L5" i="1"/>
  <c r="K5" i="1"/>
  <c r="J5" i="1"/>
  <c r="L4" i="1"/>
  <c r="K4" i="1"/>
  <c r="J4" i="1"/>
  <c r="L3" i="1"/>
  <c r="K3" i="1"/>
  <c r="J3" i="1"/>
</calcChain>
</file>

<file path=xl/sharedStrings.xml><?xml version="1.0" encoding="utf-8"?>
<sst xmlns="http://schemas.openxmlformats.org/spreadsheetml/2006/main" count="19" uniqueCount="19">
  <si>
    <t>Ams1_63.xmcd</t>
  </si>
  <si>
    <t>Total Market Prices</t>
  </si>
  <si>
    <t>Total Direct Prices</t>
  </si>
  <si>
    <t>qtpmtv = tpmr/tvr</t>
  </si>
  <si>
    <t>qtp(r)tv= tpr(r)/tvr</t>
  </si>
  <si>
    <t>qtpmtp(r) = tpmr/tpr(r)</t>
  </si>
  <si>
    <t>Index</t>
  </si>
  <si>
    <t>tpm</t>
  </si>
  <si>
    <t>td</t>
  </si>
  <si>
    <t>tv</t>
  </si>
  <si>
    <t>tp(r)</t>
  </si>
  <si>
    <t>tpmr = tpm/TPM</t>
  </si>
  <si>
    <t>tvr = tv/TV</t>
  </si>
  <si>
    <t>tdr = td/TD</t>
  </si>
  <si>
    <t>tp(r) = tp(r)/TP(r)</t>
  </si>
  <si>
    <t>qtpmtv67</t>
  </si>
  <si>
    <t>qtpoptv67</t>
  </si>
  <si>
    <t>qtpmtpop67</t>
  </si>
  <si>
    <t>r observed = 0.210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</si>
</sst>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1A289-5752-474B-9ECC-0C6362C6366B}">
  <dimension ref="A1:AH73"/>
  <sheetViews>
    <sheetView tabSelected="1" workbookViewId="0"/>
  </sheetViews>
  <sheetFormatPr defaultRowHeight="15" x14ac:dyDescent="0.25"/>
  <cols>
    <col min="2" max="2" width="10.140625" bestFit="1" customWidth="1"/>
    <col min="3" max="3" width="9.28515625" bestFit="1" customWidth="1"/>
    <col min="4" max="4" width="10.140625" bestFit="1" customWidth="1"/>
    <col min="5" max="9" width="9.28515625" bestFit="1" customWidth="1"/>
  </cols>
  <sheetData>
    <row r="1" spans="1:34" x14ac:dyDescent="0.25">
      <c r="A1" t="s">
        <v>0</v>
      </c>
      <c r="B1" t="s">
        <v>1</v>
      </c>
      <c r="C1" t="s">
        <v>2</v>
      </c>
      <c r="E1" t="s">
        <v>18</v>
      </c>
      <c r="J1" t="s">
        <v>3</v>
      </c>
      <c r="K1" t="s">
        <v>4</v>
      </c>
      <c r="L1" t="s">
        <v>5</v>
      </c>
    </row>
    <row r="2" spans="1:34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</row>
    <row r="3" spans="1:34" x14ac:dyDescent="0.25">
      <c r="A3">
        <v>1</v>
      </c>
      <c r="B3" s="1">
        <v>53239.97</v>
      </c>
      <c r="C3" s="1">
        <v>59749.040645499997</v>
      </c>
      <c r="D3" s="1">
        <v>13215.4051347</v>
      </c>
      <c r="E3" s="1">
        <v>16357.2803456</v>
      </c>
      <c r="F3" s="1">
        <v>5.8350699999999998E-2</v>
      </c>
      <c r="G3" s="1">
        <v>6.5484600000000004E-2</v>
      </c>
      <c r="H3" s="1">
        <v>6.5484600000000004E-2</v>
      </c>
      <c r="I3" s="1">
        <v>7.2505399999999998E-2</v>
      </c>
      <c r="J3" s="1">
        <f>+F3/G3</f>
        <v>0.89105988278160053</v>
      </c>
      <c r="K3" s="1">
        <f>+I3/G3</f>
        <v>1.1072129935893325</v>
      </c>
      <c r="L3" s="1">
        <f>+F3/I3</f>
        <v>0.80477729934597975</v>
      </c>
      <c r="Z3" s="1"/>
      <c r="AA3" s="1"/>
      <c r="AB3" s="1"/>
      <c r="AC3" s="1"/>
      <c r="AD3" s="1"/>
      <c r="AE3" s="1"/>
      <c r="AF3" s="1"/>
      <c r="AG3" s="1"/>
      <c r="AH3" s="1"/>
    </row>
    <row r="4" spans="1:34" x14ac:dyDescent="0.25">
      <c r="A4">
        <v>2</v>
      </c>
      <c r="B4" s="1">
        <v>937.3306</v>
      </c>
      <c r="C4" s="1">
        <v>660.51185459999999</v>
      </c>
      <c r="D4" s="1">
        <v>146.09325369999999</v>
      </c>
      <c r="E4" s="1">
        <v>208.52335049999999</v>
      </c>
      <c r="F4" s="1">
        <v>1.0273000000000001E-3</v>
      </c>
      <c r="G4" s="1">
        <v>7.2389999999999998E-4</v>
      </c>
      <c r="H4" s="1">
        <v>7.2389999999999998E-4</v>
      </c>
      <c r="I4" s="1">
        <v>9.2429999999999997E-4</v>
      </c>
      <c r="J4" s="1">
        <f t="shared" ref="J4:J67" si="0">+F4/G4</f>
        <v>1.4191186627987293</v>
      </c>
      <c r="K4" s="1">
        <f t="shared" ref="K4:K67" si="1">+I4/G4</f>
        <v>1.2768338168255284</v>
      </c>
      <c r="L4" s="1">
        <f t="shared" ref="L4:L67" si="2">+F4/I4</f>
        <v>1.1114356810559343</v>
      </c>
      <c r="Z4" s="1"/>
      <c r="AA4" s="1"/>
      <c r="AB4" s="1"/>
      <c r="AC4" s="1"/>
      <c r="AD4" s="1"/>
      <c r="AE4" s="1"/>
      <c r="AF4" s="1"/>
      <c r="AG4" s="1"/>
      <c r="AH4" s="1"/>
    </row>
    <row r="5" spans="1:34" x14ac:dyDescent="0.25">
      <c r="A5">
        <v>3</v>
      </c>
      <c r="B5" s="1">
        <v>1344.06</v>
      </c>
      <c r="C5" s="1">
        <v>1276.6460841999999</v>
      </c>
      <c r="D5" s="1">
        <v>282.37098090000001</v>
      </c>
      <c r="E5" s="1">
        <v>356.90562929999999</v>
      </c>
      <c r="F5" s="1">
        <v>1.4731E-3</v>
      </c>
      <c r="G5" s="1">
        <v>1.3992E-3</v>
      </c>
      <c r="H5" s="1">
        <v>1.3992E-3</v>
      </c>
      <c r="I5" s="1">
        <v>1.5820000000000001E-3</v>
      </c>
      <c r="J5" s="1">
        <f t="shared" si="0"/>
        <v>1.052815894797027</v>
      </c>
      <c r="K5" s="1">
        <f t="shared" si="1"/>
        <v>1.1306460834762722</v>
      </c>
      <c r="L5" s="1">
        <f t="shared" si="2"/>
        <v>0.93116308470290765</v>
      </c>
      <c r="Z5" s="1"/>
      <c r="AA5" s="1"/>
      <c r="AB5" s="1"/>
      <c r="AC5" s="1"/>
      <c r="AD5" s="1"/>
      <c r="AE5" s="1"/>
      <c r="AF5" s="1"/>
      <c r="AG5" s="1"/>
      <c r="AH5" s="1"/>
    </row>
    <row r="6" spans="1:34" x14ac:dyDescent="0.25">
      <c r="A6">
        <v>4</v>
      </c>
      <c r="B6" s="1">
        <v>2670.194</v>
      </c>
      <c r="C6" s="1">
        <v>3176.9466062000001</v>
      </c>
      <c r="D6" s="1">
        <v>702.6830228</v>
      </c>
      <c r="E6" s="1">
        <v>761.13694910000004</v>
      </c>
      <c r="F6" s="1">
        <v>2.9264999999999998E-3</v>
      </c>
      <c r="G6" s="1">
        <v>3.4819E-3</v>
      </c>
      <c r="H6" s="1">
        <v>3.4819E-3</v>
      </c>
      <c r="I6" s="1">
        <v>3.3738000000000001E-3</v>
      </c>
      <c r="J6" s="1">
        <f t="shared" si="0"/>
        <v>0.84048938797782813</v>
      </c>
      <c r="K6" s="1">
        <f t="shared" si="1"/>
        <v>0.96895373215773006</v>
      </c>
      <c r="L6" s="1">
        <f t="shared" si="2"/>
        <v>0.86741952694291291</v>
      </c>
      <c r="Z6" s="1"/>
      <c r="AA6" s="1"/>
      <c r="AB6" s="1"/>
      <c r="AC6" s="1"/>
      <c r="AD6" s="1"/>
      <c r="AE6" s="1"/>
      <c r="AF6" s="1"/>
      <c r="AG6" s="1"/>
      <c r="AH6" s="1"/>
    </row>
    <row r="7" spans="1:34" x14ac:dyDescent="0.25">
      <c r="A7">
        <v>5</v>
      </c>
      <c r="B7" s="1">
        <v>11334.6</v>
      </c>
      <c r="C7" s="1">
        <v>5604.3006666000001</v>
      </c>
      <c r="D7" s="1">
        <v>1239.5697571999999</v>
      </c>
      <c r="E7" s="1">
        <v>1865.5400855</v>
      </c>
      <c r="F7" s="1">
        <v>1.24227E-2</v>
      </c>
      <c r="G7" s="1">
        <v>6.1422999999999998E-3</v>
      </c>
      <c r="H7" s="1">
        <v>6.1422999999999998E-3</v>
      </c>
      <c r="I7" s="1">
        <v>8.2692000000000009E-3</v>
      </c>
      <c r="J7" s="1">
        <f t="shared" si="0"/>
        <v>2.0224834345440632</v>
      </c>
      <c r="K7" s="1">
        <f t="shared" si="1"/>
        <v>1.3462709408527751</v>
      </c>
      <c r="L7" s="1">
        <f t="shared" si="2"/>
        <v>1.5022855898998693</v>
      </c>
      <c r="Z7" s="1"/>
      <c r="AA7" s="1"/>
      <c r="AB7" s="1"/>
      <c r="AC7" s="1"/>
      <c r="AD7" s="1"/>
      <c r="AE7" s="1"/>
      <c r="AF7" s="1"/>
      <c r="AG7" s="1"/>
      <c r="AH7" s="1"/>
    </row>
    <row r="8" spans="1:34" x14ac:dyDescent="0.25">
      <c r="A8">
        <v>6</v>
      </c>
      <c r="B8" s="1">
        <v>1800.154</v>
      </c>
      <c r="C8" s="1">
        <v>1563.155385</v>
      </c>
      <c r="D8" s="1">
        <v>345.74164669999999</v>
      </c>
      <c r="E8" s="1">
        <v>385.49054389999998</v>
      </c>
      <c r="F8" s="1">
        <v>1.9729999999999999E-3</v>
      </c>
      <c r="G8" s="1">
        <v>1.7132E-3</v>
      </c>
      <c r="H8" s="1">
        <v>1.7132E-3</v>
      </c>
      <c r="I8" s="1">
        <v>1.7087000000000001E-3</v>
      </c>
      <c r="J8" s="1">
        <f t="shared" si="0"/>
        <v>1.1516460424935793</v>
      </c>
      <c r="K8" s="1">
        <f t="shared" si="1"/>
        <v>0.99737333644641613</v>
      </c>
      <c r="L8" s="1">
        <f t="shared" si="2"/>
        <v>1.1546789957277461</v>
      </c>
      <c r="Z8" s="1"/>
      <c r="AA8" s="1"/>
      <c r="AB8" s="1"/>
      <c r="AC8" s="1"/>
      <c r="AD8" s="1"/>
      <c r="AE8" s="1"/>
      <c r="AF8" s="1"/>
      <c r="AG8" s="1"/>
      <c r="AH8" s="1"/>
    </row>
    <row r="9" spans="1:34" x14ac:dyDescent="0.25">
      <c r="A9">
        <v>7</v>
      </c>
      <c r="B9" s="1">
        <v>593.18529999999998</v>
      </c>
      <c r="C9" s="1">
        <v>395.07661289999999</v>
      </c>
      <c r="D9" s="1">
        <v>87.383787999999996</v>
      </c>
      <c r="E9" s="1">
        <v>112.69665209999999</v>
      </c>
      <c r="F9" s="1">
        <v>6.5010000000000003E-4</v>
      </c>
      <c r="G9" s="1">
        <v>4.3300000000000001E-4</v>
      </c>
      <c r="H9" s="1">
        <v>4.3300000000000001E-4</v>
      </c>
      <c r="I9" s="1">
        <v>4.9950000000000005E-4</v>
      </c>
      <c r="J9" s="1">
        <f t="shared" si="0"/>
        <v>1.5013856812933026</v>
      </c>
      <c r="K9" s="1">
        <f t="shared" si="1"/>
        <v>1.1535796766743649</v>
      </c>
      <c r="L9" s="1">
        <f t="shared" si="2"/>
        <v>1.3015015015015015</v>
      </c>
      <c r="Z9" s="1"/>
      <c r="AA9" s="1"/>
      <c r="AB9" s="1"/>
      <c r="AC9" s="1"/>
      <c r="AD9" s="1"/>
      <c r="AE9" s="1"/>
      <c r="AF9" s="1"/>
      <c r="AG9" s="1"/>
      <c r="AH9" s="1"/>
    </row>
    <row r="10" spans="1:34" x14ac:dyDescent="0.25">
      <c r="A10">
        <v>8</v>
      </c>
      <c r="B10" s="1">
        <v>73227.89</v>
      </c>
      <c r="C10" s="1">
        <v>83662.208044200001</v>
      </c>
      <c r="D10" s="1">
        <v>18504.564455299998</v>
      </c>
      <c r="E10" s="1">
        <v>18687.408461200001</v>
      </c>
      <c r="F10" s="1">
        <v>8.0257300000000004E-2</v>
      </c>
      <c r="G10" s="1">
        <v>9.1693300000000005E-2</v>
      </c>
      <c r="H10" s="1">
        <v>9.1693300000000005E-2</v>
      </c>
      <c r="I10" s="1">
        <v>8.2834000000000005E-2</v>
      </c>
      <c r="J10" s="1">
        <f t="shared" si="0"/>
        <v>0.8752798732295598</v>
      </c>
      <c r="K10" s="1">
        <f t="shared" si="1"/>
        <v>0.90338116307298355</v>
      </c>
      <c r="L10" s="1">
        <f t="shared" si="2"/>
        <v>0.96889320810295287</v>
      </c>
      <c r="Z10" s="1"/>
      <c r="AA10" s="1"/>
      <c r="AB10" s="1"/>
      <c r="AC10" s="1"/>
      <c r="AD10" s="1"/>
      <c r="AE10" s="1"/>
      <c r="AF10" s="1"/>
      <c r="AG10" s="1"/>
      <c r="AH10" s="1"/>
    </row>
    <row r="11" spans="1:34" x14ac:dyDescent="0.25">
      <c r="A11">
        <v>9</v>
      </c>
      <c r="B11" s="1">
        <v>4576.04</v>
      </c>
      <c r="C11" s="1">
        <v>4199.6466514000003</v>
      </c>
      <c r="D11" s="1">
        <v>928.88574149999999</v>
      </c>
      <c r="E11" s="1">
        <v>900.80045819999998</v>
      </c>
      <c r="F11" s="1">
        <v>5.0153000000000003E-3</v>
      </c>
      <c r="G11" s="1">
        <v>4.6027999999999998E-3</v>
      </c>
      <c r="H11" s="1">
        <v>4.6027999999999998E-3</v>
      </c>
      <c r="I11" s="1">
        <v>3.9928999999999997E-3</v>
      </c>
      <c r="J11" s="1">
        <f t="shared" si="0"/>
        <v>1.0896193621274008</v>
      </c>
      <c r="K11" s="1">
        <f t="shared" si="1"/>
        <v>0.86749369948726862</v>
      </c>
      <c r="L11" s="1">
        <f t="shared" si="2"/>
        <v>1.2560544967316989</v>
      </c>
      <c r="Z11" s="1"/>
      <c r="AA11" s="1"/>
      <c r="AB11" s="1"/>
      <c r="AC11" s="1"/>
      <c r="AD11" s="1"/>
      <c r="AE11" s="1"/>
      <c r="AF11" s="1"/>
      <c r="AG11" s="1"/>
      <c r="AH11" s="1"/>
    </row>
    <row r="12" spans="1:34" x14ac:dyDescent="0.25">
      <c r="A12">
        <v>10</v>
      </c>
      <c r="B12" s="1">
        <v>71053.2</v>
      </c>
      <c r="C12" s="1">
        <v>68701.384267400004</v>
      </c>
      <c r="D12" s="1">
        <v>15195.501326899999</v>
      </c>
      <c r="E12" s="1">
        <v>17553.651564799999</v>
      </c>
      <c r="F12" s="1">
        <v>7.7873899999999996E-2</v>
      </c>
      <c r="G12" s="1">
        <v>7.5296299999999997E-2</v>
      </c>
      <c r="H12" s="1">
        <v>7.5296299999999997E-2</v>
      </c>
      <c r="I12" s="1">
        <v>7.7808500000000003E-2</v>
      </c>
      <c r="J12" s="1">
        <f t="shared" si="0"/>
        <v>1.0342327577849111</v>
      </c>
      <c r="K12" s="1">
        <f t="shared" si="1"/>
        <v>1.0333641892098284</v>
      </c>
      <c r="L12" s="1">
        <f t="shared" si="2"/>
        <v>1.0008405251354286</v>
      </c>
      <c r="Z12" s="1"/>
      <c r="AA12" s="1"/>
      <c r="AB12" s="1"/>
      <c r="AC12" s="1"/>
      <c r="AD12" s="1"/>
      <c r="AE12" s="1"/>
      <c r="AF12" s="1"/>
      <c r="AG12" s="1"/>
      <c r="AH12" s="1"/>
    </row>
    <row r="13" spans="1:34" x14ac:dyDescent="0.25">
      <c r="A13">
        <v>11</v>
      </c>
      <c r="B13" s="1">
        <v>7329.8549999999996</v>
      </c>
      <c r="C13" s="1">
        <v>3521.8768239999999</v>
      </c>
      <c r="D13" s="1">
        <v>778.97533680000004</v>
      </c>
      <c r="E13" s="1">
        <v>895.88114040000005</v>
      </c>
      <c r="F13" s="1">
        <v>8.0335000000000007E-3</v>
      </c>
      <c r="G13" s="1">
        <v>3.8600000000000001E-3</v>
      </c>
      <c r="H13" s="1">
        <v>3.8600000000000001E-3</v>
      </c>
      <c r="I13" s="1">
        <v>3.9711E-3</v>
      </c>
      <c r="J13" s="1">
        <f t="shared" si="0"/>
        <v>2.0812176165803109</v>
      </c>
      <c r="K13" s="1">
        <f t="shared" si="1"/>
        <v>1.028782383419689</v>
      </c>
      <c r="L13" s="1">
        <f t="shared" si="2"/>
        <v>2.0229911107753522</v>
      </c>
      <c r="Z13" s="1"/>
      <c r="AA13" s="1"/>
      <c r="AB13" s="1"/>
      <c r="AC13" s="1"/>
      <c r="AD13" s="1"/>
      <c r="AE13" s="1"/>
      <c r="AF13" s="1"/>
      <c r="AG13" s="1"/>
      <c r="AH13" s="1"/>
    </row>
    <row r="14" spans="1:34" x14ac:dyDescent="0.25">
      <c r="A14">
        <v>12</v>
      </c>
      <c r="B14" s="1">
        <v>12552.28</v>
      </c>
      <c r="C14" s="1">
        <v>12674.5955431</v>
      </c>
      <c r="D14" s="1">
        <v>2803.3908697000002</v>
      </c>
      <c r="E14" s="1">
        <v>3186.2825256000001</v>
      </c>
      <c r="F14" s="1">
        <v>1.3757200000000001E-2</v>
      </c>
      <c r="G14" s="1">
        <v>1.3891300000000001E-2</v>
      </c>
      <c r="H14" s="1">
        <v>1.3891300000000001E-2</v>
      </c>
      <c r="I14" s="1">
        <v>1.4123500000000001E-2</v>
      </c>
      <c r="J14" s="1">
        <f t="shared" si="0"/>
        <v>0.99034647585179214</v>
      </c>
      <c r="K14" s="1">
        <f t="shared" si="1"/>
        <v>1.0167154981895143</v>
      </c>
      <c r="L14" s="1">
        <f t="shared" si="2"/>
        <v>0.97406450242503628</v>
      </c>
      <c r="Z14" s="1"/>
      <c r="AA14" s="1"/>
      <c r="AB14" s="1"/>
      <c r="AC14" s="1"/>
      <c r="AD14" s="1"/>
      <c r="AE14" s="1"/>
      <c r="AF14" s="1"/>
      <c r="AG14" s="1"/>
      <c r="AH14" s="1"/>
    </row>
    <row r="15" spans="1:34" x14ac:dyDescent="0.25">
      <c r="A15">
        <v>13</v>
      </c>
      <c r="B15" s="1">
        <v>2942.43</v>
      </c>
      <c r="C15" s="1">
        <v>2931.8418591999998</v>
      </c>
      <c r="D15" s="1">
        <v>648.47029410000005</v>
      </c>
      <c r="E15" s="1">
        <v>734.38512060000005</v>
      </c>
      <c r="F15" s="1">
        <v>3.2249000000000002E-3</v>
      </c>
      <c r="G15" s="1">
        <v>3.2133000000000001E-3</v>
      </c>
      <c r="H15" s="1">
        <v>3.2133000000000001E-3</v>
      </c>
      <c r="I15" s="1">
        <v>3.2552000000000002E-3</v>
      </c>
      <c r="J15" s="1">
        <f t="shared" si="0"/>
        <v>1.003609995954315</v>
      </c>
      <c r="K15" s="1">
        <f t="shared" si="1"/>
        <v>1.0130395543522237</v>
      </c>
      <c r="L15" s="1">
        <f t="shared" si="2"/>
        <v>0.9906918161710494</v>
      </c>
      <c r="Z15" s="1"/>
      <c r="AA15" s="1"/>
      <c r="AB15" s="1"/>
      <c r="AC15" s="1"/>
      <c r="AD15" s="1"/>
      <c r="AE15" s="1"/>
      <c r="AF15" s="1"/>
      <c r="AG15" s="1"/>
      <c r="AH15" s="1"/>
    </row>
    <row r="16" spans="1:34" x14ac:dyDescent="0.25">
      <c r="A16">
        <v>14</v>
      </c>
      <c r="B16" s="1">
        <v>17790.78</v>
      </c>
      <c r="C16" s="1">
        <v>19187.476923400001</v>
      </c>
      <c r="D16" s="1">
        <v>4243.9222172999998</v>
      </c>
      <c r="E16" s="1">
        <v>4123.5230963000004</v>
      </c>
      <c r="F16" s="1">
        <v>1.9498600000000001E-2</v>
      </c>
      <c r="G16" s="1">
        <v>2.10294E-2</v>
      </c>
      <c r="H16" s="1">
        <v>2.10294E-2</v>
      </c>
      <c r="I16" s="1">
        <v>1.8277999999999999E-2</v>
      </c>
      <c r="J16" s="1">
        <f t="shared" si="0"/>
        <v>0.92720667256317357</v>
      </c>
      <c r="K16" s="1">
        <f t="shared" si="1"/>
        <v>0.86916412260929932</v>
      </c>
      <c r="L16" s="1">
        <f t="shared" si="2"/>
        <v>1.0667797352007879</v>
      </c>
      <c r="Z16" s="1"/>
      <c r="AA16" s="1"/>
      <c r="AB16" s="1"/>
      <c r="AC16" s="1"/>
      <c r="AD16" s="1"/>
      <c r="AE16" s="1"/>
      <c r="AF16" s="1"/>
      <c r="AG16" s="1"/>
      <c r="AH16" s="1"/>
    </row>
    <row r="17" spans="1:34" x14ac:dyDescent="0.25">
      <c r="A17">
        <v>15</v>
      </c>
      <c r="B17" s="1">
        <v>2460.7420000000002</v>
      </c>
      <c r="C17" s="1">
        <v>2512.4229607000002</v>
      </c>
      <c r="D17" s="1">
        <v>555.70243370000003</v>
      </c>
      <c r="E17" s="1">
        <v>575.31094759999996</v>
      </c>
      <c r="F17" s="1">
        <v>2.6970000000000002E-3</v>
      </c>
      <c r="G17" s="1">
        <v>2.7536000000000001E-3</v>
      </c>
      <c r="H17" s="1">
        <v>2.7536000000000001E-3</v>
      </c>
      <c r="I17" s="1">
        <v>2.5501E-3</v>
      </c>
      <c r="J17" s="1">
        <f t="shared" si="0"/>
        <v>0.97944509006391633</v>
      </c>
      <c r="K17" s="1">
        <f t="shared" si="1"/>
        <v>0.92609674607786163</v>
      </c>
      <c r="L17" s="1">
        <f t="shared" si="2"/>
        <v>1.0576055840947414</v>
      </c>
      <c r="Z17" s="1"/>
      <c r="AA17" s="1"/>
      <c r="AB17" s="1"/>
      <c r="AC17" s="1"/>
      <c r="AD17" s="1"/>
      <c r="AE17" s="1"/>
      <c r="AF17" s="1"/>
      <c r="AG17" s="1"/>
      <c r="AH17" s="1"/>
    </row>
    <row r="18" spans="1:34" x14ac:dyDescent="0.25">
      <c r="A18">
        <v>16</v>
      </c>
      <c r="B18" s="1">
        <v>9488.3809999999994</v>
      </c>
      <c r="C18" s="1">
        <v>11127.5063355</v>
      </c>
      <c r="D18" s="1">
        <v>2461.2027702999999</v>
      </c>
      <c r="E18" s="1">
        <v>2642.0659804000002</v>
      </c>
      <c r="F18" s="1">
        <v>1.0399200000000001E-2</v>
      </c>
      <c r="G18" s="1">
        <v>1.21957E-2</v>
      </c>
      <c r="H18" s="1">
        <v>1.21957E-2</v>
      </c>
      <c r="I18" s="1">
        <v>1.17112E-2</v>
      </c>
      <c r="J18" s="1">
        <f t="shared" si="0"/>
        <v>0.85269398230523874</v>
      </c>
      <c r="K18" s="1">
        <f t="shared" si="1"/>
        <v>0.96027288306534264</v>
      </c>
      <c r="L18" s="1">
        <f t="shared" si="2"/>
        <v>0.88797048978755388</v>
      </c>
      <c r="Z18" s="1"/>
      <c r="AA18" s="1"/>
      <c r="AB18" s="1"/>
      <c r="AC18" s="1"/>
      <c r="AD18" s="1"/>
      <c r="AE18" s="1"/>
      <c r="AF18" s="1"/>
      <c r="AG18" s="1"/>
      <c r="AH18" s="1"/>
    </row>
    <row r="19" spans="1:34" x14ac:dyDescent="0.25">
      <c r="A19">
        <v>17</v>
      </c>
      <c r="B19" s="1">
        <v>373.8066</v>
      </c>
      <c r="C19" s="1">
        <v>486.5113187</v>
      </c>
      <c r="D19" s="1">
        <v>107.6074881</v>
      </c>
      <c r="E19" s="1">
        <v>119.3762005</v>
      </c>
      <c r="F19" s="1">
        <v>4.0969999999999998E-4</v>
      </c>
      <c r="G19" s="1">
        <v>5.3319999999999995E-4</v>
      </c>
      <c r="H19" s="1">
        <v>5.3319999999999995E-4</v>
      </c>
      <c r="I19" s="1">
        <v>5.2910000000000001E-4</v>
      </c>
      <c r="J19" s="1">
        <f t="shared" si="0"/>
        <v>0.76837959489872476</v>
      </c>
      <c r="K19" s="1">
        <f t="shared" si="1"/>
        <v>0.99231057764441122</v>
      </c>
      <c r="L19" s="1">
        <f t="shared" si="2"/>
        <v>0.77433377433377426</v>
      </c>
      <c r="Z19" s="1"/>
      <c r="AA19" s="1"/>
      <c r="AB19" s="1"/>
      <c r="AC19" s="1"/>
      <c r="AD19" s="1"/>
      <c r="AE19" s="1"/>
      <c r="AF19" s="1"/>
      <c r="AG19" s="1"/>
      <c r="AH19" s="1"/>
    </row>
    <row r="20" spans="1:34" x14ac:dyDescent="0.25">
      <c r="A20">
        <v>18</v>
      </c>
      <c r="B20" s="1">
        <v>3957.0859999999998</v>
      </c>
      <c r="C20" s="1">
        <v>4360.5461335999998</v>
      </c>
      <c r="D20" s="1">
        <v>964.47379139999998</v>
      </c>
      <c r="E20" s="1">
        <v>953.35359470000003</v>
      </c>
      <c r="F20" s="1">
        <v>4.3369000000000003E-3</v>
      </c>
      <c r="G20" s="1">
        <v>4.7790999999999997E-3</v>
      </c>
      <c r="H20" s="1">
        <v>4.7790999999999997E-3</v>
      </c>
      <c r="I20" s="1">
        <v>4.2258E-3</v>
      </c>
      <c r="J20" s="1">
        <f t="shared" si="0"/>
        <v>0.90747211818124762</v>
      </c>
      <c r="K20" s="1">
        <f t="shared" si="1"/>
        <v>0.88422506329643669</v>
      </c>
      <c r="L20" s="1">
        <f t="shared" si="2"/>
        <v>1.0262908798334043</v>
      </c>
      <c r="Z20" s="1"/>
      <c r="AA20" s="1"/>
      <c r="AB20" s="1"/>
      <c r="AC20" s="1"/>
      <c r="AD20" s="1"/>
      <c r="AE20" s="1"/>
      <c r="AF20" s="1"/>
      <c r="AG20" s="1"/>
      <c r="AH20" s="1"/>
    </row>
    <row r="21" spans="1:34" x14ac:dyDescent="0.25">
      <c r="A21">
        <v>19</v>
      </c>
      <c r="B21" s="1">
        <v>1772.558</v>
      </c>
      <c r="C21" s="1">
        <v>1777.8055096000001</v>
      </c>
      <c r="D21" s="1">
        <v>393.21836480000002</v>
      </c>
      <c r="E21" s="1">
        <v>402.38820879999997</v>
      </c>
      <c r="F21" s="1">
        <v>1.9426999999999999E-3</v>
      </c>
      <c r="G21" s="1">
        <v>1.9484999999999999E-3</v>
      </c>
      <c r="H21" s="1">
        <v>1.9484999999999999E-3</v>
      </c>
      <c r="I21" s="1">
        <v>1.7836E-3</v>
      </c>
      <c r="J21" s="1">
        <f t="shared" si="0"/>
        <v>0.99702335129586861</v>
      </c>
      <c r="K21" s="1">
        <f t="shared" si="1"/>
        <v>0.91537079804978194</v>
      </c>
      <c r="L21" s="1">
        <f t="shared" si="2"/>
        <v>1.0892016147118186</v>
      </c>
      <c r="Z21" s="1"/>
      <c r="AA21" s="1"/>
      <c r="AB21" s="1"/>
      <c r="AC21" s="1"/>
      <c r="AD21" s="1"/>
      <c r="AE21" s="1"/>
      <c r="AF21" s="1"/>
      <c r="AG21" s="1"/>
      <c r="AH21" s="1"/>
    </row>
    <row r="22" spans="1:34" x14ac:dyDescent="0.25">
      <c r="A22">
        <v>20</v>
      </c>
      <c r="B22" s="1">
        <v>11607.21</v>
      </c>
      <c r="C22" s="1">
        <v>10807.560826700001</v>
      </c>
      <c r="D22" s="1">
        <v>2390.4366212</v>
      </c>
      <c r="E22" s="1">
        <v>2890.2663726999999</v>
      </c>
      <c r="F22" s="1">
        <v>1.2721400000000001E-2</v>
      </c>
      <c r="G22" s="1">
        <v>1.1845E-2</v>
      </c>
      <c r="H22" s="1">
        <v>1.1845E-2</v>
      </c>
      <c r="I22" s="1">
        <v>1.2811400000000001E-2</v>
      </c>
      <c r="J22" s="1">
        <f t="shared" si="0"/>
        <v>1.0739890249050232</v>
      </c>
      <c r="K22" s="1">
        <f t="shared" si="1"/>
        <v>1.0815871675812581</v>
      </c>
      <c r="L22" s="1">
        <f t="shared" si="2"/>
        <v>0.99297500663471594</v>
      </c>
      <c r="Z22" s="1"/>
      <c r="AA22" s="1"/>
      <c r="AB22" s="1"/>
      <c r="AC22" s="1"/>
      <c r="AD22" s="1"/>
      <c r="AE22" s="1"/>
      <c r="AF22" s="1"/>
      <c r="AG22" s="1"/>
      <c r="AH22" s="1"/>
    </row>
    <row r="23" spans="1:34" x14ac:dyDescent="0.25">
      <c r="A23">
        <v>21</v>
      </c>
      <c r="B23" s="1">
        <v>4587.9129999999996</v>
      </c>
      <c r="C23" s="1">
        <v>4193.1344933</v>
      </c>
      <c r="D23" s="1">
        <v>927.44537009999999</v>
      </c>
      <c r="E23" s="1">
        <v>1059.3861790999999</v>
      </c>
      <c r="F23" s="1">
        <v>5.0283000000000003E-3</v>
      </c>
      <c r="G23" s="1">
        <v>4.5957000000000003E-3</v>
      </c>
      <c r="H23" s="1">
        <v>4.5957000000000003E-3</v>
      </c>
      <c r="I23" s="1">
        <v>4.6958E-3</v>
      </c>
      <c r="J23" s="1">
        <f t="shared" si="0"/>
        <v>1.0941314707226319</v>
      </c>
      <c r="K23" s="1">
        <f t="shared" si="1"/>
        <v>1.0217812302804794</v>
      </c>
      <c r="L23" s="1">
        <f t="shared" si="2"/>
        <v>1.0708079560458283</v>
      </c>
      <c r="Z23" s="1"/>
      <c r="AA23" s="1"/>
      <c r="AB23" s="1"/>
      <c r="AC23" s="1"/>
      <c r="AD23" s="1"/>
      <c r="AE23" s="1"/>
      <c r="AF23" s="1"/>
      <c r="AG23" s="1"/>
      <c r="AH23" s="1"/>
    </row>
    <row r="24" spans="1:34" x14ac:dyDescent="0.25">
      <c r="A24">
        <v>22</v>
      </c>
      <c r="B24" s="1">
        <v>15895.92</v>
      </c>
      <c r="C24" s="1">
        <v>17623.650205599999</v>
      </c>
      <c r="D24" s="1">
        <v>3898.0320839000001</v>
      </c>
      <c r="E24" s="1">
        <v>3966.0626508999999</v>
      </c>
      <c r="F24" s="1">
        <v>1.7421800000000001E-2</v>
      </c>
      <c r="G24" s="1">
        <v>1.93154E-2</v>
      </c>
      <c r="H24" s="1">
        <v>1.93154E-2</v>
      </c>
      <c r="I24" s="1">
        <v>1.7579999999999998E-2</v>
      </c>
      <c r="J24" s="1">
        <f t="shared" si="0"/>
        <v>0.9019642357911305</v>
      </c>
      <c r="K24" s="1">
        <f t="shared" si="1"/>
        <v>0.91015459167296553</v>
      </c>
      <c r="L24" s="1">
        <f t="shared" si="2"/>
        <v>0.99100113765642794</v>
      </c>
      <c r="Z24" s="1"/>
      <c r="AA24" s="1"/>
      <c r="AB24" s="1"/>
      <c r="AC24" s="1"/>
      <c r="AD24" s="1"/>
      <c r="AE24" s="1"/>
      <c r="AF24" s="1"/>
      <c r="AG24" s="1"/>
      <c r="AH24" s="1"/>
    </row>
    <row r="25" spans="1:34" x14ac:dyDescent="0.25">
      <c r="A25">
        <v>23</v>
      </c>
      <c r="B25" s="1">
        <v>14199.73</v>
      </c>
      <c r="C25" s="1">
        <v>10338.019445100001</v>
      </c>
      <c r="D25" s="1">
        <v>2286.5825756999998</v>
      </c>
      <c r="E25" s="1">
        <v>3110.9405468999998</v>
      </c>
      <c r="F25" s="1">
        <v>1.55628E-2</v>
      </c>
      <c r="G25" s="1">
        <v>1.1330399999999999E-2</v>
      </c>
      <c r="H25" s="1">
        <v>1.1330399999999999E-2</v>
      </c>
      <c r="I25" s="1">
        <v>1.3789600000000001E-2</v>
      </c>
      <c r="J25" s="1">
        <f t="shared" si="0"/>
        <v>1.3735437407328956</v>
      </c>
      <c r="K25" s="1">
        <f t="shared" si="1"/>
        <v>1.2170444114947401</v>
      </c>
      <c r="L25" s="1">
        <f t="shared" si="2"/>
        <v>1.1285896617740905</v>
      </c>
      <c r="Z25" s="1"/>
      <c r="AA25" s="1"/>
      <c r="AB25" s="1"/>
      <c r="AC25" s="1"/>
      <c r="AD25" s="1"/>
      <c r="AE25" s="1"/>
      <c r="AF25" s="1"/>
      <c r="AG25" s="1"/>
      <c r="AH25" s="1"/>
    </row>
    <row r="26" spans="1:34" x14ac:dyDescent="0.25">
      <c r="A26">
        <v>24</v>
      </c>
      <c r="B26" s="1">
        <v>5486.8379999999997</v>
      </c>
      <c r="C26" s="1">
        <v>4075.1317015999998</v>
      </c>
      <c r="D26" s="1">
        <v>901.34529080000004</v>
      </c>
      <c r="E26" s="1">
        <v>1168.278041</v>
      </c>
      <c r="F26" s="1">
        <v>6.0134999999999997E-3</v>
      </c>
      <c r="G26" s="1">
        <v>4.4663000000000003E-3</v>
      </c>
      <c r="H26" s="1">
        <v>4.4663000000000003E-3</v>
      </c>
      <c r="I26" s="1">
        <v>5.1784999999999999E-3</v>
      </c>
      <c r="J26" s="1">
        <f t="shared" si="0"/>
        <v>1.346416496876609</v>
      </c>
      <c r="K26" s="1">
        <f t="shared" si="1"/>
        <v>1.1594608512639097</v>
      </c>
      <c r="L26" s="1">
        <f t="shared" si="2"/>
        <v>1.1612436033600464</v>
      </c>
      <c r="Z26" s="1"/>
      <c r="AA26" s="1"/>
      <c r="AB26" s="1"/>
      <c r="AC26" s="1"/>
      <c r="AD26" s="1"/>
      <c r="AE26" s="1"/>
      <c r="AF26" s="1"/>
      <c r="AG26" s="1"/>
      <c r="AH26" s="1"/>
    </row>
    <row r="27" spans="1:34" x14ac:dyDescent="0.25">
      <c r="A27">
        <v>25</v>
      </c>
      <c r="B27" s="1">
        <v>8231.3960000000006</v>
      </c>
      <c r="C27" s="1">
        <v>6228.2162338999997</v>
      </c>
      <c r="D27" s="1">
        <v>1377.5685753</v>
      </c>
      <c r="E27" s="1">
        <v>1543.7811201</v>
      </c>
      <c r="F27" s="1">
        <v>9.0215999999999994E-3</v>
      </c>
      <c r="G27" s="1">
        <v>6.8260999999999999E-3</v>
      </c>
      <c r="H27" s="1">
        <v>6.8260999999999999E-3</v>
      </c>
      <c r="I27" s="1">
        <v>6.8430000000000001E-3</v>
      </c>
      <c r="J27" s="1">
        <f t="shared" si="0"/>
        <v>1.321633143376159</v>
      </c>
      <c r="K27" s="1">
        <f t="shared" si="1"/>
        <v>1.0024757914475324</v>
      </c>
      <c r="L27" s="1">
        <f t="shared" si="2"/>
        <v>1.3183691363437089</v>
      </c>
      <c r="Z27" s="1"/>
      <c r="AA27" s="1"/>
      <c r="AB27" s="1"/>
      <c r="AC27" s="1"/>
      <c r="AD27" s="1"/>
      <c r="AE27" s="1"/>
      <c r="AF27" s="1"/>
      <c r="AG27" s="1"/>
      <c r="AH27" s="1"/>
    </row>
    <row r="28" spans="1:34" x14ac:dyDescent="0.25">
      <c r="A28">
        <v>26</v>
      </c>
      <c r="B28" s="1">
        <v>2343.2399999999998</v>
      </c>
      <c r="C28" s="1">
        <v>1834.0371175</v>
      </c>
      <c r="D28" s="1">
        <v>405.6557775</v>
      </c>
      <c r="E28" s="1">
        <v>464.1871423</v>
      </c>
      <c r="F28" s="1">
        <v>2.5682000000000001E-3</v>
      </c>
      <c r="G28" s="1">
        <v>2.0100999999999999E-3</v>
      </c>
      <c r="H28" s="1">
        <v>2.0100999999999999E-3</v>
      </c>
      <c r="I28" s="1">
        <v>2.0576000000000001E-3</v>
      </c>
      <c r="J28" s="1">
        <f t="shared" si="0"/>
        <v>1.2776478782150142</v>
      </c>
      <c r="K28" s="1">
        <f t="shared" si="1"/>
        <v>1.0236306651410378</v>
      </c>
      <c r="L28" s="1">
        <f t="shared" si="2"/>
        <v>1.2481531881804042</v>
      </c>
      <c r="Z28" s="1"/>
      <c r="AA28" s="1"/>
      <c r="AB28" s="1"/>
      <c r="AC28" s="1"/>
      <c r="AD28" s="1"/>
      <c r="AE28" s="1"/>
      <c r="AF28" s="1"/>
      <c r="AG28" s="1"/>
      <c r="AH28" s="1"/>
    </row>
    <row r="29" spans="1:34" x14ac:dyDescent="0.25">
      <c r="A29">
        <v>27</v>
      </c>
      <c r="B29" s="1">
        <v>19988.5</v>
      </c>
      <c r="C29" s="1">
        <v>12057.891267499999</v>
      </c>
      <c r="D29" s="1">
        <v>2666.9870587</v>
      </c>
      <c r="E29" s="1">
        <v>4004.2661237000002</v>
      </c>
      <c r="F29" s="1">
        <v>2.1907300000000001E-2</v>
      </c>
      <c r="G29" s="1">
        <v>1.32154E-2</v>
      </c>
      <c r="H29" s="1">
        <v>1.32154E-2</v>
      </c>
      <c r="I29" s="1">
        <v>1.7749299999999999E-2</v>
      </c>
      <c r="J29" s="1">
        <f t="shared" si="0"/>
        <v>1.6577099444587375</v>
      </c>
      <c r="K29" s="1">
        <f t="shared" si="1"/>
        <v>1.343077016208363</v>
      </c>
      <c r="L29" s="1">
        <f t="shared" si="2"/>
        <v>1.2342627596581275</v>
      </c>
      <c r="Z29" s="1"/>
      <c r="AA29" s="1"/>
      <c r="AB29" s="1"/>
      <c r="AC29" s="1"/>
      <c r="AD29" s="1"/>
      <c r="AE29" s="1"/>
      <c r="AF29" s="1"/>
      <c r="AG29" s="1"/>
      <c r="AH29" s="1"/>
    </row>
    <row r="30" spans="1:34" x14ac:dyDescent="0.25">
      <c r="A30">
        <v>28</v>
      </c>
      <c r="B30" s="1">
        <v>9022.0419999999995</v>
      </c>
      <c r="C30" s="1">
        <v>7673.2656428</v>
      </c>
      <c r="D30" s="1">
        <v>1697.1873201999999</v>
      </c>
      <c r="E30" s="1">
        <v>1871.0587201999999</v>
      </c>
      <c r="F30" s="1">
        <v>9.8881000000000004E-3</v>
      </c>
      <c r="G30" s="1">
        <v>8.4098999999999997E-3</v>
      </c>
      <c r="H30" s="1">
        <v>8.4098999999999997E-3</v>
      </c>
      <c r="I30" s="1">
        <v>8.2936999999999993E-3</v>
      </c>
      <c r="J30" s="1">
        <f t="shared" si="0"/>
        <v>1.1757690341145555</v>
      </c>
      <c r="K30" s="1">
        <f t="shared" si="1"/>
        <v>0.98618295104579123</v>
      </c>
      <c r="L30" s="1">
        <f t="shared" si="2"/>
        <v>1.1922423043997252</v>
      </c>
      <c r="Z30" s="1"/>
      <c r="AA30" s="1"/>
      <c r="AB30" s="1"/>
      <c r="AC30" s="1"/>
      <c r="AD30" s="1"/>
      <c r="AE30" s="1"/>
      <c r="AF30" s="1"/>
      <c r="AG30" s="1"/>
      <c r="AH30" s="1"/>
    </row>
    <row r="31" spans="1:34" x14ac:dyDescent="0.25">
      <c r="A31">
        <v>29</v>
      </c>
      <c r="B31" s="1">
        <v>894.7586</v>
      </c>
      <c r="C31" s="1">
        <v>834.77401699999996</v>
      </c>
      <c r="D31" s="1">
        <v>184.63688640000001</v>
      </c>
      <c r="E31" s="1">
        <v>200.10135729999999</v>
      </c>
      <c r="F31" s="1">
        <v>9.8069999999999993E-4</v>
      </c>
      <c r="G31" s="1">
        <v>9.1489999999999996E-4</v>
      </c>
      <c r="H31" s="1">
        <v>9.1489999999999996E-4</v>
      </c>
      <c r="I31" s="1">
        <v>8.8699999999999998E-4</v>
      </c>
      <c r="J31" s="1">
        <f t="shared" si="0"/>
        <v>1.0719204284621269</v>
      </c>
      <c r="K31" s="1">
        <f t="shared" si="1"/>
        <v>0.96950486391955404</v>
      </c>
      <c r="L31" s="1">
        <f t="shared" si="2"/>
        <v>1.1056369785794813</v>
      </c>
      <c r="Z31" s="1"/>
      <c r="AA31" s="1"/>
      <c r="AB31" s="1"/>
      <c r="AC31" s="1"/>
      <c r="AD31" s="1"/>
      <c r="AE31" s="1"/>
      <c r="AF31" s="1"/>
      <c r="AG31" s="1"/>
      <c r="AH31" s="1"/>
    </row>
    <row r="32" spans="1:34" x14ac:dyDescent="0.25">
      <c r="A32">
        <v>30</v>
      </c>
      <c r="B32" s="1">
        <v>3331.0630000000001</v>
      </c>
      <c r="C32" s="1">
        <v>3665.1405137000002</v>
      </c>
      <c r="D32" s="1">
        <v>810.66266910000002</v>
      </c>
      <c r="E32" s="1">
        <v>766.39305330000002</v>
      </c>
      <c r="F32" s="1">
        <v>3.6508000000000001E-3</v>
      </c>
      <c r="G32" s="1">
        <v>4.0169999999999997E-3</v>
      </c>
      <c r="H32" s="1">
        <v>4.0169999999999997E-3</v>
      </c>
      <c r="I32" s="1">
        <v>3.3971000000000001E-3</v>
      </c>
      <c r="J32" s="1">
        <f t="shared" si="0"/>
        <v>0.90883744087627594</v>
      </c>
      <c r="K32" s="1">
        <f t="shared" si="1"/>
        <v>0.84568085636046808</v>
      </c>
      <c r="L32" s="1">
        <f t="shared" si="2"/>
        <v>1.0746813458538165</v>
      </c>
      <c r="Z32" s="1"/>
      <c r="AA32" s="1"/>
      <c r="AB32" s="1"/>
      <c r="AC32" s="1"/>
      <c r="AD32" s="1"/>
      <c r="AE32" s="1"/>
      <c r="AF32" s="1"/>
      <c r="AG32" s="1"/>
      <c r="AH32" s="1"/>
    </row>
    <row r="33" spans="1:34" x14ac:dyDescent="0.25">
      <c r="A33">
        <v>31</v>
      </c>
      <c r="B33" s="1">
        <v>2802.6</v>
      </c>
      <c r="C33" s="1">
        <v>2576.3703454000001</v>
      </c>
      <c r="D33" s="1">
        <v>569.84643640000002</v>
      </c>
      <c r="E33" s="1">
        <v>639.04248280000002</v>
      </c>
      <c r="F33" s="1">
        <v>3.0715999999999999E-3</v>
      </c>
      <c r="G33" s="1">
        <v>2.8237000000000002E-3</v>
      </c>
      <c r="H33" s="1">
        <v>2.8237000000000002E-3</v>
      </c>
      <c r="I33" s="1">
        <v>2.8325999999999998E-3</v>
      </c>
      <c r="J33" s="1">
        <f t="shared" si="0"/>
        <v>1.0877926125296595</v>
      </c>
      <c r="K33" s="1">
        <f t="shared" si="1"/>
        <v>1.00315189290647</v>
      </c>
      <c r="L33" s="1">
        <f t="shared" si="2"/>
        <v>1.0843747793546565</v>
      </c>
      <c r="Z33" s="1"/>
      <c r="AA33" s="1"/>
      <c r="AB33" s="1"/>
      <c r="AC33" s="1"/>
      <c r="AD33" s="1"/>
      <c r="AE33" s="1"/>
      <c r="AF33" s="1"/>
      <c r="AG33" s="1"/>
      <c r="AH33" s="1"/>
    </row>
    <row r="34" spans="1:34" x14ac:dyDescent="0.25">
      <c r="A34">
        <v>32</v>
      </c>
      <c r="B34" s="1">
        <v>9088.6880000000001</v>
      </c>
      <c r="C34" s="1">
        <v>8654.6836057</v>
      </c>
      <c r="D34" s="1">
        <v>1914.2591901999999</v>
      </c>
      <c r="E34" s="1">
        <v>2244.9972327999999</v>
      </c>
      <c r="F34" s="1">
        <v>9.9611000000000005E-3</v>
      </c>
      <c r="G34" s="1">
        <v>9.4854999999999991E-3</v>
      </c>
      <c r="H34" s="1">
        <v>9.4854999999999991E-3</v>
      </c>
      <c r="I34" s="1">
        <v>9.9512000000000003E-3</v>
      </c>
      <c r="J34" s="1">
        <f t="shared" si="0"/>
        <v>1.0501396868905173</v>
      </c>
      <c r="K34" s="1">
        <f t="shared" si="1"/>
        <v>1.0490959886142008</v>
      </c>
      <c r="L34" s="1">
        <f t="shared" si="2"/>
        <v>1.0009948548918723</v>
      </c>
      <c r="Z34" s="1"/>
      <c r="AA34" s="1"/>
      <c r="AB34" s="1"/>
      <c r="AC34" s="1"/>
      <c r="AD34" s="1"/>
      <c r="AE34" s="1"/>
      <c r="AF34" s="1"/>
      <c r="AG34" s="1"/>
      <c r="AH34" s="1"/>
    </row>
    <row r="35" spans="1:34" x14ac:dyDescent="0.25">
      <c r="A35">
        <v>33</v>
      </c>
      <c r="B35" s="1">
        <v>23657.97</v>
      </c>
      <c r="C35" s="1">
        <v>22943.174039900001</v>
      </c>
      <c r="D35" s="1">
        <v>5074.6143659999998</v>
      </c>
      <c r="E35" s="1">
        <v>6232.2130341000002</v>
      </c>
      <c r="F35" s="1">
        <v>2.5929000000000001E-2</v>
      </c>
      <c r="G35" s="1">
        <v>2.5145600000000001E-2</v>
      </c>
      <c r="H35" s="1">
        <v>2.5145600000000001E-2</v>
      </c>
      <c r="I35" s="1">
        <v>2.7625E-2</v>
      </c>
      <c r="J35" s="1">
        <f t="shared" si="0"/>
        <v>1.0311545558666326</v>
      </c>
      <c r="K35" s="1">
        <f t="shared" si="1"/>
        <v>1.0986017434461695</v>
      </c>
      <c r="L35" s="1">
        <f t="shared" si="2"/>
        <v>0.93860633484162892</v>
      </c>
      <c r="Z35" s="1"/>
      <c r="AA35" s="1"/>
      <c r="AB35" s="1"/>
      <c r="AC35" s="1"/>
      <c r="AD35" s="1"/>
      <c r="AE35" s="1"/>
      <c r="AF35" s="1"/>
      <c r="AG35" s="1"/>
      <c r="AH35" s="1"/>
    </row>
    <row r="36" spans="1:34" x14ac:dyDescent="0.25">
      <c r="A36">
        <v>34</v>
      </c>
      <c r="B36" s="1">
        <v>12753.31</v>
      </c>
      <c r="C36" s="1">
        <v>12317.1183341</v>
      </c>
      <c r="D36" s="1">
        <v>2724.3233885999998</v>
      </c>
      <c r="E36" s="1">
        <v>3138.8266002999999</v>
      </c>
      <c r="F36" s="1">
        <v>1.39776E-2</v>
      </c>
      <c r="G36" s="1">
        <v>1.3499499999999999E-2</v>
      </c>
      <c r="H36" s="1">
        <v>1.3499499999999999E-2</v>
      </c>
      <c r="I36" s="1">
        <v>1.3913200000000001E-2</v>
      </c>
      <c r="J36" s="1">
        <f t="shared" si="0"/>
        <v>1.0354161265232047</v>
      </c>
      <c r="K36" s="1">
        <f t="shared" si="1"/>
        <v>1.0306455794659062</v>
      </c>
      <c r="L36" s="1">
        <f t="shared" si="2"/>
        <v>1.0046286979271482</v>
      </c>
      <c r="Z36" s="1"/>
      <c r="AA36" s="1"/>
      <c r="AB36" s="1"/>
      <c r="AC36" s="1"/>
      <c r="AD36" s="1"/>
      <c r="AE36" s="1"/>
      <c r="AF36" s="1"/>
      <c r="AG36" s="1"/>
      <c r="AH36" s="1"/>
    </row>
    <row r="37" spans="1:34" x14ac:dyDescent="0.25">
      <c r="A37">
        <v>35</v>
      </c>
      <c r="B37" s="1">
        <v>2368.16</v>
      </c>
      <c r="C37" s="1">
        <v>2340.8218787000001</v>
      </c>
      <c r="D37" s="1">
        <v>517.7473837</v>
      </c>
      <c r="E37" s="1">
        <v>583.47539670000003</v>
      </c>
      <c r="F37" s="1">
        <v>2.5955000000000002E-3</v>
      </c>
      <c r="G37" s="1">
        <v>2.5655000000000001E-3</v>
      </c>
      <c r="H37" s="1">
        <v>2.5655000000000001E-3</v>
      </c>
      <c r="I37" s="1">
        <v>2.5863000000000001E-3</v>
      </c>
      <c r="J37" s="1">
        <f t="shared" si="0"/>
        <v>1.0116936269732997</v>
      </c>
      <c r="K37" s="1">
        <f t="shared" si="1"/>
        <v>1.0081075813681544</v>
      </c>
      <c r="L37" s="1">
        <f t="shared" si="2"/>
        <v>1.0035572052739434</v>
      </c>
      <c r="Z37" s="1"/>
      <c r="AA37" s="1"/>
      <c r="AB37" s="1"/>
      <c r="AC37" s="1"/>
      <c r="AD37" s="1"/>
      <c r="AE37" s="1"/>
      <c r="AF37" s="1"/>
      <c r="AG37" s="1"/>
      <c r="AH37" s="1"/>
    </row>
    <row r="38" spans="1:34" x14ac:dyDescent="0.25">
      <c r="A38">
        <v>36</v>
      </c>
      <c r="B38" s="1">
        <v>8096.4849999999997</v>
      </c>
      <c r="C38" s="1">
        <v>8397.0229619000002</v>
      </c>
      <c r="D38" s="1">
        <v>1857.2693245999999</v>
      </c>
      <c r="E38" s="1">
        <v>1949.9565270000001</v>
      </c>
      <c r="F38" s="1">
        <v>8.8737E-3</v>
      </c>
      <c r="G38" s="1">
        <v>9.2031000000000005E-3</v>
      </c>
      <c r="H38" s="1">
        <v>9.2031000000000005E-3</v>
      </c>
      <c r="I38" s="1">
        <v>8.6434000000000007E-3</v>
      </c>
      <c r="J38" s="1">
        <f t="shared" si="0"/>
        <v>0.96420771261857408</v>
      </c>
      <c r="K38" s="1">
        <f t="shared" si="1"/>
        <v>0.93918353598244075</v>
      </c>
      <c r="L38" s="1">
        <f t="shared" si="2"/>
        <v>1.0266446074461437</v>
      </c>
      <c r="Z38" s="1"/>
      <c r="AA38" s="1"/>
      <c r="AB38" s="1"/>
      <c r="AC38" s="1"/>
      <c r="AD38" s="1"/>
      <c r="AE38" s="1"/>
      <c r="AF38" s="1"/>
      <c r="AG38" s="1"/>
      <c r="AH38" s="1"/>
    </row>
    <row r="39" spans="1:34" x14ac:dyDescent="0.25">
      <c r="A39">
        <v>37</v>
      </c>
      <c r="B39" s="1">
        <v>4402.518</v>
      </c>
      <c r="C39" s="1">
        <v>5076.9239418999996</v>
      </c>
      <c r="D39" s="1">
        <v>1122.9235818</v>
      </c>
      <c r="E39" s="1">
        <v>1170.1020518</v>
      </c>
      <c r="F39" s="1">
        <v>4.8250999999999997E-3</v>
      </c>
      <c r="G39" s="1">
        <v>5.5643000000000003E-3</v>
      </c>
      <c r="H39" s="1">
        <v>5.5643000000000003E-3</v>
      </c>
      <c r="I39" s="1">
        <v>5.1866000000000004E-3</v>
      </c>
      <c r="J39" s="1">
        <f t="shared" si="0"/>
        <v>0.86715310101899601</v>
      </c>
      <c r="K39" s="1">
        <f t="shared" si="1"/>
        <v>0.93212084179501464</v>
      </c>
      <c r="L39" s="1">
        <f t="shared" si="2"/>
        <v>0.93030116068329916</v>
      </c>
      <c r="Z39" s="1"/>
      <c r="AA39" s="1"/>
      <c r="AB39" s="1"/>
      <c r="AC39" s="1"/>
      <c r="AD39" s="1"/>
      <c r="AE39" s="1"/>
      <c r="AF39" s="1"/>
      <c r="AG39" s="1"/>
      <c r="AH39" s="1"/>
    </row>
    <row r="40" spans="1:34" x14ac:dyDescent="0.25">
      <c r="A40">
        <v>38</v>
      </c>
      <c r="B40" s="1">
        <v>7376.56</v>
      </c>
      <c r="C40" s="1">
        <v>6771.1084168999996</v>
      </c>
      <c r="D40" s="1">
        <v>1497.6464888999999</v>
      </c>
      <c r="E40" s="1">
        <v>1581.3864151</v>
      </c>
      <c r="F40" s="1">
        <v>8.0847000000000002E-3</v>
      </c>
      <c r="G40" s="1">
        <v>7.4210999999999999E-3</v>
      </c>
      <c r="H40" s="1">
        <v>7.4210999999999999E-3</v>
      </c>
      <c r="I40" s="1">
        <v>7.0096999999999998E-3</v>
      </c>
      <c r="J40" s="1">
        <f t="shared" si="0"/>
        <v>1.0894207058252821</v>
      </c>
      <c r="K40" s="1">
        <f t="shared" si="1"/>
        <v>0.94456347441753918</v>
      </c>
      <c r="L40" s="1">
        <f t="shared" si="2"/>
        <v>1.1533589169293978</v>
      </c>
      <c r="Z40" s="1"/>
      <c r="AA40" s="1"/>
      <c r="AB40" s="1"/>
      <c r="AC40" s="1"/>
      <c r="AD40" s="1"/>
      <c r="AE40" s="1"/>
      <c r="AF40" s="1"/>
      <c r="AG40" s="1"/>
      <c r="AH40" s="1"/>
    </row>
    <row r="41" spans="1:34" x14ac:dyDescent="0.25">
      <c r="A41">
        <v>39</v>
      </c>
      <c r="B41" s="1">
        <v>2049.127</v>
      </c>
      <c r="C41" s="1">
        <v>1999.0087473000001</v>
      </c>
      <c r="D41" s="1">
        <v>442.14451279999997</v>
      </c>
      <c r="E41" s="1">
        <v>463.99688359999999</v>
      </c>
      <c r="F41" s="1">
        <v>2.2458000000000001E-3</v>
      </c>
      <c r="G41" s="1">
        <v>2.1909E-3</v>
      </c>
      <c r="H41" s="1">
        <v>2.1909E-3</v>
      </c>
      <c r="I41" s="1">
        <v>2.0566999999999998E-3</v>
      </c>
      <c r="J41" s="1">
        <f t="shared" si="0"/>
        <v>1.0250581952622211</v>
      </c>
      <c r="K41" s="1">
        <f t="shared" si="1"/>
        <v>0.93874663380345968</v>
      </c>
      <c r="L41" s="1">
        <f t="shared" si="2"/>
        <v>1.0919434044829097</v>
      </c>
      <c r="Z41" s="1"/>
      <c r="AA41" s="1"/>
      <c r="AB41" s="1"/>
      <c r="AC41" s="1"/>
      <c r="AD41" s="1"/>
      <c r="AE41" s="1"/>
      <c r="AF41" s="1"/>
      <c r="AG41" s="1"/>
      <c r="AH41" s="1"/>
    </row>
    <row r="42" spans="1:34" x14ac:dyDescent="0.25">
      <c r="A42">
        <v>40</v>
      </c>
      <c r="B42" s="1">
        <v>2798.6759999999999</v>
      </c>
      <c r="C42" s="1">
        <v>3098.2253574000001</v>
      </c>
      <c r="D42" s="1">
        <v>685.27130899999997</v>
      </c>
      <c r="E42" s="1">
        <v>705.23263259999999</v>
      </c>
      <c r="F42" s="1">
        <v>3.0672999999999998E-3</v>
      </c>
      <c r="G42" s="1">
        <v>3.3955999999999999E-3</v>
      </c>
      <c r="H42" s="1">
        <v>3.3955999999999999E-3</v>
      </c>
      <c r="I42" s="1">
        <v>3.1259999999999999E-3</v>
      </c>
      <c r="J42" s="1">
        <f t="shared" si="0"/>
        <v>0.90331605607256449</v>
      </c>
      <c r="K42" s="1">
        <f t="shared" si="1"/>
        <v>0.92060313346683942</v>
      </c>
      <c r="L42" s="1">
        <f t="shared" si="2"/>
        <v>0.98122200895713374</v>
      </c>
      <c r="Z42" s="1"/>
      <c r="AA42" s="1"/>
      <c r="AB42" s="1"/>
      <c r="AC42" s="1"/>
      <c r="AD42" s="1"/>
      <c r="AE42" s="1"/>
      <c r="AF42" s="1"/>
      <c r="AG42" s="1"/>
      <c r="AH42" s="1"/>
    </row>
    <row r="43" spans="1:34" x14ac:dyDescent="0.25">
      <c r="A43">
        <v>41</v>
      </c>
      <c r="B43" s="1">
        <v>3625.2260000000001</v>
      </c>
      <c r="C43" s="1">
        <v>3495.8003055999998</v>
      </c>
      <c r="D43" s="1">
        <v>773.20768350000003</v>
      </c>
      <c r="E43" s="1">
        <v>816.12561670000002</v>
      </c>
      <c r="F43" s="1">
        <v>3.9731999999999996E-3</v>
      </c>
      <c r="G43" s="1">
        <v>3.8314E-3</v>
      </c>
      <c r="H43" s="1">
        <v>3.8314E-3</v>
      </c>
      <c r="I43" s="1">
        <v>3.6175999999999999E-3</v>
      </c>
      <c r="J43" s="1">
        <f t="shared" si="0"/>
        <v>1.0370099702458631</v>
      </c>
      <c r="K43" s="1">
        <f t="shared" si="1"/>
        <v>0.94419794331053919</v>
      </c>
      <c r="L43" s="1">
        <f t="shared" si="2"/>
        <v>1.098297213622291</v>
      </c>
      <c r="Z43" s="1"/>
      <c r="AA43" s="1"/>
      <c r="AB43" s="1"/>
      <c r="AC43" s="1"/>
      <c r="AD43" s="1"/>
      <c r="AE43" s="1"/>
      <c r="AF43" s="1"/>
      <c r="AG43" s="1"/>
      <c r="AH43" s="1"/>
    </row>
    <row r="44" spans="1:34" x14ac:dyDescent="0.25">
      <c r="A44">
        <v>42</v>
      </c>
      <c r="B44" s="1">
        <v>1359.095</v>
      </c>
      <c r="C44" s="1">
        <v>1370.834558</v>
      </c>
      <c r="D44" s="1">
        <v>303.2037646</v>
      </c>
      <c r="E44" s="1">
        <v>305.27789130000002</v>
      </c>
      <c r="F44" s="1">
        <v>1.4896E-3</v>
      </c>
      <c r="G44" s="1">
        <v>1.5024000000000001E-3</v>
      </c>
      <c r="H44" s="1">
        <v>1.5024000000000001E-3</v>
      </c>
      <c r="I44" s="1">
        <v>1.3531999999999999E-3</v>
      </c>
      <c r="J44" s="1">
        <f t="shared" si="0"/>
        <v>0.99148029818956329</v>
      </c>
      <c r="K44" s="1">
        <f t="shared" si="1"/>
        <v>0.90069222577209784</v>
      </c>
      <c r="L44" s="1">
        <f t="shared" si="2"/>
        <v>1.1007981081879989</v>
      </c>
      <c r="Z44" s="1"/>
      <c r="AA44" s="1"/>
      <c r="AB44" s="1"/>
      <c r="AC44" s="1"/>
      <c r="AD44" s="1"/>
      <c r="AE44" s="1"/>
      <c r="AF44" s="1"/>
      <c r="AG44" s="1"/>
      <c r="AH44" s="1"/>
    </row>
    <row r="45" spans="1:34" x14ac:dyDescent="0.25">
      <c r="A45">
        <v>43</v>
      </c>
      <c r="B45" s="1">
        <v>4416.2460000000001</v>
      </c>
      <c r="C45" s="1">
        <v>4661.9451947999996</v>
      </c>
      <c r="D45" s="1">
        <v>1031.1378024000001</v>
      </c>
      <c r="E45" s="1">
        <v>1040.2100544</v>
      </c>
      <c r="F45" s="1">
        <v>4.8402000000000002E-3</v>
      </c>
      <c r="G45" s="1">
        <v>5.1095000000000003E-3</v>
      </c>
      <c r="H45" s="1">
        <v>5.1095000000000003E-3</v>
      </c>
      <c r="I45" s="1">
        <v>4.6108E-3</v>
      </c>
      <c r="J45" s="1">
        <f t="shared" si="0"/>
        <v>0.94729425579802329</v>
      </c>
      <c r="K45" s="1">
        <f t="shared" si="1"/>
        <v>0.90239749486251097</v>
      </c>
      <c r="L45" s="1">
        <f t="shared" si="2"/>
        <v>1.0497527544027068</v>
      </c>
      <c r="Z45" s="1"/>
      <c r="AA45" s="1"/>
      <c r="AB45" s="1"/>
      <c r="AC45" s="1"/>
      <c r="AD45" s="1"/>
      <c r="AE45" s="1"/>
      <c r="AF45" s="1"/>
      <c r="AG45" s="1"/>
      <c r="AH45" s="1"/>
    </row>
    <row r="46" spans="1:34" x14ac:dyDescent="0.25">
      <c r="A46">
        <v>44</v>
      </c>
      <c r="B46" s="1">
        <v>3125.2669999999998</v>
      </c>
      <c r="C46" s="1">
        <v>3127.5166595999999</v>
      </c>
      <c r="D46" s="1">
        <v>691.75001429999998</v>
      </c>
      <c r="E46" s="1">
        <v>697.89229839999996</v>
      </c>
      <c r="F46" s="1">
        <v>3.4253E-3</v>
      </c>
      <c r="G46" s="1">
        <v>3.4277000000000001E-3</v>
      </c>
      <c r="H46" s="1">
        <v>3.4277000000000001E-3</v>
      </c>
      <c r="I46" s="1">
        <v>3.0934999999999999E-3</v>
      </c>
      <c r="J46" s="1">
        <f t="shared" si="0"/>
        <v>0.9992998220381013</v>
      </c>
      <c r="K46" s="1">
        <f t="shared" si="1"/>
        <v>0.90250021880561304</v>
      </c>
      <c r="L46" s="1">
        <f t="shared" si="2"/>
        <v>1.1072571520930985</v>
      </c>
      <c r="Z46" s="1"/>
      <c r="AA46" s="1"/>
      <c r="AB46" s="1"/>
      <c r="AC46" s="1"/>
      <c r="AD46" s="1"/>
      <c r="AE46" s="1"/>
      <c r="AF46" s="1"/>
      <c r="AG46" s="1"/>
      <c r="AH46" s="1"/>
    </row>
    <row r="47" spans="1:34" x14ac:dyDescent="0.25">
      <c r="A47">
        <v>45</v>
      </c>
      <c r="B47" s="1">
        <v>4570.7539999999999</v>
      </c>
      <c r="C47" s="1">
        <v>4260.5305742</v>
      </c>
      <c r="D47" s="1">
        <v>942.35216200000002</v>
      </c>
      <c r="E47" s="1">
        <v>976.30597909999994</v>
      </c>
      <c r="F47" s="1">
        <v>5.0095000000000001E-3</v>
      </c>
      <c r="G47" s="1">
        <v>4.6695E-3</v>
      </c>
      <c r="H47" s="1">
        <v>4.6695E-3</v>
      </c>
      <c r="I47" s="1">
        <v>4.3276E-3</v>
      </c>
      <c r="J47" s="1">
        <f t="shared" si="0"/>
        <v>1.0728129350037476</v>
      </c>
      <c r="K47" s="1">
        <f t="shared" si="1"/>
        <v>0.92678016918299599</v>
      </c>
      <c r="L47" s="1">
        <f t="shared" si="2"/>
        <v>1.1575700157130973</v>
      </c>
      <c r="Z47" s="1"/>
      <c r="AA47" s="1"/>
      <c r="AB47" s="1"/>
      <c r="AC47" s="1"/>
      <c r="AD47" s="1"/>
      <c r="AE47" s="1"/>
      <c r="AF47" s="1"/>
      <c r="AG47" s="1"/>
      <c r="AH47" s="1"/>
    </row>
    <row r="48" spans="1:34" x14ac:dyDescent="0.25">
      <c r="A48">
        <v>46</v>
      </c>
      <c r="B48" s="1">
        <v>2089.17</v>
      </c>
      <c r="C48" s="1">
        <v>2861.6703094</v>
      </c>
      <c r="D48" s="1">
        <v>632.94961880000005</v>
      </c>
      <c r="E48" s="1">
        <v>588.40762529999995</v>
      </c>
      <c r="F48" s="1">
        <v>2.2897E-3</v>
      </c>
      <c r="G48" s="1">
        <v>3.1364000000000001E-3</v>
      </c>
      <c r="H48" s="1">
        <v>3.1364000000000001E-3</v>
      </c>
      <c r="I48" s="1">
        <v>2.6082000000000002E-3</v>
      </c>
      <c r="J48" s="1">
        <f t="shared" si="0"/>
        <v>0.73004081112103048</v>
      </c>
      <c r="K48" s="1">
        <f t="shared" si="1"/>
        <v>0.8315903583726566</v>
      </c>
      <c r="L48" s="1">
        <f t="shared" si="2"/>
        <v>0.87788513150831982</v>
      </c>
      <c r="Z48" s="1"/>
      <c r="AA48" s="1"/>
      <c r="AB48" s="1"/>
      <c r="AC48" s="1"/>
      <c r="AD48" s="1"/>
      <c r="AE48" s="1"/>
      <c r="AF48" s="1"/>
      <c r="AG48" s="1"/>
      <c r="AH48" s="1"/>
    </row>
    <row r="49" spans="1:34" x14ac:dyDescent="0.25">
      <c r="A49">
        <v>47</v>
      </c>
      <c r="B49" s="1">
        <v>3598.52</v>
      </c>
      <c r="C49" s="1">
        <v>3683.3955652</v>
      </c>
      <c r="D49" s="1">
        <v>814.70035570000005</v>
      </c>
      <c r="E49" s="1">
        <v>767.43590800000004</v>
      </c>
      <c r="F49" s="1">
        <v>3.9439999999999996E-3</v>
      </c>
      <c r="G49" s="1">
        <v>4.0369999999999998E-3</v>
      </c>
      <c r="H49" s="1">
        <v>4.0369999999999998E-3</v>
      </c>
      <c r="I49" s="1">
        <v>3.4017000000000001E-3</v>
      </c>
      <c r="J49" s="1">
        <f t="shared" si="0"/>
        <v>0.97696309140450821</v>
      </c>
      <c r="K49" s="1">
        <f t="shared" si="1"/>
        <v>0.8426306663363885</v>
      </c>
      <c r="L49" s="1">
        <f t="shared" si="2"/>
        <v>1.1594202898550723</v>
      </c>
      <c r="Z49" s="1"/>
      <c r="AA49" s="1"/>
      <c r="AB49" s="1"/>
      <c r="AC49" s="1"/>
      <c r="AD49" s="1"/>
      <c r="AE49" s="1"/>
      <c r="AF49" s="1"/>
      <c r="AG49" s="1"/>
      <c r="AH49" s="1"/>
    </row>
    <row r="50" spans="1:34" x14ac:dyDescent="0.25">
      <c r="A50">
        <v>48</v>
      </c>
      <c r="B50" s="1">
        <v>2749.2669999999998</v>
      </c>
      <c r="C50" s="1">
        <v>2454.7939468</v>
      </c>
      <c r="D50" s="1">
        <v>542.95594000000006</v>
      </c>
      <c r="E50" s="1">
        <v>578.52529570000002</v>
      </c>
      <c r="F50" s="1">
        <v>3.0132000000000002E-3</v>
      </c>
      <c r="G50" s="1">
        <v>2.6903999999999999E-3</v>
      </c>
      <c r="H50" s="1">
        <v>2.6903999999999999E-3</v>
      </c>
      <c r="I50" s="1">
        <v>2.5644000000000001E-3</v>
      </c>
      <c r="J50" s="1">
        <f t="shared" si="0"/>
        <v>1.1199821587867975</v>
      </c>
      <c r="K50" s="1">
        <f t="shared" si="1"/>
        <v>0.95316681534344339</v>
      </c>
      <c r="L50" s="1">
        <f t="shared" si="2"/>
        <v>1.1750116986429575</v>
      </c>
      <c r="Z50" s="1"/>
      <c r="AA50" s="1"/>
      <c r="AB50" s="1"/>
      <c r="AC50" s="1"/>
      <c r="AD50" s="1"/>
      <c r="AE50" s="1"/>
      <c r="AF50" s="1"/>
      <c r="AG50" s="1"/>
      <c r="AH50" s="1"/>
    </row>
    <row r="51" spans="1:34" x14ac:dyDescent="0.25">
      <c r="A51">
        <v>49</v>
      </c>
      <c r="B51" s="1">
        <v>5742.4040000000005</v>
      </c>
      <c r="C51" s="1">
        <v>5627.3473248999999</v>
      </c>
      <c r="D51" s="1">
        <v>1244.6672604</v>
      </c>
      <c r="E51" s="1">
        <v>1258.3158327000001</v>
      </c>
      <c r="F51" s="1">
        <v>6.2935999999999999E-3</v>
      </c>
      <c r="G51" s="1">
        <v>6.1675000000000002E-3</v>
      </c>
      <c r="H51" s="1">
        <v>6.1675000000000002E-3</v>
      </c>
      <c r="I51" s="1">
        <v>5.5776000000000003E-3</v>
      </c>
      <c r="J51" s="1">
        <f t="shared" si="0"/>
        <v>1.0204458856911227</v>
      </c>
      <c r="K51" s="1">
        <f t="shared" si="1"/>
        <v>0.9043534657478719</v>
      </c>
      <c r="L51" s="1">
        <f t="shared" si="2"/>
        <v>1.128370625358577</v>
      </c>
      <c r="Z51" s="1"/>
      <c r="AA51" s="1"/>
      <c r="AB51" s="1"/>
      <c r="AC51" s="1"/>
      <c r="AD51" s="1"/>
      <c r="AE51" s="1"/>
      <c r="AF51" s="1"/>
      <c r="AG51" s="1"/>
      <c r="AH51" s="1"/>
    </row>
    <row r="52" spans="1:34" x14ac:dyDescent="0.25">
      <c r="A52">
        <v>50</v>
      </c>
      <c r="B52" s="1">
        <v>4131.8249999999998</v>
      </c>
      <c r="C52" s="1">
        <v>3976.2592645</v>
      </c>
      <c r="D52" s="1">
        <v>879.4764993</v>
      </c>
      <c r="E52" s="1">
        <v>925.91733910000005</v>
      </c>
      <c r="F52" s="1">
        <v>4.5285000000000004E-3</v>
      </c>
      <c r="G52" s="1">
        <v>4.3579999999999999E-3</v>
      </c>
      <c r="H52" s="1">
        <v>4.3579999999999999E-3</v>
      </c>
      <c r="I52" s="1">
        <v>4.1041999999999997E-3</v>
      </c>
      <c r="J52" s="1">
        <f t="shared" si="0"/>
        <v>1.039123451124369</v>
      </c>
      <c r="K52" s="1">
        <f t="shared" si="1"/>
        <v>0.94176227627351994</v>
      </c>
      <c r="L52" s="1">
        <f t="shared" si="2"/>
        <v>1.1033819014667903</v>
      </c>
      <c r="Z52" s="1"/>
      <c r="AA52" s="1"/>
      <c r="AB52" s="1"/>
      <c r="AC52" s="1"/>
      <c r="AD52" s="1"/>
      <c r="AE52" s="1"/>
      <c r="AF52" s="1"/>
      <c r="AG52" s="1"/>
      <c r="AH52" s="1"/>
    </row>
    <row r="53" spans="1:34" x14ac:dyDescent="0.25">
      <c r="A53">
        <v>51</v>
      </c>
      <c r="B53" s="1">
        <v>2785.797</v>
      </c>
      <c r="C53" s="1">
        <v>2656.0096598999999</v>
      </c>
      <c r="D53" s="1">
        <v>587.46120970000004</v>
      </c>
      <c r="E53" s="1">
        <v>603.09503989999996</v>
      </c>
      <c r="F53" s="1">
        <v>3.0531999999999998E-3</v>
      </c>
      <c r="G53" s="1">
        <v>2.911E-3</v>
      </c>
      <c r="H53" s="1">
        <v>2.911E-3</v>
      </c>
      <c r="I53" s="1">
        <v>2.6733E-3</v>
      </c>
      <c r="J53" s="1">
        <f t="shared" si="0"/>
        <v>1.0488491927172792</v>
      </c>
      <c r="K53" s="1">
        <f t="shared" si="1"/>
        <v>0.91834421161113022</v>
      </c>
      <c r="L53" s="1">
        <f t="shared" si="2"/>
        <v>1.1421090038529158</v>
      </c>
      <c r="Z53" s="1"/>
      <c r="AA53" s="1"/>
      <c r="AB53" s="1"/>
      <c r="AC53" s="1"/>
      <c r="AD53" s="1"/>
      <c r="AE53" s="1"/>
      <c r="AF53" s="1"/>
      <c r="AG53" s="1"/>
      <c r="AH53" s="1"/>
    </row>
    <row r="54" spans="1:34" x14ac:dyDescent="0.25">
      <c r="A54">
        <v>52</v>
      </c>
      <c r="B54" s="1">
        <v>11717.98</v>
      </c>
      <c r="C54" s="1">
        <v>10546.1552536</v>
      </c>
      <c r="D54" s="1">
        <v>2332.6184452000002</v>
      </c>
      <c r="E54" s="1">
        <v>2214.6097593999998</v>
      </c>
      <c r="F54" s="1">
        <v>1.28428E-2</v>
      </c>
      <c r="G54" s="1">
        <v>1.1558499999999999E-2</v>
      </c>
      <c r="H54" s="1">
        <v>1.1558499999999999E-2</v>
      </c>
      <c r="I54" s="1">
        <v>9.8165000000000006E-3</v>
      </c>
      <c r="J54" s="1">
        <f t="shared" si="0"/>
        <v>1.1111130336981443</v>
      </c>
      <c r="K54" s="1">
        <f t="shared" si="1"/>
        <v>0.84928840247436965</v>
      </c>
      <c r="L54" s="1">
        <f t="shared" si="2"/>
        <v>1.308287067692151</v>
      </c>
      <c r="Z54" s="1"/>
      <c r="AA54" s="1"/>
      <c r="AB54" s="1"/>
      <c r="AC54" s="1"/>
      <c r="AD54" s="1"/>
      <c r="AE54" s="1"/>
      <c r="AF54" s="1"/>
      <c r="AG54" s="1"/>
      <c r="AH54" s="1"/>
    </row>
    <row r="55" spans="1:34" x14ac:dyDescent="0.25">
      <c r="A55">
        <v>53</v>
      </c>
      <c r="B55" s="1">
        <v>3816.1509999999998</v>
      </c>
      <c r="C55" s="1">
        <v>3348.3204792000001</v>
      </c>
      <c r="D55" s="1">
        <v>740.58781820000002</v>
      </c>
      <c r="E55" s="1">
        <v>750.5697649</v>
      </c>
      <c r="F55" s="1">
        <v>4.1824999999999996E-3</v>
      </c>
      <c r="G55" s="1">
        <v>3.6697000000000001E-3</v>
      </c>
      <c r="H55" s="1">
        <v>3.6697000000000001E-3</v>
      </c>
      <c r="I55" s="1">
        <v>3.3270000000000001E-3</v>
      </c>
      <c r="J55" s="1">
        <f t="shared" si="0"/>
        <v>1.1397389432378666</v>
      </c>
      <c r="K55" s="1">
        <f t="shared" si="1"/>
        <v>0.90661361964193254</v>
      </c>
      <c r="L55" s="1">
        <f t="shared" si="2"/>
        <v>1.2571385632702132</v>
      </c>
      <c r="Z55" s="1"/>
      <c r="AA55" s="1"/>
      <c r="AB55" s="1"/>
      <c r="AC55" s="1"/>
      <c r="AD55" s="1"/>
      <c r="AE55" s="1"/>
      <c r="AF55" s="1"/>
      <c r="AG55" s="1"/>
      <c r="AH55" s="1"/>
    </row>
    <row r="56" spans="1:34" x14ac:dyDescent="0.25">
      <c r="A56">
        <v>54</v>
      </c>
      <c r="B56" s="1">
        <v>1899.5889999999999</v>
      </c>
      <c r="C56" s="1">
        <v>1818.4537103</v>
      </c>
      <c r="D56" s="1">
        <v>402.20901020000002</v>
      </c>
      <c r="E56" s="1">
        <v>403.60349200000002</v>
      </c>
      <c r="F56" s="1">
        <v>2.0818999999999998E-3</v>
      </c>
      <c r="G56" s="1">
        <v>1.993E-3</v>
      </c>
      <c r="H56" s="1">
        <v>1.993E-3</v>
      </c>
      <c r="I56" s="1">
        <v>1.789E-3</v>
      </c>
      <c r="J56" s="1">
        <f t="shared" si="0"/>
        <v>1.0446061214249873</v>
      </c>
      <c r="K56" s="1">
        <f t="shared" si="1"/>
        <v>0.89764174611138992</v>
      </c>
      <c r="L56" s="1">
        <f t="shared" si="2"/>
        <v>1.1637227501397427</v>
      </c>
      <c r="Z56" s="1"/>
      <c r="AA56" s="1"/>
      <c r="AB56" s="1"/>
      <c r="AC56" s="1"/>
      <c r="AD56" s="1"/>
      <c r="AE56" s="1"/>
      <c r="AF56" s="1"/>
      <c r="AG56" s="1"/>
      <c r="AH56" s="1"/>
    </row>
    <row r="57" spans="1:34" x14ac:dyDescent="0.25">
      <c r="A57">
        <v>55</v>
      </c>
      <c r="B57" s="1">
        <v>39314.89</v>
      </c>
      <c r="C57" s="1">
        <v>35139.871548800002</v>
      </c>
      <c r="D57" s="1">
        <v>7772.3028500999999</v>
      </c>
      <c r="E57" s="1">
        <v>8268.8288088000008</v>
      </c>
      <c r="F57" s="1">
        <v>4.3088899999999999E-2</v>
      </c>
      <c r="G57" s="1">
        <v>3.8513100000000001E-2</v>
      </c>
      <c r="H57" s="1">
        <v>3.8513100000000001E-2</v>
      </c>
      <c r="I57" s="1">
        <v>3.6652499999999998E-2</v>
      </c>
      <c r="J57" s="1">
        <f t="shared" si="0"/>
        <v>1.1188115212745793</v>
      </c>
      <c r="K57" s="1">
        <f t="shared" si="1"/>
        <v>0.95168916550472427</v>
      </c>
      <c r="L57" s="1">
        <f t="shared" si="2"/>
        <v>1.1756060296023465</v>
      </c>
      <c r="Z57" s="1"/>
      <c r="AA57" s="1"/>
      <c r="AB57" s="1"/>
      <c r="AC57" s="1"/>
      <c r="AD57" s="1"/>
      <c r="AE57" s="1"/>
      <c r="AF57" s="1"/>
      <c r="AG57" s="1"/>
      <c r="AH57" s="1"/>
    </row>
    <row r="58" spans="1:34" x14ac:dyDescent="0.25">
      <c r="A58">
        <v>56</v>
      </c>
      <c r="B58" s="1">
        <v>13557.14</v>
      </c>
      <c r="C58" s="1">
        <v>13897.098743500001</v>
      </c>
      <c r="D58" s="1">
        <v>3073.7864258</v>
      </c>
      <c r="E58" s="1">
        <v>2964.6106503999999</v>
      </c>
      <c r="F58" s="1">
        <v>1.48585E-2</v>
      </c>
      <c r="G58" s="1">
        <v>1.5231099999999999E-2</v>
      </c>
      <c r="H58" s="1">
        <v>1.5231099999999999E-2</v>
      </c>
      <c r="I58" s="1">
        <v>1.3141E-2</v>
      </c>
      <c r="J58" s="1">
        <f t="shared" si="0"/>
        <v>0.97553689490581774</v>
      </c>
      <c r="K58" s="1">
        <f t="shared" si="1"/>
        <v>0.86277419227764252</v>
      </c>
      <c r="L58" s="1">
        <f t="shared" si="2"/>
        <v>1.1306978159957386</v>
      </c>
      <c r="Z58" s="1"/>
      <c r="AA58" s="1"/>
      <c r="AB58" s="1"/>
      <c r="AC58" s="1"/>
      <c r="AD58" s="1"/>
      <c r="AE58" s="1"/>
      <c r="AF58" s="1"/>
      <c r="AG58" s="1"/>
      <c r="AH58" s="1"/>
    </row>
    <row r="59" spans="1:34" x14ac:dyDescent="0.25">
      <c r="A59">
        <v>57</v>
      </c>
      <c r="B59" s="1">
        <v>4644.0420000000004</v>
      </c>
      <c r="C59" s="1">
        <v>5645.4569689</v>
      </c>
      <c r="D59" s="1">
        <v>1248.6727854999999</v>
      </c>
      <c r="E59" s="1">
        <v>1250.4293361</v>
      </c>
      <c r="F59" s="1">
        <v>5.0898000000000002E-3</v>
      </c>
      <c r="G59" s="1">
        <v>6.1874E-3</v>
      </c>
      <c r="H59" s="1">
        <v>6.1874E-3</v>
      </c>
      <c r="I59" s="1">
        <v>5.5427000000000002E-3</v>
      </c>
      <c r="J59" s="1">
        <f t="shared" si="0"/>
        <v>0.82260723405630798</v>
      </c>
      <c r="K59" s="1">
        <f t="shared" si="1"/>
        <v>0.89580437663639012</v>
      </c>
      <c r="L59" s="1">
        <f t="shared" si="2"/>
        <v>0.91828892056218092</v>
      </c>
      <c r="Z59" s="1"/>
      <c r="AA59" s="1"/>
      <c r="AB59" s="1"/>
      <c r="AC59" s="1"/>
      <c r="AD59" s="1"/>
      <c r="AE59" s="1"/>
      <c r="AF59" s="1"/>
      <c r="AG59" s="1"/>
      <c r="AH59" s="1"/>
    </row>
    <row r="60" spans="1:34" x14ac:dyDescent="0.25">
      <c r="A60">
        <v>58</v>
      </c>
      <c r="B60" s="1">
        <v>3612.9169999999999</v>
      </c>
      <c r="C60" s="1">
        <v>3501.1181839999999</v>
      </c>
      <c r="D60" s="1">
        <v>774.38390179999999</v>
      </c>
      <c r="E60" s="1">
        <v>773.56930929999999</v>
      </c>
      <c r="F60" s="1">
        <v>3.9597E-3</v>
      </c>
      <c r="G60" s="1">
        <v>3.8371999999999998E-3</v>
      </c>
      <c r="H60" s="1">
        <v>3.8371999999999998E-3</v>
      </c>
      <c r="I60" s="1">
        <v>3.4288999999999999E-3</v>
      </c>
      <c r="J60" s="1">
        <f t="shared" si="0"/>
        <v>1.0319243198165329</v>
      </c>
      <c r="K60" s="1">
        <f t="shared" si="1"/>
        <v>0.8935942875013031</v>
      </c>
      <c r="L60" s="1">
        <f t="shared" si="2"/>
        <v>1.1548018314911488</v>
      </c>
      <c r="Z60" s="1"/>
      <c r="AA60" s="1"/>
      <c r="AB60" s="1"/>
      <c r="AC60" s="1"/>
      <c r="AD60" s="1"/>
      <c r="AE60" s="1"/>
      <c r="AF60" s="1"/>
      <c r="AG60" s="1"/>
      <c r="AH60" s="1"/>
    </row>
    <row r="61" spans="1:34" x14ac:dyDescent="0.25">
      <c r="A61">
        <v>59</v>
      </c>
      <c r="B61" s="1">
        <v>2223.6289999999999</v>
      </c>
      <c r="C61" s="1">
        <v>1778.6708758</v>
      </c>
      <c r="D61" s="1">
        <v>393.40976810000001</v>
      </c>
      <c r="E61" s="1">
        <v>414.63202039999999</v>
      </c>
      <c r="F61" s="1">
        <v>2.4371000000000002E-3</v>
      </c>
      <c r="G61" s="1">
        <v>1.9494E-3</v>
      </c>
      <c r="H61" s="1">
        <v>1.9494E-3</v>
      </c>
      <c r="I61" s="1">
        <v>1.8379E-3</v>
      </c>
      <c r="J61" s="1">
        <f t="shared" si="0"/>
        <v>1.2501795424233098</v>
      </c>
      <c r="K61" s="1">
        <f t="shared" si="1"/>
        <v>0.94280291371704106</v>
      </c>
      <c r="L61" s="1">
        <f t="shared" si="2"/>
        <v>1.3260242668262692</v>
      </c>
      <c r="Z61" s="1"/>
      <c r="AA61" s="1"/>
      <c r="AB61" s="1"/>
      <c r="AC61" s="1"/>
      <c r="AD61" s="1"/>
      <c r="AE61" s="1"/>
      <c r="AF61" s="1"/>
      <c r="AG61" s="1"/>
      <c r="AH61" s="1"/>
    </row>
    <row r="62" spans="1:34" x14ac:dyDescent="0.25">
      <c r="A62">
        <v>60</v>
      </c>
      <c r="B62" s="1">
        <v>6279.4160000000002</v>
      </c>
      <c r="C62" s="1">
        <v>6132.5133991000002</v>
      </c>
      <c r="D62" s="1">
        <v>1356.4008424000001</v>
      </c>
      <c r="E62" s="1">
        <v>1342.1649591</v>
      </c>
      <c r="F62" s="1">
        <v>6.8821999999999998E-3</v>
      </c>
      <c r="G62" s="1">
        <v>6.7212000000000001E-3</v>
      </c>
      <c r="H62" s="1">
        <v>6.7212000000000001E-3</v>
      </c>
      <c r="I62" s="1">
        <v>5.9493000000000002E-3</v>
      </c>
      <c r="J62" s="1">
        <f t="shared" si="0"/>
        <v>1.0239540558233649</v>
      </c>
      <c r="K62" s="1">
        <f t="shared" si="1"/>
        <v>0.88515443670773075</v>
      </c>
      <c r="L62" s="1">
        <f t="shared" si="2"/>
        <v>1.1568083640092111</v>
      </c>
      <c r="Z62" s="1"/>
      <c r="AA62" s="1"/>
      <c r="AB62" s="1"/>
      <c r="AC62" s="1"/>
      <c r="AD62" s="1"/>
      <c r="AE62" s="1"/>
      <c r="AF62" s="1"/>
      <c r="AG62" s="1"/>
      <c r="AH62" s="1"/>
    </row>
    <row r="63" spans="1:34" x14ac:dyDescent="0.25">
      <c r="A63">
        <v>61</v>
      </c>
      <c r="B63" s="1">
        <v>37903.53</v>
      </c>
      <c r="C63" s="1">
        <v>46622.880772199998</v>
      </c>
      <c r="D63" s="1">
        <v>10312.1364175</v>
      </c>
      <c r="E63" s="1">
        <v>14246.460198799999</v>
      </c>
      <c r="F63" s="1">
        <v>4.1542000000000003E-2</v>
      </c>
      <c r="G63" s="1">
        <v>5.1098400000000002E-2</v>
      </c>
      <c r="H63" s="1">
        <v>5.1098400000000002E-2</v>
      </c>
      <c r="I63" s="1">
        <v>6.3148999999999997E-2</v>
      </c>
      <c r="J63" s="1">
        <f t="shared" si="0"/>
        <v>0.81298044557168136</v>
      </c>
      <c r="K63" s="1">
        <f t="shared" si="1"/>
        <v>1.2358312589043883</v>
      </c>
      <c r="L63" s="1">
        <f t="shared" si="2"/>
        <v>0.65784097927124741</v>
      </c>
      <c r="Z63" s="1"/>
      <c r="AA63" s="1"/>
      <c r="AB63" s="1"/>
      <c r="AC63" s="1"/>
      <c r="AD63" s="1"/>
      <c r="AE63" s="1"/>
      <c r="AF63" s="1"/>
      <c r="AG63" s="1"/>
      <c r="AH63" s="1"/>
    </row>
    <row r="64" spans="1:34" x14ac:dyDescent="0.25">
      <c r="A64">
        <v>62</v>
      </c>
      <c r="B64" s="1">
        <v>14583.98</v>
      </c>
      <c r="C64" s="1">
        <v>11392.3414682</v>
      </c>
      <c r="D64" s="1">
        <v>2519.7795028999999</v>
      </c>
      <c r="E64" s="1">
        <v>3911.7092747000002</v>
      </c>
      <c r="F64" s="1">
        <v>1.5984000000000002E-2</v>
      </c>
      <c r="G64" s="1">
        <v>1.2485899999999999E-2</v>
      </c>
      <c r="H64" s="1">
        <v>1.2485899999999999E-2</v>
      </c>
      <c r="I64" s="1">
        <v>1.73391E-2</v>
      </c>
      <c r="J64" s="1">
        <f t="shared" si="0"/>
        <v>1.2801640250202231</v>
      </c>
      <c r="K64" s="1">
        <f t="shared" si="1"/>
        <v>1.3886944473365956</v>
      </c>
      <c r="L64" s="1">
        <f t="shared" si="2"/>
        <v>0.92184715469661072</v>
      </c>
      <c r="Z64" s="1"/>
      <c r="AA64" s="1"/>
      <c r="AB64" s="1"/>
      <c r="AC64" s="1"/>
      <c r="AD64" s="1"/>
      <c r="AE64" s="1"/>
      <c r="AF64" s="1"/>
      <c r="AG64" s="1"/>
      <c r="AH64" s="1"/>
    </row>
    <row r="65" spans="1:34" x14ac:dyDescent="0.25">
      <c r="A65">
        <v>63</v>
      </c>
      <c r="B65" s="1">
        <v>2301.665</v>
      </c>
      <c r="C65" s="1">
        <v>2049.6855255999999</v>
      </c>
      <c r="D65" s="1">
        <v>453.35329789999997</v>
      </c>
      <c r="E65" s="1">
        <v>533.03296809999995</v>
      </c>
      <c r="F65" s="1">
        <v>2.5225999999999998E-3</v>
      </c>
      <c r="G65" s="1">
        <v>2.2464E-3</v>
      </c>
      <c r="H65" s="1">
        <v>2.2464E-3</v>
      </c>
      <c r="I65" s="1">
        <v>2.3627000000000001E-3</v>
      </c>
      <c r="J65" s="1">
        <f t="shared" si="0"/>
        <v>1.1229522792022792</v>
      </c>
      <c r="K65" s="1">
        <f t="shared" si="1"/>
        <v>1.0517717236467237</v>
      </c>
      <c r="L65" s="1">
        <f t="shared" si="2"/>
        <v>1.0676768104287466</v>
      </c>
      <c r="Z65" s="1"/>
      <c r="AA65" s="1"/>
      <c r="AB65" s="1"/>
      <c r="AC65" s="1"/>
      <c r="AD65" s="1"/>
      <c r="AE65" s="1"/>
      <c r="AF65" s="1"/>
      <c r="AG65" s="1"/>
      <c r="AH65" s="1"/>
    </row>
    <row r="66" spans="1:34" x14ac:dyDescent="0.25">
      <c r="A66">
        <v>64</v>
      </c>
      <c r="B66" s="1">
        <v>27078.42</v>
      </c>
      <c r="C66" s="1">
        <v>18197.8971757</v>
      </c>
      <c r="D66" s="1">
        <v>4025.0451082999998</v>
      </c>
      <c r="E66" s="1">
        <v>9368.2836188000001</v>
      </c>
      <c r="F66" s="1">
        <v>2.9677800000000001E-2</v>
      </c>
      <c r="G66" s="1">
        <v>1.9944799999999999E-2</v>
      </c>
      <c r="H66" s="1">
        <v>1.9944799999999999E-2</v>
      </c>
      <c r="I66" s="1">
        <v>4.1525899999999998E-2</v>
      </c>
      <c r="J66" s="1">
        <f t="shared" si="0"/>
        <v>1.4879968713649674</v>
      </c>
      <c r="K66" s="1">
        <f t="shared" si="1"/>
        <v>2.0820414343588305</v>
      </c>
      <c r="L66" s="1">
        <f t="shared" si="2"/>
        <v>0.71468168058970427</v>
      </c>
      <c r="Z66" s="1"/>
      <c r="AA66" s="1"/>
      <c r="AB66" s="1"/>
      <c r="AC66" s="1"/>
      <c r="AD66" s="1"/>
      <c r="AE66" s="1"/>
      <c r="AF66" s="1"/>
      <c r="AG66" s="1"/>
      <c r="AH66" s="1"/>
    </row>
    <row r="67" spans="1:34" x14ac:dyDescent="0.25">
      <c r="A67">
        <v>65</v>
      </c>
      <c r="B67" s="1">
        <v>130256.3</v>
      </c>
      <c r="C67" s="1">
        <v>152170.4406565</v>
      </c>
      <c r="D67" s="1">
        <v>33657.344136</v>
      </c>
      <c r="E67" s="1">
        <v>30929.2004925</v>
      </c>
      <c r="F67" s="1">
        <v>0.1427601</v>
      </c>
      <c r="G67" s="1">
        <v>0.16677790000000001</v>
      </c>
      <c r="H67" s="1">
        <v>0.16677790000000001</v>
      </c>
      <c r="I67" s="1">
        <v>0.1370971</v>
      </c>
      <c r="J67" s="1">
        <f t="shared" si="0"/>
        <v>0.85598931273268219</v>
      </c>
      <c r="K67" s="1">
        <f t="shared" si="1"/>
        <v>0.82203397452540172</v>
      </c>
      <c r="L67" s="1">
        <f t="shared" si="2"/>
        <v>1.0413064900716353</v>
      </c>
      <c r="Z67" s="1"/>
      <c r="AA67" s="1"/>
      <c r="AB67" s="1"/>
      <c r="AC67" s="1"/>
      <c r="AD67" s="1"/>
      <c r="AE67" s="1"/>
      <c r="AF67" s="1"/>
      <c r="AG67" s="1"/>
      <c r="AH67" s="1"/>
    </row>
    <row r="68" spans="1:34" x14ac:dyDescent="0.25">
      <c r="A68">
        <v>66</v>
      </c>
      <c r="B68" s="1">
        <v>32616.17</v>
      </c>
      <c r="C68" s="1">
        <v>29037.826923799999</v>
      </c>
      <c r="D68" s="1">
        <v>6422.6411484</v>
      </c>
      <c r="E68" s="1">
        <v>6397.8576479000003</v>
      </c>
      <c r="F68" s="1">
        <v>3.5747099999999997E-2</v>
      </c>
      <c r="G68" s="1">
        <v>3.1825300000000001E-2</v>
      </c>
      <c r="H68" s="1">
        <v>3.1825300000000001E-2</v>
      </c>
      <c r="I68" s="1">
        <v>2.8359200000000001E-2</v>
      </c>
      <c r="J68" s="1">
        <f t="shared" ref="J68:J73" si="3">+F68/G68</f>
        <v>1.1232290033401098</v>
      </c>
      <c r="K68" s="1">
        <f t="shared" ref="K68:K73" si="4">+I68/G68</f>
        <v>0.89108979334051841</v>
      </c>
      <c r="L68" s="1">
        <f t="shared" ref="L68:L73" si="5">+F68/I68</f>
        <v>1.2605115800163613</v>
      </c>
      <c r="Z68" s="1"/>
      <c r="AA68" s="1"/>
      <c r="AB68" s="1"/>
      <c r="AC68" s="1"/>
      <c r="AD68" s="1"/>
      <c r="AE68" s="1"/>
      <c r="AF68" s="1"/>
      <c r="AG68" s="1"/>
      <c r="AH68" s="1"/>
    </row>
    <row r="69" spans="1:34" x14ac:dyDescent="0.25">
      <c r="A69">
        <v>67</v>
      </c>
      <c r="B69" s="1">
        <v>15398.02</v>
      </c>
      <c r="C69" s="1">
        <v>16671.886065999999</v>
      </c>
      <c r="D69" s="1">
        <v>3687.5191023000002</v>
      </c>
      <c r="E69" s="1">
        <v>4230.3853003000004</v>
      </c>
      <c r="F69" s="1">
        <v>1.6876100000000002E-2</v>
      </c>
      <c r="G69" s="1">
        <v>1.8272299999999998E-2</v>
      </c>
      <c r="H69" s="1">
        <v>1.8272299999999998E-2</v>
      </c>
      <c r="I69" s="1">
        <v>1.87516E-2</v>
      </c>
      <c r="J69" s="1">
        <f t="shared" si="3"/>
        <v>0.9235892580572781</v>
      </c>
      <c r="K69" s="1">
        <f t="shared" si="4"/>
        <v>1.0262309616195007</v>
      </c>
      <c r="L69" s="1">
        <f t="shared" si="5"/>
        <v>0.89998186821391246</v>
      </c>
      <c r="Z69" s="1"/>
      <c r="AA69" s="1"/>
      <c r="AB69" s="1"/>
      <c r="AC69" s="1"/>
      <c r="AD69" s="1"/>
      <c r="AE69" s="1"/>
      <c r="AF69" s="1"/>
      <c r="AG69" s="1"/>
      <c r="AH69" s="1"/>
    </row>
    <row r="70" spans="1:34" x14ac:dyDescent="0.25">
      <c r="A70">
        <v>68</v>
      </c>
      <c r="B70" s="1">
        <v>24937.63</v>
      </c>
      <c r="C70" s="1">
        <v>15292.609315</v>
      </c>
      <c r="D70" s="1">
        <v>3382.4480775000002</v>
      </c>
      <c r="E70" s="1">
        <v>3553.8150249999999</v>
      </c>
      <c r="F70" s="1">
        <v>2.7331500000000002E-2</v>
      </c>
      <c r="G70" s="1">
        <v>1.67606E-2</v>
      </c>
      <c r="H70" s="1">
        <v>1.67606E-2</v>
      </c>
      <c r="I70" s="1">
        <v>1.5752700000000001E-2</v>
      </c>
      <c r="J70" s="1">
        <f t="shared" si="3"/>
        <v>1.6306993783038795</v>
      </c>
      <c r="K70" s="1">
        <f t="shared" si="4"/>
        <v>0.93986492130353338</v>
      </c>
      <c r="L70" s="1">
        <f t="shared" si="5"/>
        <v>1.7350358986078576</v>
      </c>
      <c r="Z70" s="1"/>
      <c r="AA70" s="1"/>
      <c r="AB70" s="1"/>
      <c r="AC70" s="1"/>
      <c r="AD70" s="1"/>
      <c r="AE70" s="1"/>
      <c r="AF70" s="1"/>
      <c r="AG70" s="1"/>
      <c r="AH70" s="1"/>
    </row>
    <row r="71" spans="1:34" x14ac:dyDescent="0.25">
      <c r="A71">
        <v>69</v>
      </c>
      <c r="B71" s="1">
        <v>10634.96</v>
      </c>
      <c r="C71" s="1">
        <v>10949.0032904</v>
      </c>
      <c r="D71" s="1">
        <v>2421.7211312999998</v>
      </c>
      <c r="E71" s="1">
        <v>2647.2232941000002</v>
      </c>
      <c r="F71" s="1">
        <v>1.16559E-2</v>
      </c>
      <c r="G71" s="1">
        <v>1.2E-2</v>
      </c>
      <c r="H71" s="1">
        <v>1.2E-2</v>
      </c>
      <c r="I71" s="1">
        <v>1.1734100000000001E-2</v>
      </c>
      <c r="J71" s="1">
        <f t="shared" si="3"/>
        <v>0.97132499999999999</v>
      </c>
      <c r="K71" s="1">
        <f t="shared" si="4"/>
        <v>0.97784166666666672</v>
      </c>
      <c r="L71" s="1">
        <f t="shared" si="5"/>
        <v>0.99333566272658314</v>
      </c>
      <c r="Z71" s="1"/>
      <c r="AA71" s="1"/>
      <c r="AB71" s="1"/>
      <c r="AC71" s="1"/>
      <c r="AD71" s="1"/>
      <c r="AE71" s="1"/>
      <c r="AF71" s="1"/>
      <c r="AG71" s="1"/>
      <c r="AH71" s="1"/>
    </row>
    <row r="72" spans="1:34" x14ac:dyDescent="0.25">
      <c r="A72">
        <v>70</v>
      </c>
      <c r="B72" s="1">
        <v>7601.0320000000002</v>
      </c>
      <c r="C72" s="1">
        <v>7151.8065211000003</v>
      </c>
      <c r="D72" s="1">
        <v>1581.8500113</v>
      </c>
      <c r="E72" s="1">
        <v>1733.0147999000001</v>
      </c>
      <c r="F72" s="1">
        <v>8.3306999999999999E-3</v>
      </c>
      <c r="G72" s="1">
        <v>7.8382999999999994E-3</v>
      </c>
      <c r="H72" s="1">
        <v>7.8382999999999994E-3</v>
      </c>
      <c r="I72" s="1">
        <v>7.6817999999999999E-3</v>
      </c>
      <c r="J72" s="1">
        <f t="shared" si="3"/>
        <v>1.0628197440771596</v>
      </c>
      <c r="K72" s="1">
        <f t="shared" si="4"/>
        <v>0.98003393592998489</v>
      </c>
      <c r="L72" s="1">
        <f t="shared" si="5"/>
        <v>1.0844723892837616</v>
      </c>
      <c r="Z72" s="1"/>
      <c r="AA72" s="1"/>
      <c r="AB72" s="1"/>
      <c r="AC72" s="1"/>
      <c r="AD72" s="1"/>
      <c r="AE72" s="1"/>
      <c r="AF72" s="1"/>
      <c r="AG72" s="1"/>
      <c r="AH72" s="1"/>
    </row>
    <row r="73" spans="1:34" x14ac:dyDescent="0.25">
      <c r="A73">
        <v>71</v>
      </c>
      <c r="B73" s="1">
        <v>33415.440000000002</v>
      </c>
      <c r="C73" s="1">
        <v>41818.799539300002</v>
      </c>
      <c r="D73" s="1">
        <v>9249.5606989999997</v>
      </c>
      <c r="E73" s="1">
        <v>10533.290787800001</v>
      </c>
      <c r="F73" s="1">
        <v>3.6623099999999999E-2</v>
      </c>
      <c r="G73" s="1">
        <v>4.5833199999999998E-2</v>
      </c>
      <c r="H73" s="1">
        <v>4.5833199999999998E-2</v>
      </c>
      <c r="I73" s="1">
        <v>4.6690000000000002E-2</v>
      </c>
      <c r="J73" s="1">
        <f t="shared" si="3"/>
        <v>0.79905177905972091</v>
      </c>
      <c r="K73" s="1">
        <f t="shared" si="4"/>
        <v>1.0186938725639929</v>
      </c>
      <c r="L73" s="1">
        <f t="shared" si="5"/>
        <v>0.78438852002570136</v>
      </c>
      <c r="Z73" s="1"/>
      <c r="AA73" s="1"/>
      <c r="AB73" s="1"/>
      <c r="AC73" s="1"/>
      <c r="AD73" s="1"/>
      <c r="AE73" s="1"/>
      <c r="AF73" s="1"/>
      <c r="AG73" s="1"/>
      <c r="AH73" s="1"/>
    </row>
  </sheetData>
  <pageMargins left="0.7" right="0.7" top="0.75" bottom="0.75" header="0.3" footer="0.3"/>
  <headerFooter>
    <oddHeader>&amp;L&amp;"Calibri"&amp;11&amp;K000000 PERSONAL/NONWORK // EXTERNAL&amp;1#_x000D_</oddHeader>
  </headerFooter>
</worksheet>
</file>

<file path=docMetadata/LabelInfo.xml><?xml version="1.0" encoding="utf-8"?>
<clbl:labelList xmlns:clbl="http://schemas.microsoft.com/office/2020/mipLabelMetadata">
  <clbl:label id="{d7ea93e3-e39d-47c1-8196-dda37fa8a38c}" enabled="1" method="Privileged" siteId="{b397c653-5b19-463f-b9fc-af658ded91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Nicholas C</dc:creator>
  <cp:lastModifiedBy>Anderson, Nicholas C</cp:lastModifiedBy>
  <dcterms:created xsi:type="dcterms:W3CDTF">2025-10-03T15:33:48Z</dcterms:created>
  <dcterms:modified xsi:type="dcterms:W3CDTF">2025-10-03T17:30:00Z</dcterms:modified>
</cp:coreProperties>
</file>
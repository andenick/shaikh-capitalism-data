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29" documentId="8_{4DFA2206-1134-4BAB-8B64-64E07D0B6709}" xr6:coauthVersionLast="47" xr6:coauthVersionMax="47" xr10:uidLastSave="{259FDEFC-178E-4223-BBD1-2B55CA2948EC}"/>
  <bookViews>
    <workbookView xWindow="-28920" yWindow="-300" windowWidth="29040" windowHeight="15720" xr2:uid="{434C7444-480B-44C9-A8D5-88532FB499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</calcChain>
</file>

<file path=xl/sharedStrings.xml><?xml version="1.0" encoding="utf-8"?>
<sst xmlns="http://schemas.openxmlformats.org/spreadsheetml/2006/main" count="13" uniqueCount="13">
  <si>
    <t>Index</t>
  </si>
  <si>
    <t>LTVCalc1998stdREadjCirc.xmcd</t>
  </si>
  <si>
    <t>tpm</t>
  </si>
  <si>
    <t>tv</t>
  </si>
  <si>
    <t>td</t>
  </si>
  <si>
    <t>tp(r)</t>
  </si>
  <si>
    <t>tpmr = tpm/TPM</t>
  </si>
  <si>
    <t>tvr = tv/TV</t>
  </si>
  <si>
    <t>tdr = td/TD</t>
  </si>
  <si>
    <t>tp(r) = tp(r)/TP(r)</t>
  </si>
  <si>
    <t>Total Direct Prices</t>
  </si>
  <si>
    <t>Total Market Prices</t>
  </si>
  <si>
    <t>r observed = 0.2971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</si>
</sst>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E23A-36BA-4193-AF66-83FA3374696D}">
  <dimension ref="A1:AB67"/>
  <sheetViews>
    <sheetView tabSelected="1" workbookViewId="0"/>
  </sheetViews>
  <sheetFormatPr defaultRowHeight="15" x14ac:dyDescent="0.25"/>
  <cols>
    <col min="2" max="2" width="10.140625" bestFit="1" customWidth="1"/>
    <col min="3" max="5" width="12.140625" bestFit="1" customWidth="1"/>
    <col min="6" max="6" width="15.140625" bestFit="1" customWidth="1"/>
    <col min="7" max="8" width="10.140625" bestFit="1" customWidth="1"/>
    <col min="9" max="9" width="15.85546875" bestFit="1" customWidth="1"/>
  </cols>
  <sheetData>
    <row r="1" spans="1:28" x14ac:dyDescent="0.25">
      <c r="A1" t="s">
        <v>1</v>
      </c>
      <c r="B1" t="s">
        <v>11</v>
      </c>
      <c r="C1" t="s">
        <v>10</v>
      </c>
      <c r="E1" t="s">
        <v>12</v>
      </c>
    </row>
    <row r="2" spans="1:28" x14ac:dyDescent="0.25">
      <c r="A2" t="s">
        <v>0</v>
      </c>
      <c r="B2" t="s">
        <v>2</v>
      </c>
      <c r="C2" t="s">
        <v>4</v>
      </c>
      <c r="D2" t="s">
        <v>3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28" x14ac:dyDescent="0.25">
      <c r="A3">
        <v>1</v>
      </c>
      <c r="B3" s="1">
        <v>207859</v>
      </c>
      <c r="C3" s="1">
        <v>130559.9099767</v>
      </c>
      <c r="D3" s="1">
        <v>2024.1006964999999</v>
      </c>
      <c r="E3" s="1">
        <v>2518.6297908000001</v>
      </c>
      <c r="F3" s="1">
        <v>1.358E-2</v>
      </c>
      <c r="G3" s="1">
        <v>8.5298000000000006E-3</v>
      </c>
      <c r="H3" s="1">
        <v>8.5298000000000006E-3</v>
      </c>
      <c r="I3" s="1">
        <v>1.0912099999999999E-2</v>
      </c>
      <c r="K3" s="2"/>
      <c r="M3" s="2"/>
      <c r="T3" s="2"/>
      <c r="U3" s="2"/>
      <c r="V3" s="2"/>
      <c r="W3" s="2"/>
      <c r="X3" s="2"/>
      <c r="Y3" s="2"/>
      <c r="Z3" s="2"/>
      <c r="AB3" s="2"/>
    </row>
    <row r="4" spans="1:28" x14ac:dyDescent="0.25">
      <c r="A4">
        <f>+A3+1</f>
        <v>2</v>
      </c>
      <c r="B4" s="1">
        <v>42188</v>
      </c>
      <c r="C4" s="1">
        <v>35349.619271000003</v>
      </c>
      <c r="D4" s="1">
        <v>548.03338180000003</v>
      </c>
      <c r="E4" s="1">
        <v>562.64430270000003</v>
      </c>
      <c r="F4" s="1">
        <v>2.7563000000000002E-3</v>
      </c>
      <c r="G4" s="1">
        <v>2.3094999999999999E-3</v>
      </c>
      <c r="H4" s="1">
        <v>2.3094999999999999E-3</v>
      </c>
      <c r="I4" s="1">
        <v>2.4377000000000001E-3</v>
      </c>
      <c r="M4" s="2"/>
      <c r="T4" s="2"/>
      <c r="U4" s="2"/>
      <c r="V4" s="2"/>
      <c r="W4" s="2"/>
      <c r="X4" s="2"/>
      <c r="Y4" s="2"/>
      <c r="Z4" s="2"/>
      <c r="AB4" s="2"/>
    </row>
    <row r="5" spans="1:28" x14ac:dyDescent="0.25">
      <c r="A5">
        <f t="shared" ref="A5:A67" si="0">+A4+1</f>
        <v>3</v>
      </c>
      <c r="B5" s="1">
        <v>70420</v>
      </c>
      <c r="C5" s="1">
        <v>46230.895503599997</v>
      </c>
      <c r="D5" s="1">
        <v>716.72834179999995</v>
      </c>
      <c r="E5" s="1">
        <v>729.29346659999999</v>
      </c>
      <c r="F5" s="1">
        <v>4.6007000000000001E-3</v>
      </c>
      <c r="G5" s="1">
        <v>3.0203999999999999E-3</v>
      </c>
      <c r="H5" s="1">
        <v>3.0203999999999999E-3</v>
      </c>
      <c r="I5" s="1">
        <v>3.1597000000000001E-3</v>
      </c>
      <c r="T5" s="2"/>
      <c r="U5" s="2"/>
      <c r="V5" s="2"/>
      <c r="W5" s="2"/>
      <c r="X5" s="2"/>
      <c r="Y5" s="2"/>
      <c r="Z5" s="2"/>
      <c r="AB5" s="2"/>
    </row>
    <row r="6" spans="1:28" x14ac:dyDescent="0.25">
      <c r="A6">
        <f t="shared" si="0"/>
        <v>4</v>
      </c>
      <c r="B6" s="1">
        <v>51381</v>
      </c>
      <c r="C6" s="1">
        <v>45901.8050831</v>
      </c>
      <c r="D6" s="1">
        <v>711.62637640000003</v>
      </c>
      <c r="E6" s="1">
        <v>704.27411979999999</v>
      </c>
      <c r="F6" s="1">
        <v>3.3568999999999999E-3</v>
      </c>
      <c r="G6" s="1">
        <v>2.9989000000000001E-3</v>
      </c>
      <c r="H6" s="1">
        <v>2.9989000000000001E-3</v>
      </c>
      <c r="I6" s="1">
        <v>3.0512999999999998E-3</v>
      </c>
      <c r="K6" s="2"/>
      <c r="M6" s="2"/>
      <c r="T6" s="2"/>
      <c r="U6" s="2"/>
      <c r="V6" s="2"/>
      <c r="W6" s="2"/>
      <c r="X6" s="2"/>
      <c r="Y6" s="2"/>
      <c r="Z6" s="2"/>
      <c r="AB6" s="2"/>
    </row>
    <row r="7" spans="1:28" x14ac:dyDescent="0.25">
      <c r="A7">
        <f t="shared" si="0"/>
        <v>5</v>
      </c>
      <c r="B7" s="1">
        <v>24677</v>
      </c>
      <c r="C7" s="1">
        <v>27160.9929065</v>
      </c>
      <c r="D7" s="1">
        <v>421.08319979999999</v>
      </c>
      <c r="E7" s="1">
        <v>399.99540020000001</v>
      </c>
      <c r="F7" s="1">
        <v>1.6122E-3</v>
      </c>
      <c r="G7" s="1">
        <v>1.7745E-3</v>
      </c>
      <c r="H7" s="1">
        <v>1.7745E-3</v>
      </c>
      <c r="I7" s="1">
        <v>1.7329999999999999E-3</v>
      </c>
      <c r="T7" s="2"/>
      <c r="U7" s="2"/>
      <c r="V7" s="2"/>
      <c r="W7" s="2"/>
      <c r="X7" s="2"/>
      <c r="Y7" s="2"/>
      <c r="Z7" s="2"/>
      <c r="AB7" s="2"/>
    </row>
    <row r="8" spans="1:28" x14ac:dyDescent="0.25">
      <c r="A8">
        <f t="shared" si="0"/>
        <v>6</v>
      </c>
      <c r="B8" s="1">
        <v>254479</v>
      </c>
      <c r="C8" s="1">
        <v>144616.58007249999</v>
      </c>
      <c r="D8" s="1">
        <v>2242.0245273</v>
      </c>
      <c r="E8" s="1">
        <v>2314.4088089000002</v>
      </c>
      <c r="F8" s="1">
        <v>1.66258E-2</v>
      </c>
      <c r="G8" s="1">
        <v>9.4482000000000003E-3</v>
      </c>
      <c r="H8" s="1">
        <v>9.4482000000000003E-3</v>
      </c>
      <c r="I8" s="1">
        <v>1.0027299999999999E-2</v>
      </c>
      <c r="K8" s="2"/>
      <c r="M8" s="2"/>
      <c r="T8" s="2"/>
      <c r="U8" s="2"/>
      <c r="V8" s="2"/>
      <c r="W8" s="2"/>
      <c r="X8" s="2"/>
      <c r="Y8" s="2"/>
      <c r="Z8" s="2"/>
      <c r="AB8" s="2"/>
    </row>
    <row r="9" spans="1:28" x14ac:dyDescent="0.25">
      <c r="A9">
        <f t="shared" si="0"/>
        <v>7</v>
      </c>
      <c r="B9" s="1">
        <v>903290</v>
      </c>
      <c r="C9" s="1">
        <v>937426.11998369999</v>
      </c>
      <c r="D9" s="1">
        <v>14533.1354987</v>
      </c>
      <c r="E9" s="1">
        <v>14769.9191173</v>
      </c>
      <c r="F9" s="1">
        <v>5.9014400000000002E-2</v>
      </c>
      <c r="G9" s="1">
        <v>6.1244600000000003E-2</v>
      </c>
      <c r="H9" s="1">
        <v>6.1244600000000003E-2</v>
      </c>
      <c r="I9" s="1">
        <v>6.3991300000000001E-2</v>
      </c>
      <c r="K9" s="2"/>
      <c r="M9" s="2"/>
      <c r="T9" s="2"/>
      <c r="U9" s="2"/>
      <c r="V9" s="2"/>
      <c r="W9" s="2"/>
      <c r="X9" s="2"/>
      <c r="Y9" s="2"/>
      <c r="Z9" s="2"/>
      <c r="AB9" s="2"/>
    </row>
    <row r="10" spans="1:28" x14ac:dyDescent="0.25">
      <c r="A10">
        <f t="shared" si="0"/>
        <v>8</v>
      </c>
      <c r="B10" s="1">
        <v>90815</v>
      </c>
      <c r="C10" s="1">
        <v>95298.721991800005</v>
      </c>
      <c r="D10" s="1">
        <v>1477.4382856</v>
      </c>
      <c r="E10" s="1">
        <v>1676.1116878</v>
      </c>
      <c r="F10" s="1">
        <v>5.9331999999999996E-3</v>
      </c>
      <c r="G10" s="1">
        <v>6.2261E-3</v>
      </c>
      <c r="H10" s="1">
        <v>6.2261E-3</v>
      </c>
      <c r="I10" s="1">
        <v>7.2617999999999997E-3</v>
      </c>
      <c r="K10" s="2"/>
      <c r="M10" s="2"/>
      <c r="T10" s="2"/>
      <c r="U10" s="2"/>
      <c r="V10" s="2"/>
      <c r="W10" s="2"/>
      <c r="X10" s="2"/>
      <c r="Y10" s="2"/>
      <c r="Z10" s="2"/>
      <c r="AB10" s="2"/>
    </row>
    <row r="11" spans="1:28" x14ac:dyDescent="0.25">
      <c r="A11">
        <f t="shared" si="0"/>
        <v>9</v>
      </c>
      <c r="B11" s="1">
        <v>89204</v>
      </c>
      <c r="C11" s="1">
        <v>85110.690736000004</v>
      </c>
      <c r="D11" s="1">
        <v>1319.4908639</v>
      </c>
      <c r="E11" s="1">
        <v>1373.2066549000001</v>
      </c>
      <c r="F11" s="1">
        <v>5.8278999999999996E-3</v>
      </c>
      <c r="G11" s="1">
        <v>5.5605000000000003E-3</v>
      </c>
      <c r="H11" s="1">
        <v>5.5605000000000003E-3</v>
      </c>
      <c r="I11" s="1">
        <v>5.9494999999999999E-3</v>
      </c>
      <c r="K11" s="2"/>
      <c r="M11" s="2"/>
      <c r="T11" s="2"/>
      <c r="U11" s="2"/>
      <c r="V11" s="2"/>
      <c r="W11" s="2"/>
      <c r="X11" s="2"/>
      <c r="Y11" s="2"/>
      <c r="Z11" s="2"/>
      <c r="AB11" s="2"/>
    </row>
    <row r="12" spans="1:28" x14ac:dyDescent="0.25">
      <c r="A12">
        <f t="shared" si="0"/>
        <v>10</v>
      </c>
      <c r="B12" s="1">
        <v>164785</v>
      </c>
      <c r="C12" s="1">
        <v>174827.7163762</v>
      </c>
      <c r="D12" s="1">
        <v>2710.3948107000001</v>
      </c>
      <c r="E12" s="1">
        <v>3127.9986012999998</v>
      </c>
      <c r="F12" s="1">
        <v>1.07659E-2</v>
      </c>
      <c r="G12" s="1">
        <v>1.1422E-2</v>
      </c>
      <c r="H12" s="1">
        <v>1.1422E-2</v>
      </c>
      <c r="I12" s="1">
        <v>1.35522E-2</v>
      </c>
      <c r="K12" s="2"/>
      <c r="M12" s="2"/>
      <c r="T12" s="2"/>
      <c r="U12" s="2"/>
      <c r="V12" s="2"/>
      <c r="W12" s="2"/>
      <c r="X12" s="2"/>
      <c r="Y12" s="2"/>
      <c r="Z12" s="2"/>
      <c r="AB12" s="2"/>
    </row>
    <row r="13" spans="1:28" x14ac:dyDescent="0.25">
      <c r="A13">
        <f t="shared" si="0"/>
        <v>11</v>
      </c>
      <c r="B13" s="1">
        <v>246438</v>
      </c>
      <c r="C13" s="1">
        <v>259874.86642820001</v>
      </c>
      <c r="D13" s="1">
        <v>4028.9005885000001</v>
      </c>
      <c r="E13" s="1">
        <v>4257.5301437999997</v>
      </c>
      <c r="F13" s="1">
        <v>1.61005E-2</v>
      </c>
      <c r="G13" s="1">
        <v>1.6978300000000002E-2</v>
      </c>
      <c r="H13" s="1">
        <v>1.6978300000000002E-2</v>
      </c>
      <c r="I13" s="1">
        <v>1.8445900000000001E-2</v>
      </c>
      <c r="K13" s="2"/>
      <c r="M13" s="2"/>
      <c r="T13" s="2"/>
      <c r="U13" s="2"/>
      <c r="V13" s="2"/>
      <c r="W13" s="2"/>
      <c r="X13" s="2"/>
      <c r="Y13" s="2"/>
      <c r="Z13" s="2"/>
      <c r="AB13" s="2"/>
    </row>
    <row r="14" spans="1:28" x14ac:dyDescent="0.25">
      <c r="A14">
        <f t="shared" si="0"/>
        <v>12</v>
      </c>
      <c r="B14" s="1">
        <v>265752</v>
      </c>
      <c r="C14" s="1">
        <v>281806.38345369999</v>
      </c>
      <c r="D14" s="1">
        <v>4368.9100055999997</v>
      </c>
      <c r="E14" s="1">
        <v>4710.5149552000003</v>
      </c>
      <c r="F14" s="1">
        <v>1.7362300000000001E-2</v>
      </c>
      <c r="G14" s="1">
        <v>1.8411199999999999E-2</v>
      </c>
      <c r="H14" s="1">
        <v>1.8411199999999999E-2</v>
      </c>
      <c r="I14" s="1">
        <v>2.04085E-2</v>
      </c>
      <c r="K14" s="2"/>
      <c r="M14" s="2"/>
      <c r="T14" s="2"/>
      <c r="U14" s="2"/>
      <c r="V14" s="2"/>
      <c r="W14" s="2"/>
      <c r="X14" s="2"/>
      <c r="Y14" s="2"/>
      <c r="Z14" s="2"/>
      <c r="AB14" s="2"/>
    </row>
    <row r="15" spans="1:28" x14ac:dyDescent="0.25">
      <c r="A15">
        <f t="shared" si="0"/>
        <v>13</v>
      </c>
      <c r="B15" s="1">
        <v>417930</v>
      </c>
      <c r="C15" s="1">
        <v>477222.51174470002</v>
      </c>
      <c r="D15" s="1">
        <v>7398.4917619999997</v>
      </c>
      <c r="E15" s="1">
        <v>7921.9505738999997</v>
      </c>
      <c r="F15" s="1">
        <v>2.7304499999999999E-2</v>
      </c>
      <c r="G15" s="1">
        <v>3.1178299999999999E-2</v>
      </c>
      <c r="H15" s="1">
        <v>3.1178299999999999E-2</v>
      </c>
      <c r="I15" s="1">
        <v>3.4322199999999997E-2</v>
      </c>
      <c r="K15" s="2"/>
      <c r="M15" s="2"/>
      <c r="T15" s="2"/>
      <c r="U15" s="2"/>
      <c r="V15" s="2"/>
      <c r="W15" s="2"/>
      <c r="X15" s="2"/>
      <c r="Y15" s="2"/>
      <c r="Z15" s="2"/>
      <c r="AB15" s="2"/>
    </row>
    <row r="16" spans="1:28" x14ac:dyDescent="0.25">
      <c r="A16">
        <f t="shared" si="0"/>
        <v>14</v>
      </c>
      <c r="B16" s="1">
        <v>111452</v>
      </c>
      <c r="C16" s="1">
        <v>119274.1528065</v>
      </c>
      <c r="D16" s="1">
        <v>1849.1349742</v>
      </c>
      <c r="E16" s="1">
        <v>2083.8357188999998</v>
      </c>
      <c r="F16" s="1">
        <v>7.2814999999999998E-3</v>
      </c>
      <c r="G16" s="1">
        <v>7.7924999999999999E-3</v>
      </c>
      <c r="H16" s="1">
        <v>7.7924999999999999E-3</v>
      </c>
      <c r="I16" s="1">
        <v>9.0282999999999995E-3</v>
      </c>
      <c r="K16" s="2"/>
      <c r="M16" s="2"/>
      <c r="T16" s="2"/>
      <c r="U16" s="2"/>
      <c r="V16" s="2"/>
      <c r="W16" s="2"/>
      <c r="X16" s="2"/>
      <c r="Y16" s="2"/>
      <c r="Z16" s="2"/>
      <c r="AB16" s="2"/>
    </row>
    <row r="17" spans="1:28" x14ac:dyDescent="0.25">
      <c r="A17">
        <f t="shared" si="0"/>
        <v>15</v>
      </c>
      <c r="B17" s="1">
        <v>432097</v>
      </c>
      <c r="C17" s="1">
        <v>467867.87302210002</v>
      </c>
      <c r="D17" s="1">
        <v>7253.4646188999996</v>
      </c>
      <c r="E17" s="1">
        <v>9115.7650601000005</v>
      </c>
      <c r="F17" s="1">
        <v>2.8230100000000001E-2</v>
      </c>
      <c r="G17" s="1">
        <v>3.05671E-2</v>
      </c>
      <c r="H17" s="1">
        <v>3.05671E-2</v>
      </c>
      <c r="I17" s="1">
        <v>3.9494500000000002E-2</v>
      </c>
      <c r="K17" s="2"/>
      <c r="M17" s="2"/>
      <c r="T17" s="2"/>
      <c r="U17" s="2"/>
      <c r="V17" s="2"/>
      <c r="W17" s="2"/>
      <c r="X17" s="2"/>
      <c r="Y17" s="2"/>
      <c r="Z17" s="2"/>
      <c r="AB17" s="2"/>
    </row>
    <row r="18" spans="1:28" x14ac:dyDescent="0.25">
      <c r="A18">
        <f t="shared" si="0"/>
        <v>16</v>
      </c>
      <c r="B18" s="1">
        <v>178070</v>
      </c>
      <c r="C18" s="1">
        <v>211367.38735110001</v>
      </c>
      <c r="D18" s="1">
        <v>3276.8778412000001</v>
      </c>
      <c r="E18" s="1">
        <v>3665.3288714999999</v>
      </c>
      <c r="F18" s="1">
        <v>1.16338E-2</v>
      </c>
      <c r="G18" s="1">
        <v>1.3809200000000001E-2</v>
      </c>
      <c r="H18" s="1">
        <v>1.3809200000000001E-2</v>
      </c>
      <c r="I18" s="1">
        <v>1.5880200000000001E-2</v>
      </c>
      <c r="K18" s="2"/>
      <c r="M18" s="2"/>
      <c r="T18" s="2"/>
      <c r="U18" s="2"/>
      <c r="V18" s="2"/>
      <c r="W18" s="2"/>
      <c r="X18" s="2"/>
      <c r="Y18" s="2"/>
      <c r="Z18" s="2"/>
      <c r="AB18" s="2"/>
    </row>
    <row r="19" spans="1:28" x14ac:dyDescent="0.25">
      <c r="A19">
        <f t="shared" si="0"/>
        <v>17</v>
      </c>
      <c r="B19" s="1">
        <v>67853</v>
      </c>
      <c r="C19" s="1">
        <v>73326.099816899994</v>
      </c>
      <c r="D19" s="1">
        <v>1136.7916058000001</v>
      </c>
      <c r="E19" s="1">
        <v>1198.1832164</v>
      </c>
      <c r="F19" s="1">
        <v>4.4330000000000003E-3</v>
      </c>
      <c r="G19" s="1">
        <v>4.7905999999999999E-3</v>
      </c>
      <c r="H19" s="1">
        <v>4.7905999999999999E-3</v>
      </c>
      <c r="I19" s="1">
        <v>5.1912E-3</v>
      </c>
      <c r="K19" s="2"/>
      <c r="M19" s="2"/>
      <c r="T19" s="2"/>
      <c r="U19" s="2"/>
      <c r="V19" s="2"/>
      <c r="W19" s="2"/>
      <c r="X19" s="2"/>
      <c r="Y19" s="2"/>
      <c r="Z19" s="2"/>
      <c r="AB19" s="2"/>
    </row>
    <row r="20" spans="1:28" x14ac:dyDescent="0.25">
      <c r="A20">
        <f t="shared" si="0"/>
        <v>18</v>
      </c>
      <c r="B20" s="1">
        <v>105984</v>
      </c>
      <c r="C20" s="1">
        <v>109627.933252</v>
      </c>
      <c r="D20" s="1">
        <v>1699.5873855</v>
      </c>
      <c r="E20" s="1">
        <v>1756.7328723000001</v>
      </c>
      <c r="F20" s="1">
        <v>6.9242000000000001E-3</v>
      </c>
      <c r="G20" s="1">
        <v>7.1622999999999999E-3</v>
      </c>
      <c r="H20" s="1">
        <v>7.1622999999999999E-3</v>
      </c>
      <c r="I20" s="1">
        <v>7.6111E-3</v>
      </c>
      <c r="K20" s="2"/>
      <c r="M20" s="2"/>
      <c r="T20" s="2"/>
      <c r="U20" s="2"/>
      <c r="V20" s="2"/>
      <c r="W20" s="2"/>
      <c r="X20" s="2"/>
      <c r="Y20" s="2"/>
      <c r="Z20" s="2"/>
      <c r="AB20" s="2"/>
    </row>
    <row r="21" spans="1:28" x14ac:dyDescent="0.25">
      <c r="A21">
        <f t="shared" si="0"/>
        <v>19</v>
      </c>
      <c r="B21" s="1">
        <v>533904</v>
      </c>
      <c r="C21" s="1">
        <v>443037.41903049999</v>
      </c>
      <c r="D21" s="1">
        <v>6868.5123067000004</v>
      </c>
      <c r="E21" s="1">
        <v>8590.5727533999998</v>
      </c>
      <c r="F21" s="1">
        <v>3.48814E-2</v>
      </c>
      <c r="G21" s="1">
        <v>2.8944899999999999E-2</v>
      </c>
      <c r="H21" s="1">
        <v>2.8944899999999999E-2</v>
      </c>
      <c r="I21" s="1">
        <v>3.7219000000000002E-2</v>
      </c>
      <c r="K21" s="2"/>
      <c r="M21" s="2"/>
      <c r="T21" s="2"/>
      <c r="U21" s="2"/>
      <c r="V21" s="2"/>
      <c r="W21" s="2"/>
      <c r="X21" s="2"/>
      <c r="Y21" s="2"/>
      <c r="Z21" s="2"/>
      <c r="AB21" s="2"/>
    </row>
    <row r="22" spans="1:28" x14ac:dyDescent="0.25">
      <c r="A22">
        <f t="shared" si="0"/>
        <v>20</v>
      </c>
      <c r="B22" s="1">
        <v>87397</v>
      </c>
      <c r="C22" s="1">
        <v>90445.621577800004</v>
      </c>
      <c r="D22" s="1">
        <v>1402.1995394</v>
      </c>
      <c r="E22" s="1">
        <v>1619.4762363</v>
      </c>
      <c r="F22" s="1">
        <v>5.7099000000000004E-3</v>
      </c>
      <c r="G22" s="1">
        <v>5.9090999999999996E-3</v>
      </c>
      <c r="H22" s="1">
        <v>5.9090999999999996E-3</v>
      </c>
      <c r="I22" s="1">
        <v>7.0165000000000002E-3</v>
      </c>
      <c r="K22" s="2"/>
      <c r="M22" s="2"/>
      <c r="T22" s="2"/>
      <c r="U22" s="2"/>
      <c r="V22" s="2"/>
      <c r="W22" s="2"/>
      <c r="X22" s="2"/>
      <c r="Y22" s="2"/>
      <c r="Z22" s="2"/>
      <c r="AB22" s="2"/>
    </row>
    <row r="23" spans="1:28" x14ac:dyDescent="0.25">
      <c r="A23">
        <f t="shared" si="0"/>
        <v>21</v>
      </c>
      <c r="B23" s="1">
        <v>70900</v>
      </c>
      <c r="C23" s="1">
        <v>77181.428078500001</v>
      </c>
      <c r="D23" s="1">
        <v>1196.5616579</v>
      </c>
      <c r="E23" s="1">
        <v>1364.4001862</v>
      </c>
      <c r="F23" s="1">
        <v>4.6321000000000001E-3</v>
      </c>
      <c r="G23" s="1">
        <v>5.0425000000000001E-3</v>
      </c>
      <c r="H23" s="1">
        <v>5.0425000000000001E-3</v>
      </c>
      <c r="I23" s="1">
        <v>5.9113000000000004E-3</v>
      </c>
      <c r="K23" s="2"/>
      <c r="M23" s="2"/>
      <c r="T23" s="2"/>
      <c r="U23" s="2"/>
      <c r="V23" s="2"/>
      <c r="W23" s="2"/>
      <c r="X23" s="2"/>
      <c r="Y23" s="2"/>
      <c r="Z23" s="2"/>
      <c r="AB23" s="2"/>
    </row>
    <row r="24" spans="1:28" x14ac:dyDescent="0.25">
      <c r="A24">
        <f t="shared" si="0"/>
        <v>22</v>
      </c>
      <c r="B24" s="1">
        <v>151742</v>
      </c>
      <c r="C24" s="1">
        <v>145562.63734809999</v>
      </c>
      <c r="D24" s="1">
        <v>2256.6914735999999</v>
      </c>
      <c r="E24" s="1">
        <v>2543.2306297</v>
      </c>
      <c r="F24" s="1">
        <v>9.9136999999999992E-3</v>
      </c>
      <c r="G24" s="1">
        <v>9.5099999999999994E-3</v>
      </c>
      <c r="H24" s="1">
        <v>9.5099999999999994E-3</v>
      </c>
      <c r="I24" s="1">
        <v>1.1018699999999999E-2</v>
      </c>
      <c r="K24" s="2"/>
      <c r="M24" s="2"/>
      <c r="T24" s="2"/>
      <c r="U24" s="2"/>
      <c r="V24" s="2"/>
      <c r="W24" s="2"/>
      <c r="X24" s="2"/>
      <c r="Y24" s="2"/>
      <c r="Z24" s="2"/>
      <c r="AB24" s="2"/>
    </row>
    <row r="25" spans="1:28" x14ac:dyDescent="0.25">
      <c r="A25">
        <f t="shared" si="0"/>
        <v>23</v>
      </c>
      <c r="B25" s="1">
        <v>100311</v>
      </c>
      <c r="C25" s="1">
        <v>116835.0409252</v>
      </c>
      <c r="D25" s="1">
        <v>1811.3208546000001</v>
      </c>
      <c r="E25" s="1">
        <v>1892.9850019</v>
      </c>
      <c r="F25" s="1">
        <v>6.5535999999999997E-3</v>
      </c>
      <c r="G25" s="1">
        <v>7.6331999999999997E-3</v>
      </c>
      <c r="H25" s="1">
        <v>7.6331999999999997E-3</v>
      </c>
      <c r="I25" s="1">
        <v>8.2013999999999993E-3</v>
      </c>
      <c r="K25" s="2"/>
      <c r="M25" s="2"/>
      <c r="T25" s="2"/>
      <c r="U25" s="2"/>
      <c r="V25" s="2"/>
      <c r="W25" s="2"/>
      <c r="X25" s="2"/>
      <c r="Y25" s="2"/>
      <c r="Z25" s="2"/>
      <c r="AB25" s="2"/>
    </row>
    <row r="26" spans="1:28" x14ac:dyDescent="0.25">
      <c r="A26">
        <f t="shared" si="0"/>
        <v>24</v>
      </c>
      <c r="B26" s="1">
        <v>133824</v>
      </c>
      <c r="C26" s="1">
        <v>74862.720739299999</v>
      </c>
      <c r="D26" s="1">
        <v>1160.6141978999999</v>
      </c>
      <c r="E26" s="1">
        <v>1392.3761609999999</v>
      </c>
      <c r="F26" s="1">
        <v>8.7431000000000002E-3</v>
      </c>
      <c r="G26" s="1">
        <v>4.8910000000000004E-3</v>
      </c>
      <c r="H26" s="1">
        <v>4.8910000000000004E-3</v>
      </c>
      <c r="I26" s="1">
        <v>6.0324999999999997E-3</v>
      </c>
      <c r="K26" s="2"/>
      <c r="T26" s="2"/>
      <c r="U26" s="2"/>
      <c r="V26" s="2"/>
      <c r="W26" s="2"/>
      <c r="X26" s="2"/>
      <c r="Y26" s="2"/>
      <c r="Z26" s="2"/>
      <c r="AB26" s="2"/>
    </row>
    <row r="27" spans="1:28" x14ac:dyDescent="0.25">
      <c r="A27">
        <f t="shared" si="0"/>
        <v>25</v>
      </c>
      <c r="B27" s="1">
        <v>398472</v>
      </c>
      <c r="C27" s="1">
        <v>336545.32958369999</v>
      </c>
      <c r="D27" s="1">
        <v>5217.5406382000001</v>
      </c>
      <c r="E27" s="1">
        <v>5970.1621088000002</v>
      </c>
      <c r="F27" s="1">
        <v>2.6033299999999999E-2</v>
      </c>
      <c r="G27" s="1">
        <v>2.1987400000000001E-2</v>
      </c>
      <c r="H27" s="1">
        <v>2.1987400000000001E-2</v>
      </c>
      <c r="I27" s="1">
        <v>2.5866E-2</v>
      </c>
      <c r="K27" s="2"/>
      <c r="M27" s="2"/>
      <c r="T27" s="2"/>
      <c r="U27" s="2"/>
      <c r="V27" s="2"/>
      <c r="W27" s="2"/>
      <c r="X27" s="2"/>
      <c r="Y27" s="2"/>
      <c r="Z27" s="2"/>
      <c r="AB27" s="2"/>
    </row>
    <row r="28" spans="1:28" x14ac:dyDescent="0.25">
      <c r="A28">
        <f t="shared" si="0"/>
        <v>26</v>
      </c>
      <c r="B28" s="1">
        <v>160242</v>
      </c>
      <c r="C28" s="1">
        <v>153148.6745348</v>
      </c>
      <c r="D28" s="1">
        <v>2374.2995752000002</v>
      </c>
      <c r="E28" s="1">
        <v>2643.9725109000001</v>
      </c>
      <c r="F28" s="1">
        <v>1.04691E-2</v>
      </c>
      <c r="G28" s="1">
        <v>1.00056E-2</v>
      </c>
      <c r="H28" s="1">
        <v>1.00056E-2</v>
      </c>
      <c r="I28" s="1">
        <v>1.1455099999999999E-2</v>
      </c>
      <c r="K28" s="2"/>
      <c r="M28" s="2"/>
      <c r="T28" s="2"/>
      <c r="U28" s="2"/>
      <c r="V28" s="2"/>
      <c r="W28" s="2"/>
      <c r="X28" s="2"/>
      <c r="Y28" s="2"/>
      <c r="Z28" s="2"/>
      <c r="AB28" s="2"/>
    </row>
    <row r="29" spans="1:28" x14ac:dyDescent="0.25">
      <c r="A29">
        <f t="shared" si="0"/>
        <v>27</v>
      </c>
      <c r="B29" s="1">
        <v>755953</v>
      </c>
      <c r="C29" s="1">
        <v>694952.12422690005</v>
      </c>
      <c r="D29" s="1">
        <v>10774.004661499999</v>
      </c>
      <c r="E29" s="1">
        <v>9054.4207124000004</v>
      </c>
      <c r="F29" s="1">
        <v>4.9388500000000002E-2</v>
      </c>
      <c r="G29" s="1">
        <v>4.5403100000000002E-2</v>
      </c>
      <c r="H29" s="1">
        <v>4.5403100000000002E-2</v>
      </c>
      <c r="I29" s="1">
        <v>3.9228699999999998E-2</v>
      </c>
      <c r="K29" s="2"/>
      <c r="M29" s="2"/>
      <c r="T29" s="2"/>
      <c r="U29" s="2"/>
      <c r="V29" s="2"/>
      <c r="W29" s="2"/>
      <c r="X29" s="2"/>
      <c r="Y29" s="2"/>
      <c r="Z29" s="2"/>
      <c r="AB29" s="2"/>
    </row>
    <row r="30" spans="1:28" x14ac:dyDescent="0.25">
      <c r="A30">
        <f t="shared" si="0"/>
        <v>28</v>
      </c>
      <c r="B30" s="1">
        <v>789904</v>
      </c>
      <c r="C30" s="1">
        <v>761434.91752190003</v>
      </c>
      <c r="D30" s="1">
        <v>11804.702892200001</v>
      </c>
      <c r="E30" s="1">
        <v>9953.0798044000003</v>
      </c>
      <c r="F30" s="1">
        <v>5.1606600000000002E-2</v>
      </c>
      <c r="G30" s="1">
        <v>4.9746600000000002E-2</v>
      </c>
      <c r="H30" s="1">
        <v>4.9746600000000002E-2</v>
      </c>
      <c r="I30" s="1">
        <v>4.3122199999999999E-2</v>
      </c>
      <c r="K30" s="2"/>
      <c r="M30" s="2"/>
      <c r="T30" s="2"/>
      <c r="U30" s="2"/>
      <c r="V30" s="2"/>
      <c r="W30" s="2"/>
      <c r="X30" s="2"/>
      <c r="Y30" s="2"/>
      <c r="Z30" s="2"/>
      <c r="AB30" s="2"/>
    </row>
    <row r="31" spans="1:28" x14ac:dyDescent="0.25">
      <c r="A31">
        <f t="shared" si="0"/>
        <v>29</v>
      </c>
      <c r="B31" s="1">
        <v>113112</v>
      </c>
      <c r="C31" s="1">
        <v>110259.60702130001</v>
      </c>
      <c r="D31" s="1">
        <v>1709.3803711</v>
      </c>
      <c r="E31" s="1">
        <v>1683.4642398000001</v>
      </c>
      <c r="F31" s="1">
        <v>7.3898999999999996E-3</v>
      </c>
      <c r="G31" s="1">
        <v>7.2036000000000001E-3</v>
      </c>
      <c r="H31" s="1">
        <v>7.2036000000000001E-3</v>
      </c>
      <c r="I31" s="1">
        <v>7.2937000000000002E-3</v>
      </c>
      <c r="K31" s="2"/>
      <c r="M31" s="2"/>
      <c r="T31" s="2"/>
      <c r="U31" s="2"/>
      <c r="V31" s="2"/>
      <c r="W31" s="2"/>
      <c r="X31" s="2"/>
      <c r="Y31" s="2"/>
      <c r="Z31" s="2"/>
      <c r="AB31" s="2"/>
    </row>
    <row r="32" spans="1:28" x14ac:dyDescent="0.25">
      <c r="A32">
        <f t="shared" si="0"/>
        <v>30</v>
      </c>
      <c r="B32" s="1">
        <v>38107</v>
      </c>
      <c r="C32" s="1">
        <v>44015.588348600002</v>
      </c>
      <c r="D32" s="1">
        <v>682.38391899999999</v>
      </c>
      <c r="E32" s="1">
        <v>648.57726049999997</v>
      </c>
      <c r="F32" s="1">
        <v>2.4895999999999998E-3</v>
      </c>
      <c r="G32" s="1">
        <v>2.8757000000000001E-3</v>
      </c>
      <c r="H32" s="1">
        <v>2.8757000000000001E-3</v>
      </c>
      <c r="I32" s="1">
        <v>2.81E-3</v>
      </c>
      <c r="M32" s="2"/>
      <c r="T32" s="2"/>
      <c r="U32" s="2"/>
      <c r="V32" s="2"/>
      <c r="W32" s="2"/>
      <c r="X32" s="2"/>
      <c r="Y32" s="2"/>
      <c r="Z32" s="2"/>
      <c r="AB32" s="2"/>
    </row>
    <row r="33" spans="1:28" x14ac:dyDescent="0.25">
      <c r="A33">
        <f t="shared" si="0"/>
        <v>31</v>
      </c>
      <c r="B33" s="1">
        <v>24453</v>
      </c>
      <c r="C33" s="1">
        <v>23287.296034899999</v>
      </c>
      <c r="D33" s="1">
        <v>361.02837490000002</v>
      </c>
      <c r="E33" s="1">
        <v>400.6913619</v>
      </c>
      <c r="F33" s="1">
        <v>1.5976E-3</v>
      </c>
      <c r="G33" s="1">
        <v>1.5214E-3</v>
      </c>
      <c r="H33" s="1">
        <v>1.5214E-3</v>
      </c>
      <c r="I33" s="1">
        <v>1.7359999999999999E-3</v>
      </c>
      <c r="K33" s="2"/>
      <c r="M33" s="2"/>
      <c r="T33" s="2"/>
      <c r="U33" s="2"/>
      <c r="V33" s="2"/>
      <c r="W33" s="2"/>
      <c r="X33" s="2"/>
      <c r="Y33" s="2"/>
      <c r="Z33" s="2"/>
      <c r="AB33" s="2"/>
    </row>
    <row r="34" spans="1:28" x14ac:dyDescent="0.25">
      <c r="A34">
        <f t="shared" si="0"/>
        <v>32</v>
      </c>
      <c r="B34" s="1">
        <v>173349</v>
      </c>
      <c r="C34" s="1">
        <v>180531.17422710001</v>
      </c>
      <c r="D34" s="1">
        <v>2798.8168463000002</v>
      </c>
      <c r="E34" s="1">
        <v>2698.0524830999998</v>
      </c>
      <c r="F34" s="1">
        <v>1.1325399999999999E-2</v>
      </c>
      <c r="G34" s="1">
        <v>1.1794600000000001E-2</v>
      </c>
      <c r="H34" s="1">
        <v>1.1794600000000001E-2</v>
      </c>
      <c r="I34" s="1">
        <v>1.1689400000000001E-2</v>
      </c>
      <c r="K34" s="2"/>
      <c r="M34" s="2"/>
      <c r="T34" s="2"/>
      <c r="U34" s="2"/>
      <c r="V34" s="2"/>
      <c r="W34" s="2"/>
      <c r="X34" s="2"/>
      <c r="Y34" s="2"/>
      <c r="Z34" s="2"/>
      <c r="AB34" s="2"/>
    </row>
    <row r="35" spans="1:28" x14ac:dyDescent="0.25">
      <c r="A35">
        <f t="shared" si="0"/>
        <v>33</v>
      </c>
      <c r="B35" s="1">
        <v>26183</v>
      </c>
      <c r="C35" s="1">
        <v>25396.738113799998</v>
      </c>
      <c r="D35" s="1">
        <v>393.73154679999999</v>
      </c>
      <c r="E35" s="1">
        <v>372.65346049999999</v>
      </c>
      <c r="F35" s="1">
        <v>1.7106000000000001E-3</v>
      </c>
      <c r="G35" s="1">
        <v>1.6592E-3</v>
      </c>
      <c r="H35" s="1">
        <v>1.6592E-3</v>
      </c>
      <c r="I35" s="1">
        <v>1.6145E-3</v>
      </c>
      <c r="T35" s="2"/>
      <c r="U35" s="2"/>
      <c r="V35" s="2"/>
      <c r="W35" s="2"/>
      <c r="X35" s="2"/>
      <c r="Y35" s="2"/>
      <c r="Z35" s="2"/>
      <c r="AB35" s="2"/>
    </row>
    <row r="36" spans="1:28" x14ac:dyDescent="0.25">
      <c r="A36">
        <f t="shared" si="0"/>
        <v>34</v>
      </c>
      <c r="B36" s="1">
        <v>24334</v>
      </c>
      <c r="C36" s="1">
        <v>21810.365536699999</v>
      </c>
      <c r="D36" s="1">
        <v>338.13117729999999</v>
      </c>
      <c r="E36" s="1">
        <v>374.08934729999999</v>
      </c>
      <c r="F36" s="1">
        <v>1.5897999999999999E-3</v>
      </c>
      <c r="G36" s="1">
        <v>1.4249E-3</v>
      </c>
      <c r="H36" s="1">
        <v>1.4249E-3</v>
      </c>
      <c r="I36" s="1">
        <v>1.6207999999999999E-3</v>
      </c>
      <c r="T36" s="2"/>
      <c r="U36" s="2"/>
      <c r="V36" s="2"/>
      <c r="W36" s="2"/>
      <c r="X36" s="2"/>
      <c r="Y36" s="2"/>
      <c r="Z36" s="2"/>
      <c r="AB36" s="2"/>
    </row>
    <row r="37" spans="1:28" x14ac:dyDescent="0.25">
      <c r="A37">
        <f t="shared" si="0"/>
        <v>35</v>
      </c>
      <c r="B37" s="1">
        <v>91472</v>
      </c>
      <c r="C37" s="1">
        <v>103193.4569703</v>
      </c>
      <c r="D37" s="1">
        <v>1599.8322009000001</v>
      </c>
      <c r="E37" s="1">
        <v>1368.4604921</v>
      </c>
      <c r="F37" s="1">
        <v>5.9760999999999998E-3</v>
      </c>
      <c r="G37" s="1">
        <v>6.7419000000000003E-3</v>
      </c>
      <c r="H37" s="1">
        <v>6.7419000000000003E-3</v>
      </c>
      <c r="I37" s="1">
        <v>5.9289E-3</v>
      </c>
      <c r="M37" s="2"/>
      <c r="T37" s="2"/>
      <c r="U37" s="2"/>
      <c r="V37" s="2"/>
      <c r="W37" s="2"/>
      <c r="X37" s="2"/>
      <c r="Y37" s="2"/>
      <c r="Z37" s="2"/>
      <c r="AB37" s="2"/>
    </row>
    <row r="38" spans="1:28" x14ac:dyDescent="0.25">
      <c r="A38">
        <f t="shared" si="0"/>
        <v>36</v>
      </c>
      <c r="B38" s="1">
        <v>29477</v>
      </c>
      <c r="C38" s="1">
        <v>37422.257455200001</v>
      </c>
      <c r="D38" s="1">
        <v>580.16597430000002</v>
      </c>
      <c r="E38" s="1">
        <v>461.02151079999999</v>
      </c>
      <c r="F38" s="1">
        <v>1.9258000000000001E-3</v>
      </c>
      <c r="G38" s="1">
        <v>2.4448999999999999E-3</v>
      </c>
      <c r="H38" s="1">
        <v>2.4448999999999999E-3</v>
      </c>
      <c r="I38" s="1">
        <v>1.9973999999999999E-3</v>
      </c>
      <c r="T38" s="2"/>
      <c r="U38" s="2"/>
      <c r="V38" s="2"/>
      <c r="W38" s="2"/>
      <c r="X38" s="2"/>
      <c r="Y38" s="2"/>
      <c r="Z38" s="2"/>
      <c r="AB38" s="2"/>
    </row>
    <row r="39" spans="1:28" x14ac:dyDescent="0.25">
      <c r="A39">
        <f t="shared" si="0"/>
        <v>37</v>
      </c>
      <c r="B39" s="1">
        <v>203768</v>
      </c>
      <c r="C39" s="1">
        <v>214606.53612969999</v>
      </c>
      <c r="D39" s="1">
        <v>3327.0951193000001</v>
      </c>
      <c r="E39" s="1">
        <v>3311.4964888</v>
      </c>
      <c r="F39" s="1">
        <v>1.33127E-2</v>
      </c>
      <c r="G39" s="1">
        <v>1.40208E-2</v>
      </c>
      <c r="H39" s="1">
        <v>1.40208E-2</v>
      </c>
      <c r="I39" s="1">
        <v>1.4347199999999999E-2</v>
      </c>
      <c r="K39" s="2"/>
      <c r="M39" s="2"/>
      <c r="T39" s="2"/>
      <c r="U39" s="2"/>
      <c r="V39" s="2"/>
      <c r="W39" s="2"/>
      <c r="X39" s="2"/>
      <c r="Y39" s="2"/>
      <c r="Z39" s="2"/>
      <c r="AB39" s="2"/>
    </row>
    <row r="40" spans="1:28" x14ac:dyDescent="0.25">
      <c r="A40">
        <f t="shared" si="0"/>
        <v>38</v>
      </c>
      <c r="B40" s="1">
        <v>64779</v>
      </c>
      <c r="C40" s="1">
        <v>59607.811027700001</v>
      </c>
      <c r="D40" s="1">
        <v>924.11377919999995</v>
      </c>
      <c r="E40" s="1">
        <v>881.89447919999998</v>
      </c>
      <c r="F40" s="1">
        <v>4.2322000000000002E-3</v>
      </c>
      <c r="G40" s="1">
        <v>3.8942999999999998E-3</v>
      </c>
      <c r="H40" s="1">
        <v>3.8942999999999998E-3</v>
      </c>
      <c r="I40" s="1">
        <v>3.8208000000000001E-3</v>
      </c>
      <c r="T40" s="2"/>
      <c r="U40" s="2"/>
      <c r="V40" s="2"/>
      <c r="W40" s="2"/>
      <c r="X40" s="2"/>
      <c r="Y40" s="2"/>
      <c r="Z40" s="2"/>
      <c r="AB40" s="2"/>
    </row>
    <row r="41" spans="1:28" x14ac:dyDescent="0.25">
      <c r="A41">
        <f t="shared" si="0"/>
        <v>39</v>
      </c>
      <c r="B41" s="1">
        <v>403881</v>
      </c>
      <c r="C41" s="1">
        <v>309412.53674269997</v>
      </c>
      <c r="D41" s="1">
        <v>4796.8946304999999</v>
      </c>
      <c r="E41" s="1">
        <v>4902.9539486000003</v>
      </c>
      <c r="F41" s="1">
        <v>2.6386699999999999E-2</v>
      </c>
      <c r="G41" s="1">
        <v>2.0214800000000002E-2</v>
      </c>
      <c r="H41" s="1">
        <v>2.0214800000000002E-2</v>
      </c>
      <c r="I41" s="1">
        <v>2.1242299999999999E-2</v>
      </c>
      <c r="K41" s="2"/>
      <c r="M41" s="2"/>
      <c r="T41" s="2"/>
      <c r="U41" s="2"/>
      <c r="V41" s="2"/>
      <c r="W41" s="2"/>
      <c r="X41" s="2"/>
      <c r="Y41" s="2"/>
      <c r="Z41" s="2"/>
      <c r="AB41" s="2"/>
    </row>
    <row r="42" spans="1:28" x14ac:dyDescent="0.25">
      <c r="A42">
        <f t="shared" si="0"/>
        <v>40</v>
      </c>
      <c r="B42" s="1">
        <v>51443</v>
      </c>
      <c r="C42" s="1">
        <v>57889.608255400002</v>
      </c>
      <c r="D42" s="1">
        <v>897.4760814</v>
      </c>
      <c r="E42" s="1">
        <v>801.4282134</v>
      </c>
      <c r="F42" s="1">
        <v>3.3609E-3</v>
      </c>
      <c r="G42" s="1">
        <v>3.7821E-3</v>
      </c>
      <c r="H42" s="1">
        <v>3.7821E-3</v>
      </c>
      <c r="I42" s="1">
        <v>3.4721999999999999E-3</v>
      </c>
      <c r="T42" s="2"/>
      <c r="U42" s="2"/>
      <c r="V42" s="2"/>
      <c r="W42" s="2"/>
      <c r="X42" s="2"/>
      <c r="Y42" s="2"/>
      <c r="Z42" s="2"/>
      <c r="AB42" s="2"/>
    </row>
    <row r="43" spans="1:28" x14ac:dyDescent="0.25">
      <c r="A43">
        <f t="shared" si="0"/>
        <v>41</v>
      </c>
      <c r="B43" s="1">
        <v>468635</v>
      </c>
      <c r="C43" s="1">
        <v>398107.66818919999</v>
      </c>
      <c r="D43" s="1">
        <v>6171.9559136999997</v>
      </c>
      <c r="E43" s="1">
        <v>5862.8431553</v>
      </c>
      <c r="F43" s="1">
        <v>3.0617200000000001E-2</v>
      </c>
      <c r="G43" s="1">
        <v>2.6009500000000001E-2</v>
      </c>
      <c r="H43" s="1">
        <v>2.6009500000000001E-2</v>
      </c>
      <c r="I43" s="1">
        <v>2.5401E-2</v>
      </c>
      <c r="K43" s="2"/>
      <c r="M43" s="2"/>
      <c r="T43" s="2"/>
      <c r="U43" s="2"/>
      <c r="V43" s="2"/>
      <c r="W43" s="2"/>
      <c r="X43" s="2"/>
      <c r="Y43" s="2"/>
      <c r="Z43" s="2"/>
      <c r="AB43" s="2"/>
    </row>
    <row r="44" spans="1:28" x14ac:dyDescent="0.25">
      <c r="A44">
        <f t="shared" si="0"/>
        <v>42</v>
      </c>
      <c r="B44" s="1">
        <v>235059</v>
      </c>
      <c r="C44" s="1">
        <v>280735.6867132</v>
      </c>
      <c r="D44" s="1">
        <v>4352.3107447000002</v>
      </c>
      <c r="E44" s="1">
        <v>4028.1115083</v>
      </c>
      <c r="F44" s="1">
        <v>1.53571E-2</v>
      </c>
      <c r="G44" s="1">
        <v>1.8341199999999998E-2</v>
      </c>
      <c r="H44" s="1">
        <v>1.8341199999999998E-2</v>
      </c>
      <c r="I44" s="1">
        <v>1.7451999999999999E-2</v>
      </c>
      <c r="K44" s="2"/>
      <c r="M44" s="2"/>
      <c r="T44" s="2"/>
      <c r="U44" s="2"/>
      <c r="V44" s="2"/>
      <c r="W44" s="2"/>
      <c r="X44" s="2"/>
      <c r="Y44" s="2"/>
      <c r="Z44" s="2"/>
      <c r="AB44" s="2"/>
    </row>
    <row r="45" spans="1:28" x14ac:dyDescent="0.25">
      <c r="A45">
        <f t="shared" si="0"/>
        <v>43</v>
      </c>
      <c r="B45" s="1">
        <v>374349</v>
      </c>
      <c r="C45" s="1">
        <v>338120.66314949997</v>
      </c>
      <c r="D45" s="1">
        <v>5241.9634014000003</v>
      </c>
      <c r="E45" s="1">
        <v>4785.9980318999997</v>
      </c>
      <c r="F45" s="1">
        <v>2.4457300000000001E-2</v>
      </c>
      <c r="G45" s="1">
        <v>2.20904E-2</v>
      </c>
      <c r="H45" s="1">
        <v>2.20904E-2</v>
      </c>
      <c r="I45" s="1">
        <v>2.07356E-2</v>
      </c>
      <c r="K45" s="2"/>
      <c r="M45" s="2"/>
      <c r="T45" s="2"/>
      <c r="U45" s="2"/>
      <c r="V45" s="2"/>
      <c r="W45" s="2"/>
      <c r="X45" s="2"/>
      <c r="Y45" s="2"/>
      <c r="Z45" s="2"/>
      <c r="AB45" s="2"/>
    </row>
    <row r="46" spans="1:28" x14ac:dyDescent="0.25">
      <c r="A46">
        <f t="shared" si="0"/>
        <v>44</v>
      </c>
      <c r="B46" s="1">
        <v>77952</v>
      </c>
      <c r="C46" s="1">
        <v>83783.541946099998</v>
      </c>
      <c r="D46" s="1">
        <v>1298.915767</v>
      </c>
      <c r="E46" s="1">
        <v>1393.0384247</v>
      </c>
      <c r="F46" s="1">
        <v>5.0927999999999998E-3</v>
      </c>
      <c r="G46" s="1">
        <v>5.4738E-3</v>
      </c>
      <c r="H46" s="1">
        <v>5.4738E-3</v>
      </c>
      <c r="I46" s="1">
        <v>6.0353999999999998E-3</v>
      </c>
      <c r="T46" s="2"/>
      <c r="U46" s="2"/>
      <c r="V46" s="2"/>
      <c r="W46" s="2"/>
      <c r="X46" s="2"/>
      <c r="Y46" s="2"/>
      <c r="Z46" s="2"/>
      <c r="AB46" s="2"/>
    </row>
    <row r="47" spans="1:28" x14ac:dyDescent="0.25">
      <c r="A47">
        <f t="shared" si="0"/>
        <v>45</v>
      </c>
      <c r="B47" s="1">
        <v>607350</v>
      </c>
      <c r="C47" s="1">
        <v>274645.7706393</v>
      </c>
      <c r="D47" s="1">
        <v>4257.8973572000004</v>
      </c>
      <c r="E47" s="1">
        <v>4716.0180029000003</v>
      </c>
      <c r="F47" s="1">
        <v>3.9679800000000001E-2</v>
      </c>
      <c r="G47" s="1">
        <v>1.7943400000000002E-2</v>
      </c>
      <c r="H47" s="1">
        <v>1.7943400000000002E-2</v>
      </c>
      <c r="I47" s="1">
        <v>2.04324E-2</v>
      </c>
      <c r="K47" s="2"/>
      <c r="M47" s="2"/>
      <c r="T47" s="2"/>
      <c r="U47" s="2"/>
      <c r="V47" s="2"/>
      <c r="W47" s="2"/>
      <c r="X47" s="2"/>
      <c r="Y47" s="2"/>
      <c r="Z47" s="2"/>
      <c r="AB47" s="2"/>
    </row>
    <row r="48" spans="1:28" x14ac:dyDescent="0.25">
      <c r="A48">
        <f t="shared" si="0"/>
        <v>46</v>
      </c>
      <c r="B48" s="1">
        <v>188096</v>
      </c>
      <c r="C48" s="1">
        <v>102917.3371186</v>
      </c>
      <c r="D48" s="1">
        <v>1595.5514505000001</v>
      </c>
      <c r="E48" s="1">
        <v>1556.1196665</v>
      </c>
      <c r="F48" s="1">
        <v>1.2288800000000001E-2</v>
      </c>
      <c r="G48" s="1">
        <v>6.7238999999999997E-3</v>
      </c>
      <c r="H48" s="1">
        <v>6.7238999999999997E-3</v>
      </c>
      <c r="I48" s="1">
        <v>6.7419999999999997E-3</v>
      </c>
      <c r="K48" s="2"/>
      <c r="M48" s="2"/>
      <c r="T48" s="2"/>
      <c r="U48" s="2"/>
      <c r="V48" s="2"/>
      <c r="W48" s="2"/>
      <c r="X48" s="2"/>
      <c r="Y48" s="2"/>
      <c r="Z48" s="2"/>
      <c r="AB48" s="2"/>
    </row>
    <row r="49" spans="1:28" x14ac:dyDescent="0.25">
      <c r="A49">
        <f t="shared" si="0"/>
        <v>47</v>
      </c>
      <c r="B49" s="1">
        <v>166178</v>
      </c>
      <c r="C49" s="1">
        <v>149639.58391079999</v>
      </c>
      <c r="D49" s="1">
        <v>2319.8973258999999</v>
      </c>
      <c r="E49" s="1">
        <v>1990.3513868</v>
      </c>
      <c r="F49" s="1">
        <v>1.0856899999999999E-2</v>
      </c>
      <c r="G49" s="1">
        <v>9.7763999999999993E-3</v>
      </c>
      <c r="H49" s="1">
        <v>9.7763999999999993E-3</v>
      </c>
      <c r="I49" s="1">
        <v>8.6233000000000004E-3</v>
      </c>
      <c r="K49" s="2"/>
      <c r="M49" s="2"/>
      <c r="T49" s="2"/>
      <c r="U49" s="2"/>
      <c r="V49" s="2"/>
      <c r="W49" s="2"/>
      <c r="X49" s="2"/>
      <c r="Y49" s="2"/>
      <c r="Z49" s="2"/>
      <c r="AB49" s="2"/>
    </row>
    <row r="50" spans="1:28" x14ac:dyDescent="0.25">
      <c r="A50">
        <f t="shared" si="0"/>
        <v>48</v>
      </c>
      <c r="B50" s="1">
        <v>172271</v>
      </c>
      <c r="C50" s="1">
        <v>236030.28849559999</v>
      </c>
      <c r="D50" s="1">
        <v>3659.2325426000002</v>
      </c>
      <c r="E50" s="1">
        <v>2965.5182746999999</v>
      </c>
      <c r="F50" s="1">
        <v>1.12549E-2</v>
      </c>
      <c r="G50" s="1">
        <v>1.54205E-2</v>
      </c>
      <c r="H50" s="1">
        <v>1.54205E-2</v>
      </c>
      <c r="I50" s="1">
        <v>1.2848200000000001E-2</v>
      </c>
      <c r="K50" s="2"/>
      <c r="M50" s="2"/>
      <c r="T50" s="2"/>
      <c r="U50" s="2"/>
      <c r="V50" s="2"/>
      <c r="W50" s="2"/>
      <c r="X50" s="2"/>
      <c r="Y50" s="2"/>
      <c r="Z50" s="2"/>
      <c r="AB50" s="2"/>
    </row>
    <row r="51" spans="1:28" x14ac:dyDescent="0.25">
      <c r="A51">
        <f t="shared" si="0"/>
        <v>49</v>
      </c>
      <c r="B51" s="1">
        <v>546739</v>
      </c>
      <c r="C51" s="1">
        <v>574323.81409470004</v>
      </c>
      <c r="D51" s="1">
        <v>8903.8758708000005</v>
      </c>
      <c r="E51" s="1">
        <v>7880.5899025999997</v>
      </c>
      <c r="F51" s="1">
        <v>3.5720000000000002E-2</v>
      </c>
      <c r="G51" s="1">
        <v>3.7522199999999999E-2</v>
      </c>
      <c r="H51" s="1">
        <v>3.7522199999999999E-2</v>
      </c>
      <c r="I51" s="1">
        <v>3.4143E-2</v>
      </c>
      <c r="K51" s="2"/>
      <c r="M51" s="2"/>
      <c r="T51" s="2"/>
      <c r="U51" s="2"/>
      <c r="V51" s="2"/>
      <c r="W51" s="2"/>
      <c r="X51" s="2"/>
      <c r="Y51" s="2"/>
      <c r="Z51" s="2"/>
      <c r="AB51" s="2"/>
    </row>
    <row r="52" spans="1:28" x14ac:dyDescent="0.25">
      <c r="A52">
        <f t="shared" si="0"/>
        <v>50</v>
      </c>
      <c r="B52" s="1">
        <v>214567</v>
      </c>
      <c r="C52" s="1">
        <v>270278.90662879997</v>
      </c>
      <c r="D52" s="1">
        <v>4190.1968471999999</v>
      </c>
      <c r="E52" s="1">
        <v>3601.1679831000001</v>
      </c>
      <c r="F52" s="1">
        <v>1.4018299999999999E-2</v>
      </c>
      <c r="G52" s="1">
        <v>1.7658099999999999E-2</v>
      </c>
      <c r="H52" s="1">
        <v>1.7658099999999999E-2</v>
      </c>
      <c r="I52" s="1">
        <v>1.56022E-2</v>
      </c>
      <c r="K52" s="2"/>
      <c r="M52" s="2"/>
      <c r="T52" s="2"/>
      <c r="U52" s="2"/>
      <c r="V52" s="2"/>
      <c r="W52" s="2"/>
      <c r="X52" s="2"/>
      <c r="Y52" s="2"/>
      <c r="Z52" s="2"/>
      <c r="AB52" s="2"/>
    </row>
    <row r="53" spans="1:28" x14ac:dyDescent="0.25">
      <c r="A53">
        <f t="shared" si="0"/>
        <v>51</v>
      </c>
      <c r="B53" s="1">
        <v>356048</v>
      </c>
      <c r="C53" s="1">
        <v>424624.0822988</v>
      </c>
      <c r="D53" s="1">
        <v>6583.0460581999996</v>
      </c>
      <c r="E53" s="1">
        <v>5785.5148833000003</v>
      </c>
      <c r="F53" s="1">
        <v>2.32616E-2</v>
      </c>
      <c r="G53" s="1">
        <v>2.77419E-2</v>
      </c>
      <c r="H53" s="1">
        <v>2.77419E-2</v>
      </c>
      <c r="I53" s="1">
        <v>2.5066000000000001E-2</v>
      </c>
      <c r="K53" s="2"/>
      <c r="M53" s="2"/>
      <c r="T53" s="2"/>
      <c r="U53" s="2"/>
      <c r="V53" s="2"/>
      <c r="W53" s="2"/>
      <c r="X53" s="2"/>
      <c r="Y53" s="2"/>
      <c r="Z53" s="2"/>
      <c r="AB53" s="2"/>
    </row>
    <row r="54" spans="1:28" x14ac:dyDescent="0.25">
      <c r="A54">
        <f t="shared" si="0"/>
        <v>52</v>
      </c>
      <c r="B54" s="1">
        <v>46311</v>
      </c>
      <c r="C54" s="1">
        <v>44693.874895499997</v>
      </c>
      <c r="D54" s="1">
        <v>692.89955329999998</v>
      </c>
      <c r="E54" s="1">
        <v>680.94712760000004</v>
      </c>
      <c r="F54" s="1">
        <v>3.0255999999999998E-3</v>
      </c>
      <c r="G54" s="1">
        <v>2.9199999999999999E-3</v>
      </c>
      <c r="H54" s="1">
        <v>2.9199999999999999E-3</v>
      </c>
      <c r="I54" s="1">
        <v>2.9502E-3</v>
      </c>
      <c r="T54" s="2"/>
      <c r="U54" s="2"/>
      <c r="V54" s="2"/>
      <c r="W54" s="2"/>
      <c r="X54" s="2"/>
      <c r="Y54" s="2"/>
      <c r="Z54" s="2"/>
      <c r="AB54" s="2"/>
    </row>
    <row r="55" spans="1:28" x14ac:dyDescent="0.25">
      <c r="A55">
        <f t="shared" si="0"/>
        <v>53</v>
      </c>
      <c r="B55" s="1">
        <v>115551</v>
      </c>
      <c r="C55" s="1">
        <v>140598.7633808</v>
      </c>
      <c r="D55" s="1">
        <v>2179.7353793000002</v>
      </c>
      <c r="E55" s="1">
        <v>1917.6626378999999</v>
      </c>
      <c r="F55" s="1">
        <v>7.5493000000000001E-3</v>
      </c>
      <c r="G55" s="1">
        <v>9.1856999999999998E-3</v>
      </c>
      <c r="H55" s="1">
        <v>9.1856999999999998E-3</v>
      </c>
      <c r="I55" s="1">
        <v>8.3084000000000005E-3</v>
      </c>
      <c r="K55" s="2"/>
      <c r="M55" s="2"/>
      <c r="T55" s="2"/>
      <c r="U55" s="2"/>
      <c r="V55" s="2"/>
      <c r="W55" s="2"/>
      <c r="X55" s="2"/>
      <c r="Y55" s="2"/>
      <c r="Z55" s="2"/>
      <c r="AB55" s="2"/>
    </row>
    <row r="56" spans="1:28" x14ac:dyDescent="0.25">
      <c r="A56">
        <f t="shared" si="0"/>
        <v>54</v>
      </c>
      <c r="B56" s="1">
        <v>403991</v>
      </c>
      <c r="C56" s="1">
        <v>468459.00022039999</v>
      </c>
      <c r="D56" s="1">
        <v>7262.6290015000004</v>
      </c>
      <c r="E56" s="1">
        <v>6335.6250947999997</v>
      </c>
      <c r="F56" s="1">
        <v>2.6393799999999999E-2</v>
      </c>
      <c r="G56" s="1">
        <v>3.06057E-2</v>
      </c>
      <c r="H56" s="1">
        <v>3.06057E-2</v>
      </c>
      <c r="I56" s="1">
        <v>2.7449399999999999E-2</v>
      </c>
      <c r="K56" s="2"/>
      <c r="M56" s="2"/>
      <c r="T56" s="2"/>
      <c r="U56" s="2"/>
      <c r="V56" s="2"/>
      <c r="W56" s="2"/>
      <c r="X56" s="2"/>
      <c r="Y56" s="2"/>
      <c r="Z56" s="2"/>
      <c r="AB56" s="2"/>
    </row>
    <row r="57" spans="1:28" x14ac:dyDescent="0.25">
      <c r="A57">
        <f t="shared" si="0"/>
        <v>55</v>
      </c>
      <c r="B57" s="1">
        <v>391683</v>
      </c>
      <c r="C57" s="1">
        <v>487656.1127689</v>
      </c>
      <c r="D57" s="1">
        <v>7560.2463091</v>
      </c>
      <c r="E57" s="1">
        <v>6751.0916164999999</v>
      </c>
      <c r="F57" s="1">
        <v>2.55897E-2</v>
      </c>
      <c r="G57" s="1">
        <v>3.1859899999999997E-2</v>
      </c>
      <c r="H57" s="1">
        <v>3.1859899999999997E-2</v>
      </c>
      <c r="I57" s="1">
        <v>2.9249399999999998E-2</v>
      </c>
      <c r="K57" s="2"/>
      <c r="M57" s="2"/>
      <c r="T57" s="2"/>
      <c r="U57" s="2"/>
      <c r="V57" s="2"/>
      <c r="W57" s="2"/>
      <c r="X57" s="2"/>
      <c r="Y57" s="2"/>
      <c r="Z57" s="2"/>
      <c r="AB57" s="2"/>
    </row>
    <row r="58" spans="1:28" x14ac:dyDescent="0.25">
      <c r="A58">
        <f t="shared" si="0"/>
        <v>56</v>
      </c>
      <c r="B58" s="1">
        <v>66404</v>
      </c>
      <c r="C58" s="1">
        <v>80517.103808200001</v>
      </c>
      <c r="D58" s="1">
        <v>1248.2754156999999</v>
      </c>
      <c r="E58" s="1">
        <v>1088.0976183</v>
      </c>
      <c r="F58" s="1">
        <v>4.3384000000000001E-3</v>
      </c>
      <c r="G58" s="1">
        <v>5.2604000000000001E-3</v>
      </c>
      <c r="H58" s="1">
        <v>5.2604000000000001E-3</v>
      </c>
      <c r="I58" s="1">
        <v>4.7142E-3</v>
      </c>
      <c r="T58" s="2"/>
      <c r="U58" s="2"/>
      <c r="V58" s="2"/>
      <c r="W58" s="2"/>
      <c r="X58" s="2"/>
      <c r="Y58" s="2"/>
      <c r="Z58" s="2"/>
      <c r="AB58" s="2"/>
    </row>
    <row r="59" spans="1:28" x14ac:dyDescent="0.25">
      <c r="A59">
        <f t="shared" si="0"/>
        <v>57</v>
      </c>
      <c r="B59" s="1">
        <v>55237</v>
      </c>
      <c r="C59" s="1">
        <v>52785.842097599998</v>
      </c>
      <c r="D59" s="1">
        <v>818.3512058</v>
      </c>
      <c r="E59" s="1">
        <v>749.68936789999998</v>
      </c>
      <c r="F59" s="1">
        <v>3.6088000000000001E-3</v>
      </c>
      <c r="G59" s="1">
        <v>3.4486E-3</v>
      </c>
      <c r="H59" s="1">
        <v>3.4486E-3</v>
      </c>
      <c r="I59" s="1">
        <v>3.2480999999999999E-3</v>
      </c>
      <c r="T59" s="2"/>
      <c r="U59" s="2"/>
      <c r="V59" s="2"/>
      <c r="W59" s="2"/>
      <c r="X59" s="2"/>
      <c r="Y59" s="2"/>
      <c r="Z59" s="2"/>
      <c r="AB59" s="2"/>
    </row>
    <row r="60" spans="1:28" x14ac:dyDescent="0.25">
      <c r="A60">
        <f t="shared" si="0"/>
        <v>58</v>
      </c>
      <c r="B60" s="1">
        <v>73403</v>
      </c>
      <c r="C60" s="1">
        <v>67210.634677399998</v>
      </c>
      <c r="D60" s="1">
        <v>1041.9821251999999</v>
      </c>
      <c r="E60" s="1">
        <v>939.96050890000004</v>
      </c>
      <c r="F60" s="1">
        <v>4.7955999999999997E-3</v>
      </c>
      <c r="G60" s="1">
        <v>4.3911000000000002E-3</v>
      </c>
      <c r="H60" s="1">
        <v>4.3911000000000002E-3</v>
      </c>
      <c r="I60" s="1">
        <v>4.0724000000000003E-3</v>
      </c>
      <c r="T60" s="2"/>
      <c r="U60" s="2"/>
      <c r="V60" s="2"/>
      <c r="W60" s="2"/>
      <c r="X60" s="2"/>
      <c r="Y60" s="2"/>
      <c r="Z60" s="2"/>
      <c r="AB60" s="2"/>
    </row>
    <row r="61" spans="1:28" x14ac:dyDescent="0.25">
      <c r="A61">
        <f t="shared" si="0"/>
        <v>59</v>
      </c>
      <c r="B61" s="1">
        <v>91975</v>
      </c>
      <c r="C61" s="1">
        <v>95555.367203799993</v>
      </c>
      <c r="D61" s="1">
        <v>1481.4171160999999</v>
      </c>
      <c r="E61" s="1">
        <v>1362.7963910999999</v>
      </c>
      <c r="F61" s="1">
        <v>6.0089999999999996E-3</v>
      </c>
      <c r="G61" s="1">
        <v>6.2429E-3</v>
      </c>
      <c r="H61" s="1">
        <v>6.2429E-3</v>
      </c>
      <c r="I61" s="1">
        <v>5.9043999999999998E-3</v>
      </c>
      <c r="T61" s="2"/>
      <c r="U61" s="2"/>
      <c r="V61" s="2"/>
      <c r="W61" s="2"/>
      <c r="X61" s="2"/>
      <c r="Y61" s="2"/>
      <c r="Z61" s="2"/>
      <c r="AB61" s="2"/>
    </row>
    <row r="62" spans="1:28" x14ac:dyDescent="0.25">
      <c r="A62">
        <f t="shared" si="0"/>
        <v>60</v>
      </c>
      <c r="B62" s="1">
        <v>378874</v>
      </c>
      <c r="C62" s="1">
        <v>381809.13972809998</v>
      </c>
      <c r="D62" s="1">
        <v>5919.2760304000003</v>
      </c>
      <c r="E62" s="1">
        <v>5820.3352602000004</v>
      </c>
      <c r="F62" s="1">
        <v>2.4752900000000001E-2</v>
      </c>
      <c r="G62" s="1">
        <v>2.4944600000000001E-2</v>
      </c>
      <c r="H62" s="1">
        <v>2.4944600000000001E-2</v>
      </c>
      <c r="I62" s="1">
        <v>2.52169E-2</v>
      </c>
      <c r="K62" s="2"/>
      <c r="M62" s="2"/>
      <c r="T62" s="2"/>
      <c r="U62" s="2"/>
      <c r="V62" s="2"/>
      <c r="W62" s="2"/>
      <c r="X62" s="2"/>
      <c r="Y62" s="2"/>
      <c r="Z62" s="2"/>
      <c r="AB62" s="2"/>
    </row>
    <row r="63" spans="1:28" x14ac:dyDescent="0.25">
      <c r="A63">
        <f t="shared" si="0"/>
        <v>61</v>
      </c>
      <c r="B63" s="1">
        <v>494144</v>
      </c>
      <c r="C63" s="1">
        <v>499642.5500471</v>
      </c>
      <c r="D63" s="1">
        <v>7746.0748383</v>
      </c>
      <c r="E63" s="1">
        <v>7173.2349888999997</v>
      </c>
      <c r="F63" s="1">
        <v>3.2283800000000001E-2</v>
      </c>
      <c r="G63" s="1">
        <v>3.2642999999999998E-2</v>
      </c>
      <c r="H63" s="1">
        <v>3.2642999999999998E-2</v>
      </c>
      <c r="I63" s="1">
        <v>3.1078399999999999E-2</v>
      </c>
      <c r="K63" s="2"/>
      <c r="M63" s="2"/>
      <c r="T63" s="2"/>
      <c r="U63" s="2"/>
      <c r="V63" s="2"/>
      <c r="W63" s="2"/>
      <c r="X63" s="2"/>
      <c r="Y63" s="2"/>
      <c r="Z63" s="2"/>
      <c r="AB63" s="2"/>
    </row>
    <row r="64" spans="1:28" x14ac:dyDescent="0.25">
      <c r="A64">
        <f t="shared" si="0"/>
        <v>62</v>
      </c>
      <c r="B64" s="1">
        <v>455775</v>
      </c>
      <c r="C64" s="1">
        <v>531666.7322038</v>
      </c>
      <c r="D64" s="1">
        <v>8242.5531938000004</v>
      </c>
      <c r="E64" s="1">
        <v>7478.2414018999998</v>
      </c>
      <c r="F64" s="1">
        <v>2.9777000000000001E-2</v>
      </c>
      <c r="G64" s="1">
        <v>3.4735299999999997E-2</v>
      </c>
      <c r="H64" s="1">
        <v>3.4735299999999997E-2</v>
      </c>
      <c r="I64" s="1">
        <v>3.2399799999999999E-2</v>
      </c>
      <c r="K64" s="2"/>
      <c r="M64" s="2"/>
      <c r="T64" s="2"/>
      <c r="U64" s="2"/>
      <c r="V64" s="2"/>
      <c r="W64" s="2"/>
      <c r="X64" s="2"/>
      <c r="Y64" s="2"/>
      <c r="Z64" s="2"/>
      <c r="AB64" s="2"/>
    </row>
    <row r="65" spans="1:28" x14ac:dyDescent="0.25">
      <c r="A65">
        <f t="shared" si="0"/>
        <v>63</v>
      </c>
      <c r="B65" s="1">
        <v>77109</v>
      </c>
      <c r="C65" s="1">
        <v>110176.0370181</v>
      </c>
      <c r="D65" s="1">
        <v>1708.0847659000001</v>
      </c>
      <c r="E65" s="1">
        <v>1362.8198076000001</v>
      </c>
      <c r="F65" s="1">
        <v>5.0377E-3</v>
      </c>
      <c r="G65" s="1">
        <v>7.1980999999999998E-3</v>
      </c>
      <c r="H65" s="1">
        <v>7.1980999999999998E-3</v>
      </c>
      <c r="I65" s="1">
        <v>5.9045E-3</v>
      </c>
      <c r="M65" s="2"/>
      <c r="T65" s="2"/>
      <c r="U65" s="2"/>
      <c r="V65" s="2"/>
      <c r="W65" s="2"/>
      <c r="X65" s="2"/>
      <c r="Y65" s="2"/>
      <c r="Z65" s="2"/>
      <c r="AB65" s="2"/>
    </row>
    <row r="66" spans="1:28" x14ac:dyDescent="0.25">
      <c r="A66">
        <f t="shared" si="0"/>
        <v>64</v>
      </c>
      <c r="B66" s="1">
        <v>963874</v>
      </c>
      <c r="C66" s="1">
        <v>1274172.6778321001</v>
      </c>
      <c r="D66" s="1">
        <v>19753.795825500001</v>
      </c>
      <c r="E66" s="1">
        <v>16748.542273499999</v>
      </c>
      <c r="F66" s="1">
        <v>6.2972500000000001E-2</v>
      </c>
      <c r="G66" s="1">
        <v>8.3245200000000005E-2</v>
      </c>
      <c r="H66" s="1">
        <v>8.3245200000000005E-2</v>
      </c>
      <c r="I66" s="1">
        <v>7.2563799999999998E-2</v>
      </c>
      <c r="K66" s="2"/>
      <c r="M66" s="2"/>
      <c r="T66" s="2"/>
      <c r="U66" s="2"/>
      <c r="V66" s="2"/>
      <c r="W66" s="2"/>
      <c r="X66" s="2"/>
      <c r="Y66" s="2"/>
      <c r="Z66" s="2"/>
      <c r="AB66" s="2"/>
    </row>
    <row r="67" spans="1:28" x14ac:dyDescent="0.25">
      <c r="A67">
        <f t="shared" si="0"/>
        <v>65</v>
      </c>
      <c r="B67" s="1">
        <v>133002</v>
      </c>
      <c r="C67" s="1">
        <v>133817.67172680001</v>
      </c>
      <c r="D67" s="1">
        <v>2074.6065358000001</v>
      </c>
      <c r="E67" s="1">
        <v>2021.1169477000001</v>
      </c>
      <c r="F67" s="1">
        <v>8.6893999999999999E-3</v>
      </c>
      <c r="G67" s="1">
        <v>8.7427000000000008E-3</v>
      </c>
      <c r="H67" s="1">
        <v>8.7427000000000008E-3</v>
      </c>
      <c r="I67" s="1">
        <v>8.7565999999999998E-3</v>
      </c>
      <c r="K67" s="2"/>
      <c r="M67" s="2"/>
      <c r="T67" s="2"/>
      <c r="U67" s="2"/>
      <c r="V67" s="2"/>
      <c r="W67" s="2"/>
      <c r="X67" s="2"/>
      <c r="Y67" s="2"/>
      <c r="Z67" s="2"/>
      <c r="AB67" s="2"/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2025-10-03T15:12:51Z</dcterms:created>
  <dcterms:modified xsi:type="dcterms:W3CDTF">2025-10-03T15:28:32Z</dcterms:modified>
</cp:coreProperties>
</file>
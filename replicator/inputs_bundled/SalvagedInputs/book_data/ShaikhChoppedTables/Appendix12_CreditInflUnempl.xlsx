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89" documentId="8_{FEEEECC5-90B0-4AB5-A19A-E3BC428C360C}" xr6:coauthVersionLast="47" xr6:coauthVersionMax="47" xr10:uidLastSave="{EA5E6375-C770-4E84-A533-38E6F1A1485E}"/>
  <bookViews>
    <workbookView xWindow="2205" yWindow="1035" windowWidth="21600" windowHeight="13215" xr2:uid="{ACBFE458-37FF-4267-9DD6-416258582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1" l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1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</calcChain>
</file>

<file path=xl/sharedStrings.xml><?xml version="1.0" encoding="utf-8"?>
<sst xmlns="http://schemas.openxmlformats.org/spreadsheetml/2006/main" count="12" uniqueCount="11">
  <si>
    <t>Data from Alberto Handfas, see USA Annual from Handfas.xlsx  AND basic inflation data march 2012.wf1</t>
  </si>
  <si>
    <t>Year</t>
  </si>
  <si>
    <t>Per capita Domestic Credit Stock</t>
  </si>
  <si>
    <t>(IMF, Monetary Survey, DCS, private and Central Bank Credit to Domestic economy)</t>
  </si>
  <si>
    <t>unemployment rate (Eco Rep Pres)</t>
  </si>
  <si>
    <t>inflation rate</t>
  </si>
  <si>
    <t>employment rate</t>
  </si>
  <si>
    <t xml:space="preserve">Calculated </t>
  </si>
  <si>
    <t>Economic Report to the President</t>
  </si>
  <si>
    <t>Calculated using y = -0.061, ln(x) = -0.1619</t>
  </si>
  <si>
    <t>fitted phillips curve, 1955-1970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</si>
</sst>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91B6-A932-4C02-8446-9F5876B77234}">
  <dimension ref="A1:I6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2" max="2" width="10.140625" bestFit="1" customWidth="1"/>
    <col min="3" max="5" width="9.28515625" bestFit="1" customWidth="1"/>
  </cols>
  <sheetData>
    <row r="1" spans="1:9" x14ac:dyDescent="0.25">
      <c r="A1" t="s">
        <v>0</v>
      </c>
      <c r="B1" t="s">
        <v>3</v>
      </c>
      <c r="C1" t="s">
        <v>8</v>
      </c>
      <c r="D1" t="s">
        <v>8</v>
      </c>
      <c r="E1" t="s">
        <v>7</v>
      </c>
      <c r="F1" t="s">
        <v>9</v>
      </c>
    </row>
    <row r="2" spans="1:9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10</v>
      </c>
    </row>
    <row r="3" spans="1:9" x14ac:dyDescent="0.25">
      <c r="A3">
        <v>1948</v>
      </c>
      <c r="B3" s="1">
        <v>2232.42770657033</v>
      </c>
      <c r="C3" s="2"/>
      <c r="D3" s="2"/>
      <c r="E3" s="3"/>
      <c r="F3" s="4"/>
    </row>
    <row r="4" spans="1:9" x14ac:dyDescent="0.25">
      <c r="A4">
        <f t="shared" ref="A4:A35" si="0">A3+1</f>
        <v>1949</v>
      </c>
      <c r="B4" s="1">
        <v>2227.0012727213302</v>
      </c>
      <c r="C4" s="2">
        <v>0.04</v>
      </c>
      <c r="D4" s="2">
        <v>-1.932998E-3</v>
      </c>
      <c r="E4" s="3">
        <f t="shared" ref="E4:E65" si="1">1-C4</f>
        <v>0.96</v>
      </c>
      <c r="F4" s="4"/>
      <c r="I4" s="2"/>
    </row>
    <row r="5" spans="1:9" x14ac:dyDescent="0.25">
      <c r="A5">
        <f t="shared" si="0"/>
        <v>1950</v>
      </c>
      <c r="B5" s="1">
        <v>2341.7727623456699</v>
      </c>
      <c r="C5" s="2">
        <v>6.6000000000000003E-2</v>
      </c>
      <c r="D5" s="2">
        <v>1.0823562E-2</v>
      </c>
      <c r="E5" s="3">
        <f t="shared" si="1"/>
        <v>0.93399999999999994</v>
      </c>
      <c r="F5" s="4"/>
      <c r="I5" s="2"/>
    </row>
    <row r="6" spans="1:9" x14ac:dyDescent="0.25">
      <c r="A6">
        <f t="shared" si="0"/>
        <v>1951</v>
      </c>
      <c r="B6" s="1">
        <v>2489.6560620475002</v>
      </c>
      <c r="C6" s="2">
        <v>4.2999999999999997E-2</v>
      </c>
      <c r="D6" s="2">
        <v>7.2047765999999999E-2</v>
      </c>
      <c r="E6" s="3">
        <f t="shared" si="1"/>
        <v>0.95699999999999996</v>
      </c>
      <c r="F6" s="4"/>
      <c r="I6" s="2"/>
    </row>
    <row r="7" spans="1:9" x14ac:dyDescent="0.25">
      <c r="A7">
        <f t="shared" si="0"/>
        <v>1952</v>
      </c>
      <c r="B7" s="1">
        <v>3245.38929479545</v>
      </c>
      <c r="C7" s="2">
        <v>3.1E-2</v>
      </c>
      <c r="D7" s="2">
        <v>1.7216048000000001E-2</v>
      </c>
      <c r="E7" s="3">
        <f t="shared" si="1"/>
        <v>0.96899999999999997</v>
      </c>
      <c r="F7" s="4"/>
      <c r="I7" s="2"/>
    </row>
    <row r="8" spans="1:9" x14ac:dyDescent="0.25">
      <c r="A8">
        <f t="shared" si="0"/>
        <v>1953</v>
      </c>
      <c r="B8" s="1">
        <v>3356.4706815837499</v>
      </c>
      <c r="C8" s="2">
        <v>2.7000000000000003E-2</v>
      </c>
      <c r="D8" s="2">
        <v>1.2132145E-2</v>
      </c>
      <c r="E8" s="3">
        <f t="shared" si="1"/>
        <v>0.97299999999999998</v>
      </c>
      <c r="F8" s="4"/>
      <c r="I8" s="2"/>
    </row>
    <row r="9" spans="1:9" x14ac:dyDescent="0.25">
      <c r="A9">
        <f t="shared" si="0"/>
        <v>1954</v>
      </c>
      <c r="B9" s="1">
        <v>3575.5071256854599</v>
      </c>
      <c r="C9" s="2">
        <v>4.4999999999999998E-2</v>
      </c>
      <c r="D9" s="2">
        <v>9.0197720000000006E-3</v>
      </c>
      <c r="E9" s="3">
        <f t="shared" si="1"/>
        <v>0.95499999999999996</v>
      </c>
      <c r="F9" s="4"/>
      <c r="I9" s="2"/>
    </row>
    <row r="10" spans="1:9" x14ac:dyDescent="0.25">
      <c r="A10">
        <f t="shared" si="0"/>
        <v>1955</v>
      </c>
      <c r="B10" s="1">
        <v>3722.8672931116598</v>
      </c>
      <c r="C10" s="2">
        <v>0.05</v>
      </c>
      <c r="D10" s="2">
        <v>1.71556E-2</v>
      </c>
      <c r="E10" s="3">
        <f t="shared" si="1"/>
        <v>0.95</v>
      </c>
      <c r="F10" s="4">
        <f>-0.061*LN(C10)+-0.161</f>
        <v>2.1739668686793445E-2</v>
      </c>
      <c r="I10" s="2"/>
    </row>
    <row r="11" spans="1:9" x14ac:dyDescent="0.25">
      <c r="A11">
        <f t="shared" si="0"/>
        <v>1956</v>
      </c>
      <c r="B11" s="1">
        <v>3829.5317946868599</v>
      </c>
      <c r="C11" s="2">
        <v>4.2000000000000003E-2</v>
      </c>
      <c r="D11" s="2">
        <v>3.4328242000000002E-2</v>
      </c>
      <c r="E11" s="3">
        <f t="shared" si="1"/>
        <v>0.95799999999999996</v>
      </c>
      <c r="F11" s="4">
        <f t="shared" ref="F11:F65" si="2">-0.061*LN(C11)+-0.161</f>
        <v>3.2375225302624905E-2</v>
      </c>
      <c r="I11" s="2"/>
    </row>
    <row r="12" spans="1:9" x14ac:dyDescent="0.25">
      <c r="A12">
        <f t="shared" si="0"/>
        <v>1957</v>
      </c>
      <c r="B12" s="1">
        <v>3949.2895456379101</v>
      </c>
      <c r="C12" s="2">
        <v>4.2000000000000003E-2</v>
      </c>
      <c r="D12" s="2">
        <v>3.3208283999999998E-2</v>
      </c>
      <c r="E12" s="3">
        <f t="shared" si="1"/>
        <v>0.95799999999999996</v>
      </c>
      <c r="F12" s="4">
        <f t="shared" si="2"/>
        <v>3.2375225302624905E-2</v>
      </c>
      <c r="I12" s="2"/>
    </row>
    <row r="13" spans="1:9" x14ac:dyDescent="0.25">
      <c r="A13">
        <f t="shared" si="0"/>
        <v>1958</v>
      </c>
      <c r="B13" s="1">
        <v>4273.3038631558702</v>
      </c>
      <c r="C13" s="2">
        <v>5.2000000000000005E-2</v>
      </c>
      <c r="D13" s="2">
        <v>2.2393119E-2</v>
      </c>
      <c r="E13" s="3">
        <f t="shared" si="1"/>
        <v>0.94799999999999995</v>
      </c>
      <c r="F13" s="4">
        <f t="shared" si="2"/>
        <v>1.9347205184443272E-2</v>
      </c>
      <c r="I13" s="2"/>
    </row>
    <row r="14" spans="1:9" x14ac:dyDescent="0.25">
      <c r="A14">
        <f t="shared" si="0"/>
        <v>1959</v>
      </c>
      <c r="B14" s="1">
        <v>4456.6982111775797</v>
      </c>
      <c r="C14" s="2">
        <v>6.2E-2</v>
      </c>
      <c r="D14" s="2">
        <v>1.1941887E-2</v>
      </c>
      <c r="E14" s="3">
        <f t="shared" si="1"/>
        <v>0.93799999999999994</v>
      </c>
      <c r="F14" s="4">
        <f t="shared" si="2"/>
        <v>8.6178745301597748E-3</v>
      </c>
      <c r="I14" s="2"/>
    </row>
    <row r="15" spans="1:9" x14ac:dyDescent="0.25">
      <c r="A15">
        <f t="shared" si="0"/>
        <v>1960</v>
      </c>
      <c r="B15" s="1">
        <v>4625.1938875165097</v>
      </c>
      <c r="C15" s="2">
        <v>5.2999999999999999E-2</v>
      </c>
      <c r="D15" s="2">
        <v>1.4044932E-2</v>
      </c>
      <c r="E15" s="3">
        <f t="shared" si="1"/>
        <v>0.94699999999999995</v>
      </c>
      <c r="F15" s="4">
        <f t="shared" si="2"/>
        <v>1.8185265291230934E-2</v>
      </c>
      <c r="I15" s="2"/>
    </row>
    <row r="16" spans="1:9" x14ac:dyDescent="0.25">
      <c r="A16">
        <f t="shared" si="0"/>
        <v>1961</v>
      </c>
      <c r="B16" s="1">
        <v>4976.7808228899003</v>
      </c>
      <c r="C16" s="2">
        <v>6.6000000000000003E-2</v>
      </c>
      <c r="D16" s="2">
        <v>1.1202241999999999E-2</v>
      </c>
      <c r="E16" s="3">
        <f t="shared" si="1"/>
        <v>0.93399999999999994</v>
      </c>
      <c r="F16" s="4">
        <f t="shared" si="2"/>
        <v>4.8041327542983903E-3</v>
      </c>
      <c r="I16" s="2"/>
    </row>
    <row r="17" spans="1:9" x14ac:dyDescent="0.25">
      <c r="A17">
        <f t="shared" si="0"/>
        <v>1962</v>
      </c>
      <c r="B17" s="1">
        <v>5428.5694055003196</v>
      </c>
      <c r="C17" s="2">
        <v>0.06</v>
      </c>
      <c r="D17" s="2">
        <v>1.3623128E-2</v>
      </c>
      <c r="E17" s="3">
        <f t="shared" si="1"/>
        <v>0.94</v>
      </c>
      <c r="F17" s="4">
        <f t="shared" si="2"/>
        <v>1.0618053722362214E-2</v>
      </c>
      <c r="I17" s="2"/>
    </row>
    <row r="18" spans="1:9" x14ac:dyDescent="0.25">
      <c r="A18">
        <f t="shared" si="0"/>
        <v>1963</v>
      </c>
      <c r="B18" s="1">
        <v>5879.5818078042103</v>
      </c>
      <c r="C18" s="2">
        <v>5.5E-2</v>
      </c>
      <c r="D18" s="2">
        <v>1.066697E-2</v>
      </c>
      <c r="E18" s="3">
        <f t="shared" si="1"/>
        <v>0.94499999999999995</v>
      </c>
      <c r="F18" s="4">
        <f t="shared" si="2"/>
        <v>1.5925747718729621E-2</v>
      </c>
      <c r="I18" s="2"/>
    </row>
    <row r="19" spans="1:9" x14ac:dyDescent="0.25">
      <c r="A19">
        <f t="shared" si="0"/>
        <v>1964</v>
      </c>
      <c r="B19" s="1">
        <v>6331.9013284809298</v>
      </c>
      <c r="C19" s="2">
        <v>5.5E-2</v>
      </c>
      <c r="D19" s="2">
        <v>1.5475964E-2</v>
      </c>
      <c r="E19" s="3">
        <f t="shared" si="1"/>
        <v>0.94499999999999995</v>
      </c>
      <c r="F19" s="4">
        <f t="shared" si="2"/>
        <v>1.5925747718729621E-2</v>
      </c>
      <c r="I19" s="2"/>
    </row>
    <row r="20" spans="1:9" x14ac:dyDescent="0.25">
      <c r="A20">
        <f t="shared" si="0"/>
        <v>1965</v>
      </c>
      <c r="B20" s="1">
        <v>6864.5759183399296</v>
      </c>
      <c r="C20" s="2">
        <v>0.05</v>
      </c>
      <c r="D20" s="2">
        <v>1.8210318999999999E-2</v>
      </c>
      <c r="E20" s="3">
        <f t="shared" si="1"/>
        <v>0.95</v>
      </c>
      <c r="F20" s="4">
        <f t="shared" si="2"/>
        <v>2.1739668686793445E-2</v>
      </c>
      <c r="I20" s="2"/>
    </row>
    <row r="21" spans="1:9" x14ac:dyDescent="0.25">
      <c r="A21">
        <f t="shared" si="0"/>
        <v>1966</v>
      </c>
      <c r="B21" s="1">
        <v>7150.1913686155403</v>
      </c>
      <c r="C21" s="2">
        <v>0.04</v>
      </c>
      <c r="D21" s="2">
        <v>2.8335598E-2</v>
      </c>
      <c r="E21" s="3">
        <f t="shared" si="1"/>
        <v>0.96</v>
      </c>
      <c r="F21" s="4">
        <f t="shared" si="2"/>
        <v>3.5351425316960228E-2</v>
      </c>
      <c r="I21" s="2"/>
    </row>
    <row r="22" spans="1:9" x14ac:dyDescent="0.25">
      <c r="A22">
        <f t="shared" si="0"/>
        <v>1967</v>
      </c>
      <c r="B22" s="1">
        <v>7652.1132041320197</v>
      </c>
      <c r="C22" s="2">
        <v>3.7999999999999999E-2</v>
      </c>
      <c r="D22" s="2">
        <v>3.0788801000000001E-2</v>
      </c>
      <c r="E22" s="3">
        <f t="shared" si="1"/>
        <v>0.96199999999999997</v>
      </c>
      <c r="F22" s="4">
        <f t="shared" si="2"/>
        <v>3.8480316274600801E-2</v>
      </c>
      <c r="I22" s="2"/>
    </row>
    <row r="23" spans="1:9" x14ac:dyDescent="0.25">
      <c r="A23">
        <f t="shared" si="0"/>
        <v>1968</v>
      </c>
      <c r="B23" s="1">
        <v>8240.7635546185393</v>
      </c>
      <c r="C23" s="2">
        <v>3.7999999999999999E-2</v>
      </c>
      <c r="D23" s="2">
        <v>4.2506239000000001E-2</v>
      </c>
      <c r="E23" s="3">
        <f t="shared" si="1"/>
        <v>0.96199999999999997</v>
      </c>
      <c r="F23" s="4">
        <f t="shared" si="2"/>
        <v>3.8480316274600801E-2</v>
      </c>
      <c r="I23" s="2"/>
    </row>
    <row r="24" spans="1:9" x14ac:dyDescent="0.25">
      <c r="A24">
        <f t="shared" si="0"/>
        <v>1969</v>
      </c>
      <c r="B24" s="1">
        <v>8482.5723982460895</v>
      </c>
      <c r="C24" s="2">
        <v>3.4000000000000002E-2</v>
      </c>
      <c r="D24" s="2">
        <v>4.9387015999999999E-2</v>
      </c>
      <c r="E24" s="3">
        <f t="shared" si="1"/>
        <v>0.96599999999999997</v>
      </c>
      <c r="F24" s="4">
        <f t="shared" si="2"/>
        <v>4.526508001632451E-2</v>
      </c>
      <c r="I24" s="2"/>
    </row>
    <row r="25" spans="1:9" x14ac:dyDescent="0.25">
      <c r="A25">
        <f t="shared" si="0"/>
        <v>1970</v>
      </c>
      <c r="B25" s="1">
        <v>8808.8944195430704</v>
      </c>
      <c r="C25" s="2">
        <v>3.5000000000000003E-2</v>
      </c>
      <c r="D25" s="2">
        <v>5.2744368999999999E-2</v>
      </c>
      <c r="E25" s="3">
        <f t="shared" si="1"/>
        <v>0.96499999999999997</v>
      </c>
      <c r="F25" s="4">
        <f t="shared" si="2"/>
        <v>4.3496840267056108E-2</v>
      </c>
      <c r="I25" s="2"/>
    </row>
    <row r="26" spans="1:9" x14ac:dyDescent="0.25">
      <c r="A26">
        <f t="shared" si="0"/>
        <v>1971</v>
      </c>
      <c r="B26" s="1">
        <v>9582.8375719940195</v>
      </c>
      <c r="C26" s="2">
        <v>6.0999999999999999E-2</v>
      </c>
      <c r="D26" s="2">
        <v>4.9993478000000001E-2</v>
      </c>
      <c r="E26" s="3">
        <f t="shared" si="1"/>
        <v>0.93900000000000006</v>
      </c>
      <c r="F26" s="4">
        <f t="shared" si="2"/>
        <v>9.609766303338374E-3</v>
      </c>
      <c r="I26" s="2"/>
    </row>
    <row r="27" spans="1:9" x14ac:dyDescent="0.25">
      <c r="A27">
        <f t="shared" si="0"/>
        <v>1972</v>
      </c>
      <c r="B27" s="1">
        <v>10530.8844819266</v>
      </c>
      <c r="C27" s="2">
        <v>0.06</v>
      </c>
      <c r="D27" s="2">
        <v>4.3127896999999998E-2</v>
      </c>
      <c r="E27" s="3">
        <f t="shared" si="1"/>
        <v>0.94</v>
      </c>
      <c r="F27" s="4">
        <f t="shared" si="2"/>
        <v>1.0618053722362214E-2</v>
      </c>
      <c r="I27" s="2"/>
    </row>
    <row r="28" spans="1:9" x14ac:dyDescent="0.25">
      <c r="A28">
        <f t="shared" si="0"/>
        <v>1973</v>
      </c>
      <c r="B28" s="1">
        <v>11600.8341813058</v>
      </c>
      <c r="C28" s="2">
        <v>5.2000000000000005E-2</v>
      </c>
      <c r="D28" s="2">
        <v>5.5467072999999999E-2</v>
      </c>
      <c r="E28" s="3">
        <f t="shared" si="1"/>
        <v>0.94799999999999995</v>
      </c>
      <c r="F28" s="4">
        <f t="shared" si="2"/>
        <v>1.9347205184443272E-2</v>
      </c>
      <c r="I28" s="2"/>
    </row>
    <row r="29" spans="1:9" x14ac:dyDescent="0.25">
      <c r="A29">
        <f t="shared" si="0"/>
        <v>1974</v>
      </c>
      <c r="B29" s="1">
        <v>12247.408889710599</v>
      </c>
      <c r="C29" s="2">
        <v>4.9000000000000002E-2</v>
      </c>
      <c r="D29" s="2">
        <v>9.0792597000000003E-2</v>
      </c>
      <c r="E29" s="3">
        <f t="shared" si="1"/>
        <v>0.95099999999999996</v>
      </c>
      <c r="F29" s="4">
        <f t="shared" si="2"/>
        <v>2.2972033833162125E-2</v>
      </c>
      <c r="I29" s="2"/>
    </row>
    <row r="30" spans="1:9" x14ac:dyDescent="0.25">
      <c r="A30">
        <f t="shared" si="0"/>
        <v>1975</v>
      </c>
      <c r="B30" s="1">
        <v>12784.654758731</v>
      </c>
      <c r="C30" s="2">
        <v>7.2000000000000008E-2</v>
      </c>
      <c r="D30" s="2">
        <v>9.4511644000000006E-2</v>
      </c>
      <c r="E30" s="3">
        <f t="shared" si="1"/>
        <v>0.92799999999999994</v>
      </c>
      <c r="F30" s="4">
        <f t="shared" si="2"/>
        <v>-5.0356124206904496E-4</v>
      </c>
      <c r="I30" s="2"/>
    </row>
    <row r="31" spans="1:9" x14ac:dyDescent="0.25">
      <c r="A31">
        <f t="shared" si="0"/>
        <v>1976</v>
      </c>
      <c r="B31" s="1">
        <v>13802.5957278645</v>
      </c>
      <c r="C31" s="2">
        <v>8.1999999999999906E-2</v>
      </c>
      <c r="D31" s="2">
        <v>5.7392868E-2</v>
      </c>
      <c r="E31" s="3">
        <f t="shared" si="1"/>
        <v>0.91800000000000015</v>
      </c>
      <c r="F31" s="4">
        <f t="shared" si="2"/>
        <v>-8.4368020652089981E-3</v>
      </c>
      <c r="I31" s="2"/>
    </row>
    <row r="32" spans="1:9" x14ac:dyDescent="0.25">
      <c r="A32">
        <f t="shared" si="0"/>
        <v>1977</v>
      </c>
      <c r="B32" s="1">
        <v>15061.7923623104</v>
      </c>
      <c r="C32" s="2">
        <v>7.8E-2</v>
      </c>
      <c r="D32" s="2">
        <v>6.3754651999999995E-2</v>
      </c>
      <c r="E32" s="3">
        <f t="shared" si="1"/>
        <v>0.92200000000000004</v>
      </c>
      <c r="F32" s="4">
        <f t="shared" si="2"/>
        <v>-5.386166410154769E-3</v>
      </c>
      <c r="I32" s="2"/>
    </row>
    <row r="33" spans="1:9" x14ac:dyDescent="0.25">
      <c r="A33">
        <f t="shared" si="0"/>
        <v>1978</v>
      </c>
      <c r="B33" s="1">
        <v>16315.625275058401</v>
      </c>
      <c r="C33" s="2">
        <v>6.4000000000000001E-2</v>
      </c>
      <c r="D33" s="2">
        <v>7.0161027000000001E-2</v>
      </c>
      <c r="E33" s="3">
        <f t="shared" si="1"/>
        <v>0.93599999999999994</v>
      </c>
      <c r="F33" s="4">
        <f t="shared" si="2"/>
        <v>6.6812039329703643E-3</v>
      </c>
      <c r="I33" s="2"/>
    </row>
    <row r="34" spans="1:9" x14ac:dyDescent="0.25">
      <c r="A34">
        <f t="shared" si="0"/>
        <v>1979</v>
      </c>
      <c r="B34" s="1">
        <v>17516.901354776001</v>
      </c>
      <c r="C34" s="2">
        <v>0.06</v>
      </c>
      <c r="D34" s="2">
        <v>8.3190633999999999E-2</v>
      </c>
      <c r="E34" s="3">
        <f t="shared" si="1"/>
        <v>0.94</v>
      </c>
      <c r="F34" s="4">
        <f t="shared" si="2"/>
        <v>1.0618053722362214E-2</v>
      </c>
      <c r="I34" s="2"/>
    </row>
    <row r="35" spans="1:9" x14ac:dyDescent="0.25">
      <c r="A35">
        <f t="shared" si="0"/>
        <v>1980</v>
      </c>
      <c r="B35" s="1">
        <v>18369.880306714</v>
      </c>
      <c r="C35" s="2">
        <v>0.06</v>
      </c>
      <c r="D35" s="2">
        <v>9.1172434999999996E-2</v>
      </c>
      <c r="E35" s="3">
        <f t="shared" si="1"/>
        <v>0.94</v>
      </c>
      <c r="F35" s="4">
        <f t="shared" si="2"/>
        <v>1.0618053722362214E-2</v>
      </c>
      <c r="I35" s="2"/>
    </row>
    <row r="36" spans="1:9" x14ac:dyDescent="0.25">
      <c r="A36">
        <f t="shared" ref="A36:A65" si="3">A35+1</f>
        <v>1981</v>
      </c>
      <c r="B36" s="1">
        <v>19366.099199411001</v>
      </c>
      <c r="C36" s="2">
        <v>7.2000000000000008E-2</v>
      </c>
      <c r="D36" s="2">
        <v>9.3718661999999994E-2</v>
      </c>
      <c r="E36" s="3">
        <f t="shared" si="1"/>
        <v>0.92799999999999994</v>
      </c>
      <c r="F36" s="4">
        <f t="shared" si="2"/>
        <v>-5.0356124206904496E-4</v>
      </c>
      <c r="I36" s="2"/>
    </row>
    <row r="37" spans="1:9" x14ac:dyDescent="0.25">
      <c r="A37">
        <f t="shared" si="3"/>
        <v>1982</v>
      </c>
      <c r="B37" s="1">
        <v>20006.270189829698</v>
      </c>
      <c r="C37" s="2">
        <v>8.5000000000000006E-2</v>
      </c>
      <c r="D37" s="2">
        <v>6.1000924999999998E-2</v>
      </c>
      <c r="E37" s="3">
        <f t="shared" si="1"/>
        <v>0.91500000000000004</v>
      </c>
      <c r="F37" s="4">
        <f t="shared" si="2"/>
        <v>-1.0628654627998946E-2</v>
      </c>
      <c r="I37" s="2"/>
    </row>
    <row r="38" spans="1:9" x14ac:dyDescent="0.25">
      <c r="A38">
        <f t="shared" si="3"/>
        <v>1983</v>
      </c>
      <c r="B38" s="1">
        <v>21823.2093231734</v>
      </c>
      <c r="C38" s="2">
        <v>0.10800000000000001</v>
      </c>
      <c r="D38" s="2">
        <v>3.9545473999999997E-2</v>
      </c>
      <c r="E38" s="3">
        <f t="shared" si="1"/>
        <v>0.89200000000000002</v>
      </c>
      <c r="F38" s="4">
        <f t="shared" si="2"/>
        <v>-2.5236932836667059E-2</v>
      </c>
      <c r="I38" s="2"/>
    </row>
    <row r="39" spans="1:9" x14ac:dyDescent="0.25">
      <c r="A39">
        <f t="shared" si="3"/>
        <v>1984</v>
      </c>
      <c r="B39" s="1">
        <v>24273.1892482209</v>
      </c>
      <c r="C39" s="2">
        <v>8.3000000000000004E-2</v>
      </c>
      <c r="D39" s="2">
        <v>3.7566941E-2</v>
      </c>
      <c r="E39" s="3">
        <f t="shared" si="1"/>
        <v>0.91700000000000004</v>
      </c>
      <c r="F39" s="4">
        <f t="shared" si="2"/>
        <v>-9.1762050576821297E-3</v>
      </c>
      <c r="I39" s="2"/>
    </row>
    <row r="40" spans="1:9" x14ac:dyDescent="0.25">
      <c r="A40">
        <f t="shared" si="3"/>
        <v>1985</v>
      </c>
      <c r="B40" s="1">
        <v>26560.466304639602</v>
      </c>
      <c r="C40" s="2">
        <v>7.2999999999999995E-2</v>
      </c>
      <c r="D40" s="2">
        <v>3.0269483999999999E-2</v>
      </c>
      <c r="E40" s="3">
        <f t="shared" si="1"/>
        <v>0.92700000000000005</v>
      </c>
      <c r="F40" s="4">
        <f t="shared" si="2"/>
        <v>-1.3449538921415094E-3</v>
      </c>
      <c r="I40" s="2"/>
    </row>
    <row r="41" spans="1:9" x14ac:dyDescent="0.25">
      <c r="A41">
        <f t="shared" si="3"/>
        <v>1986</v>
      </c>
      <c r="B41" s="1">
        <v>28088.743486599698</v>
      </c>
      <c r="C41" s="2">
        <v>7.0000000000000007E-2</v>
      </c>
      <c r="D41" s="2">
        <v>2.2104671999999999E-2</v>
      </c>
      <c r="E41" s="3">
        <f t="shared" si="1"/>
        <v>0.92999999999999994</v>
      </c>
      <c r="F41" s="4">
        <f t="shared" si="2"/>
        <v>1.2148622528994346E-3</v>
      </c>
      <c r="I41" s="2"/>
    </row>
    <row r="42" spans="1:9" x14ac:dyDescent="0.25">
      <c r="A42">
        <f t="shared" si="3"/>
        <v>1987</v>
      </c>
      <c r="B42" s="1">
        <v>28901.347349101001</v>
      </c>
      <c r="C42" s="2">
        <v>6.6000000000000003E-2</v>
      </c>
      <c r="D42" s="2">
        <v>2.9027572000000001E-2</v>
      </c>
      <c r="E42" s="3">
        <f t="shared" si="1"/>
        <v>0.93399999999999994</v>
      </c>
      <c r="F42" s="4">
        <f t="shared" si="2"/>
        <v>4.8041327542983903E-3</v>
      </c>
      <c r="I42" s="2"/>
    </row>
    <row r="43" spans="1:9" x14ac:dyDescent="0.25">
      <c r="A43">
        <f t="shared" si="3"/>
        <v>1988</v>
      </c>
      <c r="B43" s="1">
        <v>30192.6784965767</v>
      </c>
      <c r="C43" s="2">
        <v>5.7000000000000002E-2</v>
      </c>
      <c r="D43" s="2">
        <v>3.4349511999999999E-2</v>
      </c>
      <c r="E43" s="3">
        <f t="shared" si="1"/>
        <v>0.94299999999999995</v>
      </c>
      <c r="F43" s="4">
        <f t="shared" si="2"/>
        <v>1.3746944680002787E-2</v>
      </c>
      <c r="I43" s="2"/>
    </row>
    <row r="44" spans="1:9" x14ac:dyDescent="0.25">
      <c r="A44">
        <f t="shared" si="3"/>
        <v>1989</v>
      </c>
      <c r="B44" s="1">
        <v>30618.1046105159</v>
      </c>
      <c r="C44" s="2">
        <v>5.2999999999999999E-2</v>
      </c>
      <c r="D44" s="2">
        <v>3.77604E-2</v>
      </c>
      <c r="E44" s="3">
        <f t="shared" si="1"/>
        <v>0.94699999999999995</v>
      </c>
      <c r="F44" s="4">
        <f t="shared" si="2"/>
        <v>1.8185265291230934E-2</v>
      </c>
      <c r="I44" s="2"/>
    </row>
    <row r="45" spans="1:9" x14ac:dyDescent="0.25">
      <c r="A45">
        <f t="shared" si="3"/>
        <v>1990</v>
      </c>
      <c r="B45" s="1">
        <v>30226.7244119516</v>
      </c>
      <c r="C45" s="2">
        <v>5.4000000000000006E-2</v>
      </c>
      <c r="D45" s="2">
        <v>3.8587851999999999E-2</v>
      </c>
      <c r="E45" s="3">
        <f t="shared" si="1"/>
        <v>0.94599999999999995</v>
      </c>
      <c r="F45" s="4">
        <f t="shared" si="2"/>
        <v>1.7045045177489615E-2</v>
      </c>
      <c r="I45" s="2"/>
    </row>
    <row r="46" spans="1:9" x14ac:dyDescent="0.25">
      <c r="A46">
        <f t="shared" si="3"/>
        <v>1991</v>
      </c>
      <c r="B46" s="1">
        <v>30067.236002722599</v>
      </c>
      <c r="C46" s="2">
        <v>6.3E-2</v>
      </c>
      <c r="D46" s="2">
        <v>3.5450216E-2</v>
      </c>
      <c r="E46" s="3">
        <f t="shared" si="1"/>
        <v>0.93700000000000006</v>
      </c>
      <c r="F46" s="4">
        <f t="shared" si="2"/>
        <v>7.6418537080268634E-3</v>
      </c>
      <c r="I46" s="2"/>
    </row>
    <row r="47" spans="1:9" x14ac:dyDescent="0.25">
      <c r="A47">
        <f t="shared" si="3"/>
        <v>1992</v>
      </c>
      <c r="B47" s="1">
        <v>30153.296124273002</v>
      </c>
      <c r="C47" s="2">
        <v>7.2999999999999995E-2</v>
      </c>
      <c r="D47" s="2">
        <v>2.3709560000000001E-2</v>
      </c>
      <c r="E47" s="3">
        <f t="shared" si="1"/>
        <v>0.92700000000000005</v>
      </c>
      <c r="F47" s="4">
        <f t="shared" si="2"/>
        <v>-1.3449538921415094E-3</v>
      </c>
      <c r="I47" s="2"/>
    </row>
    <row r="48" spans="1:9" x14ac:dyDescent="0.25">
      <c r="A48">
        <f t="shared" si="3"/>
        <v>1993</v>
      </c>
      <c r="B48" s="1">
        <v>30894.140866873</v>
      </c>
      <c r="C48" s="2">
        <v>7.400000000000001E-2</v>
      </c>
      <c r="D48" s="2">
        <v>2.2093663999999999E-2</v>
      </c>
      <c r="E48" s="3">
        <f t="shared" si="1"/>
        <v>0.92599999999999993</v>
      </c>
      <c r="F48" s="4">
        <f t="shared" si="2"/>
        <v>-2.1748986675440285E-3</v>
      </c>
      <c r="I48" s="2"/>
    </row>
    <row r="49" spans="1:9" x14ac:dyDescent="0.25">
      <c r="A49">
        <f t="shared" si="3"/>
        <v>1994</v>
      </c>
      <c r="B49" s="1">
        <v>32050.489866927099</v>
      </c>
      <c r="C49" s="2">
        <v>6.5000000000000002E-2</v>
      </c>
      <c r="D49" s="2">
        <v>2.1071545000000001E-2</v>
      </c>
      <c r="E49" s="3">
        <f t="shared" si="1"/>
        <v>0.93500000000000005</v>
      </c>
      <c r="F49" s="4">
        <f t="shared" si="2"/>
        <v>5.7354485542764899E-3</v>
      </c>
      <c r="I49" s="2"/>
    </row>
    <row r="50" spans="1:9" x14ac:dyDescent="0.25">
      <c r="A50">
        <f t="shared" si="3"/>
        <v>1995</v>
      </c>
      <c r="B50" s="1">
        <v>33780.656669488402</v>
      </c>
      <c r="C50" s="2">
        <v>5.5E-2</v>
      </c>
      <c r="D50" s="2">
        <v>2.0830880999999999E-2</v>
      </c>
      <c r="E50" s="3">
        <f t="shared" si="1"/>
        <v>0.94499999999999995</v>
      </c>
      <c r="F50" s="4">
        <f t="shared" si="2"/>
        <v>1.5925747718729621E-2</v>
      </c>
      <c r="I50" s="2"/>
    </row>
    <row r="51" spans="1:9" x14ac:dyDescent="0.25">
      <c r="A51">
        <f t="shared" si="3"/>
        <v>1996</v>
      </c>
      <c r="B51" s="1">
        <v>35278.237757852199</v>
      </c>
      <c r="C51" s="2">
        <v>5.5999999999999897E-2</v>
      </c>
      <c r="D51" s="2">
        <v>1.9044096999999999E-2</v>
      </c>
      <c r="E51" s="3">
        <f t="shared" si="1"/>
        <v>0.94400000000000006</v>
      </c>
      <c r="F51" s="4">
        <f t="shared" si="2"/>
        <v>1.4826618883066384E-2</v>
      </c>
      <c r="I51" s="2"/>
    </row>
    <row r="52" spans="1:9" x14ac:dyDescent="0.25">
      <c r="A52">
        <f t="shared" si="3"/>
        <v>1997</v>
      </c>
      <c r="B52" s="1">
        <v>37055.921993880998</v>
      </c>
      <c r="C52" s="2">
        <v>5.4000000000000006E-2</v>
      </c>
      <c r="D52" s="2">
        <v>1.7654513E-2</v>
      </c>
      <c r="E52" s="3">
        <f t="shared" si="1"/>
        <v>0.94599999999999995</v>
      </c>
      <c r="F52" s="4">
        <f t="shared" si="2"/>
        <v>1.7045045177489615E-2</v>
      </c>
      <c r="I52" s="2"/>
    </row>
    <row r="53" spans="1:9" x14ac:dyDescent="0.25">
      <c r="A53">
        <f t="shared" si="3"/>
        <v>1998</v>
      </c>
      <c r="B53" s="1">
        <v>38981.935455753803</v>
      </c>
      <c r="C53" s="2">
        <v>4.7E-2</v>
      </c>
      <c r="D53" s="2">
        <v>1.1297664000000001E-2</v>
      </c>
      <c r="E53" s="3">
        <f t="shared" si="1"/>
        <v>0.95299999999999996</v>
      </c>
      <c r="F53" s="4">
        <f t="shared" si="2"/>
        <v>2.5514068313596761E-2</v>
      </c>
      <c r="I53" s="2"/>
    </row>
    <row r="54" spans="1:9" x14ac:dyDescent="0.25">
      <c r="A54">
        <f t="shared" si="3"/>
        <v>1999</v>
      </c>
      <c r="B54" s="1">
        <v>40619.8696974915</v>
      </c>
      <c r="C54" s="2">
        <v>4.4000000000000004E-2</v>
      </c>
      <c r="D54" s="2">
        <v>1.471226E-2</v>
      </c>
      <c r="E54" s="3">
        <f t="shared" si="1"/>
        <v>0.95599999999999996</v>
      </c>
      <c r="F54" s="4">
        <f t="shared" si="2"/>
        <v>2.9537504348896404E-2</v>
      </c>
      <c r="I54" s="2"/>
    </row>
    <row r="55" spans="1:9" x14ac:dyDescent="0.25">
      <c r="A55">
        <f t="shared" si="3"/>
        <v>2000</v>
      </c>
      <c r="B55" s="1">
        <v>43263.004706030799</v>
      </c>
      <c r="C55" s="2">
        <v>0.04</v>
      </c>
      <c r="D55" s="2">
        <v>2.1649561000000001E-2</v>
      </c>
      <c r="E55" s="3">
        <f t="shared" si="1"/>
        <v>0.96</v>
      </c>
      <c r="F55" s="4">
        <f t="shared" si="2"/>
        <v>3.5351425316960228E-2</v>
      </c>
      <c r="I55" s="2"/>
    </row>
    <row r="56" spans="1:9" x14ac:dyDescent="0.25">
      <c r="A56">
        <f t="shared" si="3"/>
        <v>2001</v>
      </c>
      <c r="B56" s="1">
        <v>44739.2961999248</v>
      </c>
      <c r="C56" s="2">
        <v>3.9E-2</v>
      </c>
      <c r="D56" s="2">
        <v>2.2592893999999999E-2</v>
      </c>
      <c r="E56" s="3">
        <f t="shared" si="1"/>
        <v>0.96099999999999997</v>
      </c>
      <c r="F56" s="4">
        <f t="shared" si="2"/>
        <v>3.6895811604001905E-2</v>
      </c>
      <c r="I56" s="2"/>
    </row>
    <row r="57" spans="1:9" x14ac:dyDescent="0.25">
      <c r="A57">
        <f t="shared" si="3"/>
        <v>2002</v>
      </c>
      <c r="B57" s="1">
        <v>46557.071163789202</v>
      </c>
      <c r="C57" s="2">
        <v>5.7000000000000002E-2</v>
      </c>
      <c r="D57" s="2">
        <v>1.6191383E-2</v>
      </c>
      <c r="E57" s="3">
        <f t="shared" si="1"/>
        <v>0.94299999999999995</v>
      </c>
      <c r="F57" s="4">
        <f t="shared" si="2"/>
        <v>1.3746944680002787E-2</v>
      </c>
      <c r="I57" s="2"/>
    </row>
    <row r="58" spans="1:9" x14ac:dyDescent="0.25">
      <c r="A58">
        <f t="shared" si="3"/>
        <v>2003</v>
      </c>
      <c r="B58" s="1">
        <v>48756.501262712402</v>
      </c>
      <c r="C58" s="2">
        <v>0.06</v>
      </c>
      <c r="D58" s="2">
        <v>2.1529548999999999E-2</v>
      </c>
      <c r="E58" s="3">
        <f t="shared" si="1"/>
        <v>0.94</v>
      </c>
      <c r="F58" s="4">
        <f t="shared" si="2"/>
        <v>1.0618053722362214E-2</v>
      </c>
      <c r="I58" s="2"/>
    </row>
    <row r="59" spans="1:9" x14ac:dyDescent="0.25">
      <c r="A59">
        <f t="shared" si="3"/>
        <v>2004</v>
      </c>
      <c r="B59" s="1">
        <v>52938.473958792601</v>
      </c>
      <c r="C59" s="2">
        <v>5.7000000000000002E-2</v>
      </c>
      <c r="D59" s="2">
        <v>2.8373157999999999E-2</v>
      </c>
      <c r="E59" s="3">
        <f t="shared" si="1"/>
        <v>0.94299999999999995</v>
      </c>
      <c r="F59" s="4">
        <f t="shared" si="2"/>
        <v>1.3746944680002787E-2</v>
      </c>
      <c r="I59" s="2"/>
    </row>
    <row r="60" spans="1:9" x14ac:dyDescent="0.25">
      <c r="A60">
        <f t="shared" si="3"/>
        <v>2005</v>
      </c>
      <c r="B60" s="1">
        <v>57167.425663005597</v>
      </c>
      <c r="C60" s="2">
        <v>5.4000000000000006E-2</v>
      </c>
      <c r="D60" s="2">
        <v>3.3371953000000003E-2</v>
      </c>
      <c r="E60" s="3">
        <f t="shared" si="1"/>
        <v>0.94599999999999995</v>
      </c>
      <c r="F60" s="4">
        <f t="shared" si="2"/>
        <v>1.7045045177489615E-2</v>
      </c>
      <c r="I60" s="2"/>
    </row>
    <row r="61" spans="1:9" x14ac:dyDescent="0.25">
      <c r="A61">
        <f t="shared" si="3"/>
        <v>2006</v>
      </c>
      <c r="B61" s="1">
        <v>61469.668753466904</v>
      </c>
      <c r="C61" s="2">
        <v>4.9000000000000002E-2</v>
      </c>
      <c r="D61" s="2">
        <v>3.2312830000000001E-2</v>
      </c>
      <c r="E61" s="3">
        <f t="shared" si="1"/>
        <v>0.95099999999999996</v>
      </c>
      <c r="F61" s="4">
        <f t="shared" si="2"/>
        <v>2.2972033833162125E-2</v>
      </c>
      <c r="I61" s="2"/>
    </row>
    <row r="62" spans="1:9" x14ac:dyDescent="0.25">
      <c r="A62">
        <f t="shared" si="3"/>
        <v>2007</v>
      </c>
      <c r="B62" s="1">
        <v>66396.600141062096</v>
      </c>
      <c r="C62" s="2">
        <v>4.4000000000000004E-2</v>
      </c>
      <c r="D62" s="2">
        <v>2.9014997000000001E-2</v>
      </c>
      <c r="E62" s="3">
        <f t="shared" si="1"/>
        <v>0.95599999999999996</v>
      </c>
      <c r="F62" s="4">
        <f t="shared" si="2"/>
        <v>2.9537504348896404E-2</v>
      </c>
      <c r="I62" s="2"/>
    </row>
    <row r="63" spans="1:9" x14ac:dyDescent="0.25">
      <c r="A63">
        <f t="shared" si="3"/>
        <v>2008</v>
      </c>
      <c r="B63" s="1">
        <v>67374.419102062995</v>
      </c>
      <c r="C63" s="2">
        <v>0.05</v>
      </c>
      <c r="D63" s="2">
        <v>2.2178854000000001E-2</v>
      </c>
      <c r="E63" s="3">
        <f t="shared" si="1"/>
        <v>0.95</v>
      </c>
      <c r="F63" s="4">
        <f t="shared" si="2"/>
        <v>2.1739668686793445E-2</v>
      </c>
      <c r="I63" s="2"/>
    </row>
    <row r="64" spans="1:9" x14ac:dyDescent="0.25">
      <c r="A64">
        <f t="shared" si="3"/>
        <v>2009</v>
      </c>
      <c r="B64" s="1">
        <v>64762.219252377603</v>
      </c>
      <c r="C64" s="2">
        <v>7.2999999999999995E-2</v>
      </c>
      <c r="D64" s="2">
        <v>1.0552285E-2</v>
      </c>
      <c r="E64" s="3">
        <f t="shared" si="1"/>
        <v>0.92700000000000005</v>
      </c>
      <c r="F64" s="4">
        <f t="shared" si="2"/>
        <v>-1.3449538921415094E-3</v>
      </c>
      <c r="I64" s="2"/>
    </row>
    <row r="65" spans="1:9" x14ac:dyDescent="0.25">
      <c r="A65">
        <f t="shared" si="3"/>
        <v>2010</v>
      </c>
      <c r="B65" s="1">
        <v>66553.424871173294</v>
      </c>
      <c r="C65" s="2">
        <v>9.9000000000000005E-2</v>
      </c>
      <c r="D65" s="2">
        <v>1.1512646E-2</v>
      </c>
      <c r="E65" s="3">
        <f t="shared" si="1"/>
        <v>0.90100000000000002</v>
      </c>
      <c r="F65" s="4">
        <f t="shared" si="2"/>
        <v>-1.9929238840299651E-2</v>
      </c>
      <c r="I65" s="2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2025-10-02T15:45:28Z</dcterms:created>
  <dcterms:modified xsi:type="dcterms:W3CDTF">2025-10-02T20:50:20Z</dcterms:modified>
</cp:coreProperties>
</file>
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390" documentId="8_{44864424-44AF-4A5E-85EC-7722CB58B752}" xr6:coauthVersionLast="47" xr6:coauthVersionMax="47" xr10:uidLastSave="{632E682B-BBC3-4177-968A-173B7DB761FB}"/>
  <bookViews>
    <workbookView xWindow="2205" yWindow="1035" windowWidth="21600" windowHeight="13215" xr2:uid="{896EF25A-DE12-4EB1-AD7C-3CDA95B50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6" i="1" l="1"/>
  <c r="AC37" i="1"/>
  <c r="AC38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5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U69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" i="1"/>
  <c r="S6" i="1"/>
  <c r="S7" i="1"/>
  <c r="S8" i="1"/>
  <c r="S5" i="1"/>
  <c r="R69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4" i="1"/>
  <c r="N69" i="1"/>
  <c r="A69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" i="1"/>
  <c r="J6" i="1"/>
  <c r="J7" i="1"/>
  <c r="J8" i="1"/>
  <c r="J9" i="1"/>
  <c r="J10" i="1"/>
  <c r="I11" i="1"/>
  <c r="J11" i="1"/>
  <c r="I12" i="1"/>
  <c r="J12" i="1"/>
  <c r="I13" i="1"/>
  <c r="J13" i="1"/>
  <c r="J14" i="1"/>
  <c r="I15" i="1"/>
  <c r="J15" i="1"/>
  <c r="J16" i="1"/>
  <c r="I17" i="1"/>
  <c r="J17" i="1"/>
  <c r="J18" i="1"/>
  <c r="J19" i="1"/>
  <c r="J20" i="1"/>
  <c r="J21" i="1"/>
  <c r="J22" i="1"/>
  <c r="I23" i="1"/>
  <c r="J23" i="1"/>
  <c r="I24" i="1"/>
  <c r="J24" i="1"/>
  <c r="I25" i="1"/>
  <c r="J25" i="1"/>
  <c r="J26" i="1"/>
  <c r="J27" i="1"/>
  <c r="J28" i="1"/>
  <c r="I29" i="1"/>
  <c r="J29" i="1"/>
  <c r="J30" i="1"/>
  <c r="J31" i="1"/>
  <c r="J32" i="1"/>
  <c r="J33" i="1"/>
  <c r="J34" i="1"/>
  <c r="I35" i="1"/>
  <c r="J35" i="1"/>
  <c r="I36" i="1"/>
  <c r="J36" i="1"/>
  <c r="I37" i="1"/>
  <c r="J37" i="1"/>
  <c r="J38" i="1"/>
  <c r="J39" i="1"/>
  <c r="J40" i="1"/>
  <c r="I41" i="1"/>
  <c r="J41" i="1"/>
  <c r="J42" i="1"/>
  <c r="J43" i="1"/>
  <c r="J44" i="1"/>
  <c r="J45" i="1"/>
  <c r="J46" i="1"/>
  <c r="I47" i="1"/>
  <c r="J47" i="1"/>
  <c r="I48" i="1"/>
  <c r="J48" i="1"/>
  <c r="I49" i="1"/>
  <c r="J49" i="1"/>
  <c r="J50" i="1"/>
  <c r="J51" i="1"/>
  <c r="J52" i="1"/>
  <c r="I53" i="1"/>
  <c r="J53" i="1"/>
  <c r="J54" i="1"/>
  <c r="J55" i="1"/>
  <c r="J56" i="1"/>
  <c r="J57" i="1"/>
  <c r="J58" i="1"/>
  <c r="I59" i="1"/>
  <c r="J59" i="1"/>
  <c r="I60" i="1"/>
  <c r="J60" i="1"/>
  <c r="I61" i="1"/>
  <c r="J61" i="1"/>
  <c r="J62" i="1"/>
  <c r="J63" i="1"/>
  <c r="J64" i="1"/>
  <c r="I65" i="1"/>
  <c r="J65" i="1"/>
  <c r="J66" i="1"/>
  <c r="J67" i="1"/>
  <c r="J68" i="1"/>
  <c r="J5" i="1"/>
  <c r="I5" i="1"/>
  <c r="H10" i="1"/>
  <c r="H11" i="1"/>
  <c r="K11" i="1" s="1"/>
  <c r="H12" i="1"/>
  <c r="K12" i="1" s="1"/>
  <c r="H13" i="1"/>
  <c r="K13" i="1" s="1"/>
  <c r="H22" i="1"/>
  <c r="K22" i="1" s="1"/>
  <c r="H23" i="1"/>
  <c r="K23" i="1" s="1"/>
  <c r="H24" i="1"/>
  <c r="K24" i="1" s="1"/>
  <c r="H25" i="1"/>
  <c r="K25" i="1" s="1"/>
  <c r="H34" i="1"/>
  <c r="H35" i="1"/>
  <c r="K35" i="1" s="1"/>
  <c r="H36" i="1"/>
  <c r="K36" i="1" s="1"/>
  <c r="H37" i="1"/>
  <c r="K37" i="1" s="1"/>
  <c r="H46" i="1"/>
  <c r="H47" i="1"/>
  <c r="K47" i="1" s="1"/>
  <c r="H48" i="1"/>
  <c r="K48" i="1" s="1"/>
  <c r="H49" i="1"/>
  <c r="K49" i="1" s="1"/>
  <c r="H58" i="1"/>
  <c r="K58" i="1" s="1"/>
  <c r="H59" i="1"/>
  <c r="K59" i="1" s="1"/>
  <c r="H60" i="1"/>
  <c r="K60" i="1" s="1"/>
  <c r="H61" i="1"/>
  <c r="K61" i="1" s="1"/>
  <c r="F5" i="1"/>
  <c r="H5" i="1" s="1"/>
  <c r="K5" i="1" s="1"/>
  <c r="F6" i="1"/>
  <c r="I6" i="1" s="1"/>
  <c r="F7" i="1"/>
  <c r="I7" i="1" s="1"/>
  <c r="F8" i="1"/>
  <c r="I8" i="1" s="1"/>
  <c r="F9" i="1"/>
  <c r="H9" i="1" s="1"/>
  <c r="F10" i="1"/>
  <c r="I10" i="1" s="1"/>
  <c r="F11" i="1"/>
  <c r="F12" i="1"/>
  <c r="F13" i="1"/>
  <c r="F14" i="1"/>
  <c r="I14" i="1" s="1"/>
  <c r="F15" i="1"/>
  <c r="H15" i="1" s="1"/>
  <c r="F16" i="1"/>
  <c r="H16" i="1" s="1"/>
  <c r="F17" i="1"/>
  <c r="H17" i="1" s="1"/>
  <c r="K17" i="1" s="1"/>
  <c r="F18" i="1"/>
  <c r="I18" i="1" s="1"/>
  <c r="F19" i="1"/>
  <c r="H19" i="1" s="1"/>
  <c r="F20" i="1"/>
  <c r="H20" i="1" s="1"/>
  <c r="K20" i="1" s="1"/>
  <c r="F21" i="1"/>
  <c r="H21" i="1" s="1"/>
  <c r="K21" i="1" s="1"/>
  <c r="F22" i="1"/>
  <c r="I22" i="1" s="1"/>
  <c r="F23" i="1"/>
  <c r="F24" i="1"/>
  <c r="F25" i="1"/>
  <c r="F26" i="1"/>
  <c r="I26" i="1" s="1"/>
  <c r="F27" i="1"/>
  <c r="H27" i="1" s="1"/>
  <c r="F28" i="1"/>
  <c r="I28" i="1" s="1"/>
  <c r="F29" i="1"/>
  <c r="H29" i="1" s="1"/>
  <c r="F30" i="1"/>
  <c r="I30" i="1" s="1"/>
  <c r="F31" i="1"/>
  <c r="I31" i="1" s="1"/>
  <c r="F32" i="1"/>
  <c r="H32" i="1" s="1"/>
  <c r="F33" i="1"/>
  <c r="I33" i="1" s="1"/>
  <c r="F34" i="1"/>
  <c r="I34" i="1" s="1"/>
  <c r="F35" i="1"/>
  <c r="F36" i="1"/>
  <c r="F37" i="1"/>
  <c r="F38" i="1"/>
  <c r="I38" i="1" s="1"/>
  <c r="F39" i="1"/>
  <c r="H39" i="1" s="1"/>
  <c r="F40" i="1"/>
  <c r="H40" i="1" s="1"/>
  <c r="F41" i="1"/>
  <c r="H41" i="1" s="1"/>
  <c r="K41" i="1" s="1"/>
  <c r="F42" i="1"/>
  <c r="I42" i="1" s="1"/>
  <c r="F43" i="1"/>
  <c r="H43" i="1" s="1"/>
  <c r="F44" i="1"/>
  <c r="I44" i="1" s="1"/>
  <c r="F45" i="1"/>
  <c r="H45" i="1" s="1"/>
  <c r="F46" i="1"/>
  <c r="I46" i="1" s="1"/>
  <c r="F47" i="1"/>
  <c r="F48" i="1"/>
  <c r="F49" i="1"/>
  <c r="F50" i="1"/>
  <c r="I50" i="1" s="1"/>
  <c r="F51" i="1"/>
  <c r="H51" i="1" s="1"/>
  <c r="F52" i="1"/>
  <c r="I52" i="1" s="1"/>
  <c r="F53" i="1"/>
  <c r="H53" i="1" s="1"/>
  <c r="F54" i="1"/>
  <c r="I54" i="1" s="1"/>
  <c r="F55" i="1"/>
  <c r="I55" i="1" s="1"/>
  <c r="F56" i="1"/>
  <c r="H56" i="1" s="1"/>
  <c r="F57" i="1"/>
  <c r="H57" i="1" s="1"/>
  <c r="K57" i="1" s="1"/>
  <c r="F58" i="1"/>
  <c r="I58" i="1" s="1"/>
  <c r="F59" i="1"/>
  <c r="F60" i="1"/>
  <c r="F61" i="1"/>
  <c r="F62" i="1"/>
  <c r="I62" i="1" s="1"/>
  <c r="F63" i="1"/>
  <c r="I63" i="1" s="1"/>
  <c r="F64" i="1"/>
  <c r="H64" i="1" s="1"/>
  <c r="F65" i="1"/>
  <c r="H65" i="1" s="1"/>
  <c r="K65" i="1" s="1"/>
  <c r="F66" i="1"/>
  <c r="I66" i="1" s="1"/>
  <c r="F67" i="1"/>
  <c r="H67" i="1" s="1"/>
  <c r="F68" i="1"/>
  <c r="H68" i="1" s="1"/>
  <c r="K68" i="1" s="1"/>
  <c r="H4" i="1"/>
  <c r="F4" i="1"/>
  <c r="K46" i="1" l="1"/>
  <c r="K43" i="1"/>
  <c r="K51" i="1"/>
  <c r="K10" i="1"/>
  <c r="K56" i="1"/>
  <c r="K32" i="1"/>
  <c r="K67" i="1"/>
  <c r="K19" i="1"/>
  <c r="K15" i="1"/>
  <c r="K64" i="1"/>
  <c r="K40" i="1"/>
  <c r="K16" i="1"/>
  <c r="I9" i="1"/>
  <c r="H44" i="1"/>
  <c r="K44" i="1" s="1"/>
  <c r="H8" i="1"/>
  <c r="K8" i="1" s="1"/>
  <c r="I32" i="1"/>
  <c r="I20" i="1"/>
  <c r="H31" i="1"/>
  <c r="H66" i="1"/>
  <c r="K66" i="1" s="1"/>
  <c r="H54" i="1"/>
  <c r="K54" i="1" s="1"/>
  <c r="H42" i="1"/>
  <c r="K42" i="1" s="1"/>
  <c r="H30" i="1"/>
  <c r="K30" i="1" s="1"/>
  <c r="H18" i="1"/>
  <c r="K18" i="1" s="1"/>
  <c r="H6" i="1"/>
  <c r="K6" i="1" s="1"/>
  <c r="I45" i="1"/>
  <c r="I21" i="1"/>
  <c r="I64" i="1"/>
  <c r="I56" i="1"/>
  <c r="I40" i="1"/>
  <c r="I16" i="1"/>
  <c r="H55" i="1"/>
  <c r="H7" i="1"/>
  <c r="I67" i="1"/>
  <c r="I43" i="1"/>
  <c r="I19" i="1"/>
  <c r="H52" i="1"/>
  <c r="K52" i="1" s="1"/>
  <c r="H28" i="1"/>
  <c r="K28" i="1" s="1"/>
  <c r="I57" i="1"/>
  <c r="H33" i="1"/>
  <c r="K33" i="1" s="1"/>
  <c r="I68" i="1"/>
  <c r="I51" i="1"/>
  <c r="I39" i="1"/>
  <c r="I27" i="1"/>
  <c r="H63" i="1"/>
  <c r="K63" i="1" s="1"/>
  <c r="H62" i="1"/>
  <c r="K62" i="1" s="1"/>
  <c r="H50" i="1"/>
  <c r="K50" i="1" s="1"/>
  <c r="H38" i="1"/>
  <c r="K38" i="1" s="1"/>
  <c r="H26" i="1"/>
  <c r="K26" i="1" s="1"/>
  <c r="H14" i="1"/>
  <c r="K14" i="1" s="1"/>
  <c r="K34" i="1" l="1"/>
  <c r="K9" i="1"/>
  <c r="K7" i="1"/>
  <c r="K29" i="1"/>
  <c r="K55" i="1"/>
  <c r="K53" i="1"/>
  <c r="K39" i="1"/>
  <c r="K31" i="1"/>
  <c r="K45" i="1"/>
  <c r="K27" i="1"/>
</calcChain>
</file>

<file path=xl/sharedStrings.xml><?xml version="1.0" encoding="utf-8"?>
<sst xmlns="http://schemas.openxmlformats.org/spreadsheetml/2006/main" count="59" uniqueCount="57">
  <si>
    <t>Corporate Maximum Rate of Profit</t>
  </si>
  <si>
    <t>Corporate Profit Share</t>
  </si>
  <si>
    <t>Corporate Average Rate of Profit</t>
  </si>
  <si>
    <t>Appendix 6.8.II.7_Rcorp</t>
  </si>
  <si>
    <t>Appendix 6.8.II.7_Profshcorp</t>
  </si>
  <si>
    <t>Appendix 6.8.II.7_rcorp</t>
  </si>
  <si>
    <t>Year</t>
  </si>
  <si>
    <t>Appendix 6.8.II.7_uK</t>
  </si>
  <si>
    <t>Appendix 6.8.II.7_Rcorpn</t>
  </si>
  <si>
    <t>Appendix 6.8.II.7_Profshcorpn</t>
  </si>
  <si>
    <t>Appendix 6.8.II.7_rcorpn</t>
  </si>
  <si>
    <t>Corp Capacity Utilization</t>
  </si>
  <si>
    <t>Normal Corp Max Rate of Profit</t>
  </si>
  <si>
    <t>Normal Profit Share (HP100)</t>
  </si>
  <si>
    <t>Normal Corp  Rate of Profit</t>
  </si>
  <si>
    <t>Profit Rate Data</t>
  </si>
  <si>
    <t>Calculated</t>
  </si>
  <si>
    <t>GrowthRateNormal_gRcorpn</t>
  </si>
  <si>
    <t>GrowthRateNormal_gprofshcorpn</t>
  </si>
  <si>
    <t>GrowthRateNormal_grcorpn</t>
  </si>
  <si>
    <t>Current (Real) Incremental Profit Rate</t>
  </si>
  <si>
    <t>Appendix 6.8.II.7_iroprcorp</t>
  </si>
  <si>
    <t>Current (Real) Incremental Profit Rate (HP100)</t>
  </si>
  <si>
    <t>Current (Real) Incremental Profit Rate (HP100 lag(1))</t>
  </si>
  <si>
    <t>Interest Rate (3-mo. T-Bill)</t>
  </si>
  <si>
    <t>Net Corporate Rate of Profit</t>
  </si>
  <si>
    <t>Net Corporate Rate of Profit (HP100)</t>
  </si>
  <si>
    <t>Net Corporate Rate of Profit (HP100 lag(1))</t>
  </si>
  <si>
    <t>Appendix 6.8.II.7_iroprcorp_HP100</t>
  </si>
  <si>
    <t>Appendix 6.8.II.7_iroprcorp_HP100(-1)</t>
  </si>
  <si>
    <t>Net Incremental Real Corporate Rate of Profit</t>
  </si>
  <si>
    <t>Eco. Report President, T73 (i)</t>
  </si>
  <si>
    <t>Calculated_(rcorp - i)</t>
  </si>
  <si>
    <t>Calculated_(rcorp - i)_HP100</t>
  </si>
  <si>
    <t>Calculated_(rcorp - i)_HP100(-1)</t>
  </si>
  <si>
    <t>Net Incremental Real Corporate Rate of Profit (HP100)</t>
  </si>
  <si>
    <t>Net Incremental Real Corporate Rate of Profit (HP100 lag(1))</t>
  </si>
  <si>
    <t>Calculated_(iropcorp - i)_HP100(-1)</t>
  </si>
  <si>
    <t>Calculated_(iropcorp - i)_HP100</t>
  </si>
  <si>
    <t>Calculated_(iropcorp - i)</t>
  </si>
  <si>
    <t>zero line</t>
  </si>
  <si>
    <t>Corporate Employee Compensation</t>
  </si>
  <si>
    <t>Appendix Table 6.8A.3_ECcorp</t>
  </si>
  <si>
    <t>ec' = Ectrend/EC (Set = 1 until 1982)</t>
  </si>
  <si>
    <t>wages and productivity business new.xlsx</t>
  </si>
  <si>
    <t>Counterfactual EC</t>
  </si>
  <si>
    <t>Calculated_Eccorp*ec'_(Eccorpalt)</t>
  </si>
  <si>
    <t xml:space="preserve">Adjusted NOS </t>
  </si>
  <si>
    <t>Counterfactual Corp Profits</t>
  </si>
  <si>
    <t>Counterfactual Rate of Profit</t>
  </si>
  <si>
    <t>Appendix 6.8.II.7_NOScorp</t>
  </si>
  <si>
    <t>Calculated_NOScorp+(ECcorp-ECcorpalt)</t>
  </si>
  <si>
    <t>Calculated_rcorpalt = rcorp*(Pcorpalt/Pcorp)</t>
  </si>
  <si>
    <t>Volcker Shock Int Rate Range 1979-81 only (for Graph)</t>
  </si>
  <si>
    <t>From Column O</t>
  </si>
  <si>
    <t>OECD Int Rate</t>
  </si>
  <si>
    <t>ioecd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</si>
</sst>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8A25D-ECEB-4311-BBF5-3F435FD4935F}">
  <dimension ref="A1:AH69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cols>
    <col min="14" max="14" width="12.7109375" bestFit="1" customWidth="1"/>
  </cols>
  <sheetData>
    <row r="1" spans="1:34" x14ac:dyDescent="0.25">
      <c r="A1" t="s">
        <v>15</v>
      </c>
      <c r="B1" t="s">
        <v>3</v>
      </c>
      <c r="C1" t="s">
        <v>4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16</v>
      </c>
      <c r="J1" t="s">
        <v>16</v>
      </c>
      <c r="K1" t="s">
        <v>16</v>
      </c>
      <c r="L1" t="s">
        <v>21</v>
      </c>
      <c r="M1" t="s">
        <v>28</v>
      </c>
      <c r="N1" t="s">
        <v>29</v>
      </c>
      <c r="O1" t="s">
        <v>31</v>
      </c>
      <c r="P1" t="s">
        <v>32</v>
      </c>
      <c r="Q1" t="s">
        <v>33</v>
      </c>
      <c r="R1" t="s">
        <v>34</v>
      </c>
      <c r="S1" t="s">
        <v>39</v>
      </c>
      <c r="T1" t="s">
        <v>38</v>
      </c>
      <c r="U1" t="s">
        <v>37</v>
      </c>
      <c r="W1" t="s">
        <v>42</v>
      </c>
      <c r="X1" t="s">
        <v>44</v>
      </c>
      <c r="Y1" t="s">
        <v>46</v>
      </c>
      <c r="Z1" t="s">
        <v>50</v>
      </c>
      <c r="AA1" t="s">
        <v>51</v>
      </c>
      <c r="AB1" t="s">
        <v>52</v>
      </c>
      <c r="AC1" t="s">
        <v>54</v>
      </c>
      <c r="AD1" t="s">
        <v>56</v>
      </c>
    </row>
    <row r="2" spans="1:34" x14ac:dyDescent="0.25">
      <c r="A2" t="s">
        <v>6</v>
      </c>
      <c r="B2" t="s">
        <v>0</v>
      </c>
      <c r="C2" t="s">
        <v>1</v>
      </c>
      <c r="D2" t="s">
        <v>2</v>
      </c>
      <c r="E2" t="s">
        <v>11</v>
      </c>
      <c r="F2" t="s">
        <v>12</v>
      </c>
      <c r="G2" t="s">
        <v>13</v>
      </c>
      <c r="H2" t="s">
        <v>14</v>
      </c>
      <c r="I2" t="s">
        <v>17</v>
      </c>
      <c r="J2" t="s">
        <v>18</v>
      </c>
      <c r="K2" t="s">
        <v>19</v>
      </c>
      <c r="L2" t="s">
        <v>20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30</v>
      </c>
      <c r="T2" t="s">
        <v>35</v>
      </c>
      <c r="U2" t="s">
        <v>36</v>
      </c>
      <c r="V2" t="s">
        <v>40</v>
      </c>
      <c r="W2" t="s">
        <v>41</v>
      </c>
      <c r="X2" t="s">
        <v>43</v>
      </c>
      <c r="Y2" t="s">
        <v>45</v>
      </c>
      <c r="Z2" t="s">
        <v>47</v>
      </c>
      <c r="AA2" t="s">
        <v>48</v>
      </c>
      <c r="AB2" t="s">
        <v>49</v>
      </c>
      <c r="AC2" t="s">
        <v>53</v>
      </c>
      <c r="AD2" t="s">
        <v>55</v>
      </c>
    </row>
    <row r="3" spans="1:34" x14ac:dyDescent="0.25">
      <c r="A3">
        <v>1946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34" x14ac:dyDescent="0.25">
      <c r="A4">
        <v>1947</v>
      </c>
      <c r="B4" s="1">
        <v>0.68466987621207798</v>
      </c>
      <c r="C4" s="1">
        <v>0.20994940978077573</v>
      </c>
      <c r="D4" s="1">
        <v>0.14374603640540254</v>
      </c>
      <c r="E4" s="1">
        <v>0.88510638475418102</v>
      </c>
      <c r="F4" s="3">
        <f>+B4/E4</f>
        <v>0.77354529128408678</v>
      </c>
      <c r="G4" s="1">
        <v>0.22944928491167099</v>
      </c>
      <c r="H4" s="3">
        <f>+F4*G4</f>
        <v>0.17748941393192397</v>
      </c>
      <c r="I4" s="1"/>
      <c r="J4" s="1"/>
      <c r="K4" s="1"/>
      <c r="L4" s="1"/>
      <c r="M4" s="1"/>
      <c r="N4" s="1"/>
      <c r="O4" s="1"/>
      <c r="P4" s="3">
        <f>+D4-O4</f>
        <v>0.14374603640540254</v>
      </c>
      <c r="Q4" s="1"/>
      <c r="R4" s="1"/>
      <c r="S4" s="1"/>
      <c r="T4" s="1"/>
      <c r="U4" s="1"/>
      <c r="V4">
        <v>0</v>
      </c>
      <c r="Z4" s="1">
        <v>24.9</v>
      </c>
      <c r="AA4" s="1"/>
      <c r="AB4" s="1"/>
    </row>
    <row r="5" spans="1:34" x14ac:dyDescent="0.25">
      <c r="A5">
        <v>1948</v>
      </c>
      <c r="B5" s="1">
        <v>0.69467410661314399</v>
      </c>
      <c r="C5" s="1">
        <v>0.2360294117647059</v>
      </c>
      <c r="D5" s="1">
        <v>0.16396352075207296</v>
      </c>
      <c r="E5" s="1">
        <v>0.92389321327209495</v>
      </c>
      <c r="F5" s="3">
        <f t="shared" ref="F5:F68" si="0">+B5/E5</f>
        <v>0.75189870066569708</v>
      </c>
      <c r="G5" s="1">
        <v>0.22932417478327899</v>
      </c>
      <c r="H5" s="3">
        <f t="shared" ref="H5:H68" si="1">+F5*G5</f>
        <v>0.1724285490507807</v>
      </c>
      <c r="I5" s="3">
        <f>+F5/F4-1</f>
        <v>-2.7983611124380747E-2</v>
      </c>
      <c r="J5" s="3">
        <f t="shared" ref="J5:K5" si="2">+G5/G4-1</f>
        <v>-5.4526266420995562E-4</v>
      </c>
      <c r="K5" s="3">
        <f t="shared" si="2"/>
        <v>-2.8513615370234779E-2</v>
      </c>
      <c r="L5" s="1">
        <v>0.31468453732815793</v>
      </c>
      <c r="M5" s="1">
        <v>0.16202197919092801</v>
      </c>
      <c r="N5" s="1"/>
      <c r="O5" s="1">
        <v>1.04E-2</v>
      </c>
      <c r="P5" s="3">
        <f t="shared" ref="P5:P68" si="3">+D5-O5</f>
        <v>0.15356352075207297</v>
      </c>
      <c r="Q5" s="1">
        <v>0.30622076533557502</v>
      </c>
      <c r="R5" s="1"/>
      <c r="S5" s="3">
        <f>+L5-O5</f>
        <v>0.30428453732815791</v>
      </c>
      <c r="T5" s="1">
        <v>0.15210622652831399</v>
      </c>
      <c r="U5" s="1"/>
      <c r="V5">
        <v>0</v>
      </c>
      <c r="W5">
        <v>91.1</v>
      </c>
      <c r="X5" s="1">
        <v>1</v>
      </c>
      <c r="Y5" s="2">
        <f>+X5*W5</f>
        <v>91.1</v>
      </c>
      <c r="Z5" s="1">
        <v>32.1</v>
      </c>
      <c r="AA5" s="3">
        <f>+Z5+W5-Y5</f>
        <v>32.099999999999994</v>
      </c>
      <c r="AB5" s="3">
        <f>+D5*AA5/Z5</f>
        <v>0.16396352075207293</v>
      </c>
      <c r="AC5" s="3"/>
      <c r="AG5" s="1"/>
      <c r="AH5" s="1"/>
    </row>
    <row r="6" spans="1:34" x14ac:dyDescent="0.25">
      <c r="A6">
        <v>1949</v>
      </c>
      <c r="B6" s="1">
        <v>0.60050337900220219</v>
      </c>
      <c r="C6" s="1">
        <v>0.22809667673716011</v>
      </c>
      <c r="D6" s="1">
        <v>0.13697282511983766</v>
      </c>
      <c r="E6" s="1">
        <v>0.86980038881301902</v>
      </c>
      <c r="F6" s="3">
        <f t="shared" si="0"/>
        <v>0.69039217126780617</v>
      </c>
      <c r="G6" s="1">
        <v>0.22900357180577</v>
      </c>
      <c r="H6" s="3">
        <f t="shared" si="1"/>
        <v>0.15810227316706851</v>
      </c>
      <c r="I6" s="3">
        <f t="shared" ref="I6:I68" si="4">+F6/F5-1</f>
        <v>-8.1801616818111045E-2</v>
      </c>
      <c r="J6" s="3">
        <f t="shared" ref="J6:J68" si="5">+G6/G5-1</f>
        <v>-1.39803393084037E-3</v>
      </c>
      <c r="K6" s="3">
        <f t="shared" ref="K6:K68" si="6">+H6/H5-1</f>
        <v>-8.3085289313042154E-2</v>
      </c>
      <c r="L6" s="1">
        <v>-0.11933291420477785</v>
      </c>
      <c r="M6" s="1">
        <v>0.14326290783603601</v>
      </c>
      <c r="N6" s="3">
        <f>+M5</f>
        <v>0.16202197919092801</v>
      </c>
      <c r="O6" s="1">
        <v>1.102E-2</v>
      </c>
      <c r="P6" s="3">
        <f t="shared" si="3"/>
        <v>0.12595282511983766</v>
      </c>
      <c r="Q6" s="1">
        <v>0.27053430225915498</v>
      </c>
      <c r="R6" s="3">
        <f>+Q5</f>
        <v>0.30622076533557502</v>
      </c>
      <c r="S6" s="3">
        <f t="shared" ref="S6:S68" si="7">+L6-O6</f>
        <v>-0.13035291420477785</v>
      </c>
      <c r="T6" s="1">
        <v>0.13192995709819899</v>
      </c>
      <c r="U6" s="3">
        <f>+T5</f>
        <v>0.15210622652831399</v>
      </c>
      <c r="V6">
        <v>0</v>
      </c>
      <c r="W6">
        <v>88.8</v>
      </c>
      <c r="X6" s="1">
        <v>1</v>
      </c>
      <c r="Y6" s="2">
        <f t="shared" ref="Y6:Y68" si="8">+X6*W6</f>
        <v>88.8</v>
      </c>
      <c r="Z6">
        <v>30.2</v>
      </c>
      <c r="AA6" s="3">
        <f t="shared" ref="AA6:AA68" si="9">+Z6+W6-Y6</f>
        <v>30.200000000000003</v>
      </c>
      <c r="AB6" s="3">
        <f t="shared" ref="AB6:AB68" si="10">+D6*AA6/Z6</f>
        <v>0.13697282511983766</v>
      </c>
      <c r="AC6" s="3"/>
      <c r="AG6" s="1"/>
      <c r="AH6" s="1"/>
    </row>
    <row r="7" spans="1:34" x14ac:dyDescent="0.25">
      <c r="A7">
        <v>1950</v>
      </c>
      <c r="B7" s="1">
        <v>0.65698912156601263</v>
      </c>
      <c r="C7" s="1">
        <v>0.24701195219123509</v>
      </c>
      <c r="D7" s="1">
        <v>0.16228416548642546</v>
      </c>
      <c r="E7" s="1">
        <v>0.87900775671005205</v>
      </c>
      <c r="F7" s="3">
        <f t="shared" si="0"/>
        <v>0.74742130151955632</v>
      </c>
      <c r="G7" s="1">
        <v>0.228358741382195</v>
      </c>
      <c r="H7" s="3">
        <f t="shared" si="1"/>
        <v>0.17068018769724796</v>
      </c>
      <c r="I7" s="3">
        <f t="shared" si="4"/>
        <v>8.2603964275875796E-2</v>
      </c>
      <c r="J7" s="3">
        <f t="shared" si="5"/>
        <v>-2.8158094587359406E-3</v>
      </c>
      <c r="K7" s="3">
        <f t="shared" si="6"/>
        <v>7.955555779320278E-2</v>
      </c>
      <c r="L7" s="1">
        <v>0.43918643202486496</v>
      </c>
      <c r="M7" s="1">
        <v>0.12603061668923299</v>
      </c>
      <c r="N7" s="3">
        <f t="shared" ref="N7:N69" si="11">+M6</f>
        <v>0.14326290783603601</v>
      </c>
      <c r="O7" s="1">
        <v>1.218E-2</v>
      </c>
      <c r="P7" s="3">
        <f t="shared" si="3"/>
        <v>0.15010416548642547</v>
      </c>
      <c r="Q7" s="1">
        <v>0.237222631529379</v>
      </c>
      <c r="R7" s="3">
        <f t="shared" ref="R7:R69" si="12">+Q6</f>
        <v>0.27053430225915498</v>
      </c>
      <c r="S7" s="3">
        <f t="shared" si="7"/>
        <v>0.42700643202486493</v>
      </c>
      <c r="T7" s="1">
        <v>0.11327562540280101</v>
      </c>
      <c r="U7" s="3">
        <f t="shared" ref="U7:U69" si="13">+T6</f>
        <v>0.13192995709819899</v>
      </c>
      <c r="V7">
        <v>0</v>
      </c>
      <c r="W7">
        <v>98.7</v>
      </c>
      <c r="X7" s="1">
        <v>1</v>
      </c>
      <c r="Y7" s="2">
        <f t="shared" si="8"/>
        <v>98.7</v>
      </c>
      <c r="Z7">
        <v>37.200000000000003</v>
      </c>
      <c r="AA7" s="3">
        <f t="shared" si="9"/>
        <v>37.200000000000003</v>
      </c>
      <c r="AB7" s="3">
        <f t="shared" si="10"/>
        <v>0.16228416548642546</v>
      </c>
      <c r="AC7" s="3"/>
      <c r="AG7" s="1"/>
      <c r="AH7" s="1"/>
    </row>
    <row r="8" spans="1:34" x14ac:dyDescent="0.25">
      <c r="A8">
        <v>1951</v>
      </c>
      <c r="B8" s="1">
        <v>0.65023392974425054</v>
      </c>
      <c r="C8" s="1">
        <v>0.24580682475419316</v>
      </c>
      <c r="D8" s="1">
        <v>0.15983193761787534</v>
      </c>
      <c r="E8" s="1">
        <v>0.92584294080734297</v>
      </c>
      <c r="F8" s="3">
        <f t="shared" si="0"/>
        <v>0.70231558840556796</v>
      </c>
      <c r="G8" s="1">
        <v>0.22725191319754801</v>
      </c>
      <c r="H8" s="3">
        <f t="shared" si="1"/>
        <v>0.15960256113362697</v>
      </c>
      <c r="I8" s="3">
        <f t="shared" si="4"/>
        <v>-6.0348444742323371E-2</v>
      </c>
      <c r="J8" s="3">
        <f t="shared" si="5"/>
        <v>-4.8468833640773479E-3</v>
      </c>
      <c r="K8" s="3">
        <f t="shared" si="6"/>
        <v>-6.4902826233531274E-2</v>
      </c>
      <c r="L8" s="1">
        <v>7.4239480264395474E-2</v>
      </c>
      <c r="M8" s="1">
        <v>0.109226256880253</v>
      </c>
      <c r="N8" s="3">
        <f t="shared" si="11"/>
        <v>0.12603061668923299</v>
      </c>
      <c r="O8" s="1">
        <v>1.5520000000000001E-2</v>
      </c>
      <c r="P8" s="3">
        <f t="shared" si="3"/>
        <v>0.14431193761787534</v>
      </c>
      <c r="Q8" s="1">
        <v>0.20528320247029999</v>
      </c>
      <c r="R8" s="3">
        <f t="shared" si="12"/>
        <v>0.237222631529379</v>
      </c>
      <c r="S8" s="3">
        <f t="shared" si="7"/>
        <v>5.8719480264395475E-2</v>
      </c>
      <c r="T8" s="1">
        <v>9.5041869605855797E-2</v>
      </c>
      <c r="U8" s="3">
        <f t="shared" si="13"/>
        <v>0.11327562540280101</v>
      </c>
      <c r="V8">
        <v>0</v>
      </c>
      <c r="W8">
        <v>114.6</v>
      </c>
      <c r="X8" s="1">
        <v>1</v>
      </c>
      <c r="Y8" s="2">
        <f t="shared" si="8"/>
        <v>114.6</v>
      </c>
      <c r="Z8">
        <v>42.5</v>
      </c>
      <c r="AA8" s="3">
        <f t="shared" si="9"/>
        <v>42.5</v>
      </c>
      <c r="AB8" s="3">
        <f t="shared" si="10"/>
        <v>0.15983193761787534</v>
      </c>
      <c r="AC8" s="3"/>
      <c r="AG8" s="1"/>
      <c r="AH8" s="1"/>
    </row>
    <row r="9" spans="1:34" x14ac:dyDescent="0.25">
      <c r="A9">
        <v>1952</v>
      </c>
      <c r="B9" s="1">
        <v>0.60687122147839079</v>
      </c>
      <c r="C9" s="1">
        <v>0.2244333886124931</v>
      </c>
      <c r="D9" s="1">
        <v>0.13620216468779806</v>
      </c>
      <c r="E9" s="1">
        <v>0.91023296117782604</v>
      </c>
      <c r="F9" s="3">
        <f t="shared" si="0"/>
        <v>0.66672077079378633</v>
      </c>
      <c r="G9" s="1">
        <v>0.225731729522999</v>
      </c>
      <c r="H9" s="3">
        <f t="shared" si="1"/>
        <v>0.15050003270018839</v>
      </c>
      <c r="I9" s="3">
        <f t="shared" si="4"/>
        <v>-5.0682083951163248E-2</v>
      </c>
      <c r="J9" s="3">
        <f t="shared" si="5"/>
        <v>-6.6894207980882081E-3</v>
      </c>
      <c r="K9" s="3">
        <f t="shared" si="6"/>
        <v>-5.7032470962778081E-2</v>
      </c>
      <c r="L9" s="1">
        <v>-8.6527611964125437E-2</v>
      </c>
      <c r="M9" s="1">
        <v>9.48826733719315E-2</v>
      </c>
      <c r="N9" s="3">
        <f t="shared" si="11"/>
        <v>0.109226256880253</v>
      </c>
      <c r="O9" s="1">
        <v>1.7659999999999999E-2</v>
      </c>
      <c r="P9" s="3">
        <f t="shared" si="3"/>
        <v>0.11854216468779806</v>
      </c>
      <c r="Q9" s="1">
        <v>0.175972238090677</v>
      </c>
      <c r="R9" s="3">
        <f t="shared" si="12"/>
        <v>0.20528320247029999</v>
      </c>
      <c r="S9" s="3">
        <f t="shared" si="7"/>
        <v>-0.10418761196412543</v>
      </c>
      <c r="T9" s="1">
        <v>7.9264571617068694E-2</v>
      </c>
      <c r="U9" s="3">
        <f t="shared" si="13"/>
        <v>9.5041869605855797E-2</v>
      </c>
      <c r="V9">
        <v>0</v>
      </c>
      <c r="W9" s="1">
        <v>123</v>
      </c>
      <c r="X9" s="1">
        <v>1</v>
      </c>
      <c r="Y9" s="2">
        <f t="shared" si="8"/>
        <v>123</v>
      </c>
      <c r="Z9">
        <v>40.6</v>
      </c>
      <c r="AA9" s="3">
        <f t="shared" si="9"/>
        <v>40.599999999999994</v>
      </c>
      <c r="AB9" s="3">
        <f t="shared" si="10"/>
        <v>0.13620216468779803</v>
      </c>
      <c r="AC9" s="3"/>
      <c r="AG9" s="1"/>
      <c r="AH9" s="1"/>
    </row>
    <row r="10" spans="1:34" x14ac:dyDescent="0.25">
      <c r="A10">
        <v>1953</v>
      </c>
      <c r="B10" s="1">
        <v>0.60315190656815554</v>
      </c>
      <c r="C10" s="1">
        <v>0.21229338842975204</v>
      </c>
      <c r="D10" s="1">
        <v>0.12804516198321894</v>
      </c>
      <c r="E10" s="1">
        <v>0.92477166652679399</v>
      </c>
      <c r="F10" s="3">
        <f t="shared" si="0"/>
        <v>0.65221711304525576</v>
      </c>
      <c r="G10" s="1">
        <v>0.224032313497744</v>
      </c>
      <c r="H10" s="3">
        <f t="shared" si="1"/>
        <v>0.14611770873834828</v>
      </c>
      <c r="I10" s="3">
        <f t="shared" si="4"/>
        <v>-2.1753721173652263E-2</v>
      </c>
      <c r="J10" s="3">
        <f t="shared" si="5"/>
        <v>-7.5284765187689784E-3</v>
      </c>
      <c r="K10" s="3">
        <f t="shared" si="6"/>
        <v>-2.91184253133695E-2</v>
      </c>
      <c r="L10" s="1">
        <v>1.6692636395081967E-2</v>
      </c>
      <c r="M10" s="1">
        <v>8.4682448558304896E-2</v>
      </c>
      <c r="N10" s="3">
        <f t="shared" si="11"/>
        <v>9.48826733719315E-2</v>
      </c>
      <c r="O10" s="1">
        <v>1.9310000000000001E-2</v>
      </c>
      <c r="P10" s="3">
        <f t="shared" si="3"/>
        <v>0.10873516198321895</v>
      </c>
      <c r="Q10" s="1">
        <v>0.15204612937456699</v>
      </c>
      <c r="R10" s="3">
        <f t="shared" si="12"/>
        <v>0.175972238090677</v>
      </c>
      <c r="S10" s="3">
        <f t="shared" si="7"/>
        <v>-2.6173636049180334E-3</v>
      </c>
      <c r="T10" s="1">
        <v>6.7616194650088807E-2</v>
      </c>
      <c r="U10" s="3">
        <f t="shared" si="13"/>
        <v>7.9264571617068694E-2</v>
      </c>
      <c r="V10">
        <v>0</v>
      </c>
      <c r="W10" s="1">
        <v>134</v>
      </c>
      <c r="X10" s="1">
        <v>1</v>
      </c>
      <c r="Y10" s="2">
        <f t="shared" si="8"/>
        <v>134</v>
      </c>
      <c r="Z10">
        <v>41.099999999999994</v>
      </c>
      <c r="AA10" s="3">
        <f t="shared" si="9"/>
        <v>41.099999999999994</v>
      </c>
      <c r="AB10" s="3">
        <f t="shared" si="10"/>
        <v>0.12804516198321894</v>
      </c>
      <c r="AC10" s="3"/>
      <c r="AG10" s="1"/>
      <c r="AH10" s="1"/>
    </row>
    <row r="11" spans="1:34" x14ac:dyDescent="0.25">
      <c r="A11">
        <v>1954</v>
      </c>
      <c r="B11" s="1">
        <v>0.55569067538063255</v>
      </c>
      <c r="C11" s="1">
        <v>0.21165966386554619</v>
      </c>
      <c r="D11" s="1">
        <v>0.11761730156428303</v>
      </c>
      <c r="E11" s="1">
        <v>0.87672096490859996</v>
      </c>
      <c r="F11" s="3">
        <f t="shared" si="0"/>
        <v>0.63382843301638681</v>
      </c>
      <c r="G11" s="1">
        <v>0.222374470965749</v>
      </c>
      <c r="H11" s="3">
        <f t="shared" si="1"/>
        <v>0.1409472624750687</v>
      </c>
      <c r="I11" s="3">
        <f t="shared" si="4"/>
        <v>-2.8194108466444101E-2</v>
      </c>
      <c r="J11" s="3">
        <f t="shared" si="5"/>
        <v>-7.4000152304444233E-3</v>
      </c>
      <c r="K11" s="3">
        <f t="shared" si="6"/>
        <v>-3.5385486864828009E-2</v>
      </c>
      <c r="L11" s="1">
        <v>-1.3296796656494017E-2</v>
      </c>
      <c r="M11" s="1">
        <v>7.8494338099689503E-2</v>
      </c>
      <c r="N11" s="3">
        <f t="shared" si="11"/>
        <v>8.4682448558304896E-2</v>
      </c>
      <c r="O11" s="1">
        <v>9.5300000000000003E-3</v>
      </c>
      <c r="P11" s="3">
        <f t="shared" si="3"/>
        <v>0.10808730156428303</v>
      </c>
      <c r="Q11" s="1">
        <v>0.13386454492511901</v>
      </c>
      <c r="R11" s="3">
        <f t="shared" si="12"/>
        <v>0.15204612937456699</v>
      </c>
      <c r="S11" s="3">
        <f t="shared" si="7"/>
        <v>-2.2826796656494015E-2</v>
      </c>
      <c r="T11" s="1">
        <v>5.9934556202393803E-2</v>
      </c>
      <c r="U11" s="3">
        <f t="shared" si="13"/>
        <v>6.7616194650088807E-2</v>
      </c>
      <c r="V11">
        <v>0</v>
      </c>
      <c r="W11" s="1">
        <v>132.19999999999999</v>
      </c>
      <c r="X11" s="1">
        <v>1</v>
      </c>
      <c r="Y11" s="2">
        <f t="shared" si="8"/>
        <v>132.19999999999999</v>
      </c>
      <c r="Z11">
        <v>40.299999999999997</v>
      </c>
      <c r="AA11" s="3">
        <f t="shared" si="9"/>
        <v>40.300000000000011</v>
      </c>
      <c r="AB11" s="3">
        <f t="shared" si="10"/>
        <v>0.11761730156428307</v>
      </c>
      <c r="AC11" s="3"/>
      <c r="AG11" s="1"/>
      <c r="AH11" s="1"/>
    </row>
    <row r="12" spans="1:34" x14ac:dyDescent="0.25">
      <c r="A12">
        <v>1955</v>
      </c>
      <c r="B12" s="1">
        <v>0.6037407038283239</v>
      </c>
      <c r="C12" s="1">
        <v>0.23783031988873435</v>
      </c>
      <c r="D12" s="1">
        <v>0.1435878447213399</v>
      </c>
      <c r="E12" s="1">
        <v>0.90311419963836703</v>
      </c>
      <c r="F12" s="3">
        <f t="shared" si="0"/>
        <v>0.66850981201500215</v>
      </c>
      <c r="G12" s="1">
        <v>0.220861684636002</v>
      </c>
      <c r="H12" s="3">
        <f t="shared" si="1"/>
        <v>0.14764820327733039</v>
      </c>
      <c r="I12" s="3">
        <f t="shared" si="4"/>
        <v>5.4717297603023018E-2</v>
      </c>
      <c r="J12" s="3">
        <f t="shared" si="5"/>
        <v>-6.8028777007410612E-3</v>
      </c>
      <c r="K12" s="3">
        <f t="shared" si="6"/>
        <v>4.7542184818573308E-2</v>
      </c>
      <c r="L12" s="1">
        <v>0.46831152881907867</v>
      </c>
      <c r="M12" s="1">
        <v>7.5507273170818498E-2</v>
      </c>
      <c r="N12" s="3">
        <f t="shared" si="11"/>
        <v>7.8494338099689503E-2</v>
      </c>
      <c r="O12" s="1">
        <v>1.753E-2</v>
      </c>
      <c r="P12" s="3">
        <f t="shared" si="3"/>
        <v>0.12605784472133991</v>
      </c>
      <c r="Q12" s="1">
        <v>0.12069069205173499</v>
      </c>
      <c r="R12" s="3">
        <f t="shared" si="12"/>
        <v>0.13386454492511901</v>
      </c>
      <c r="S12" s="3">
        <f t="shared" si="7"/>
        <v>0.45078152881907868</v>
      </c>
      <c r="T12" s="1">
        <v>5.5355311824960597E-2</v>
      </c>
      <c r="U12" s="3">
        <f t="shared" si="13"/>
        <v>5.9934556202393803E-2</v>
      </c>
      <c r="V12">
        <v>0</v>
      </c>
      <c r="W12">
        <v>144.6</v>
      </c>
      <c r="X12" s="1">
        <v>1</v>
      </c>
      <c r="Y12" s="2">
        <f t="shared" si="8"/>
        <v>144.6</v>
      </c>
      <c r="Z12">
        <v>51.300000000000004</v>
      </c>
      <c r="AA12" s="3">
        <f t="shared" si="9"/>
        <v>51.300000000000011</v>
      </c>
      <c r="AB12" s="3">
        <f t="shared" si="10"/>
        <v>0.14358784472133992</v>
      </c>
      <c r="AC12" s="3"/>
      <c r="AG12" s="1"/>
      <c r="AH12" s="1"/>
    </row>
    <row r="13" spans="1:34" x14ac:dyDescent="0.25">
      <c r="A13">
        <v>1956</v>
      </c>
      <c r="B13" s="1">
        <v>0.57389920282222595</v>
      </c>
      <c r="C13" s="1">
        <v>0.21869565217391307</v>
      </c>
      <c r="D13" s="1">
        <v>0.12550926044329552</v>
      </c>
      <c r="E13" s="1">
        <v>0.86929577589035001</v>
      </c>
      <c r="F13" s="3">
        <f t="shared" si="0"/>
        <v>0.66018864779876218</v>
      </c>
      <c r="G13" s="1">
        <v>0.21949069250783301</v>
      </c>
      <c r="H13" s="3">
        <f t="shared" si="1"/>
        <v>0.14490526349116017</v>
      </c>
      <c r="I13" s="3">
        <f t="shared" si="4"/>
        <v>-1.2447332958597235E-2</v>
      </c>
      <c r="J13" s="3">
        <f t="shared" si="5"/>
        <v>-6.2074693056357599E-3</v>
      </c>
      <c r="K13" s="3">
        <f t="shared" si="6"/>
        <v>-1.8577535826955538E-2</v>
      </c>
      <c r="L13" s="1">
        <v>-0.11792891015619376</v>
      </c>
      <c r="M13" s="1">
        <v>7.3992241565428302E-2</v>
      </c>
      <c r="N13" s="3">
        <f t="shared" si="11"/>
        <v>7.5507273170818498E-2</v>
      </c>
      <c r="O13" s="1">
        <v>2.6579999999999999E-2</v>
      </c>
      <c r="P13" s="3">
        <f t="shared" si="3"/>
        <v>9.892926044329553E-2</v>
      </c>
      <c r="Q13" s="1">
        <v>0.11043413261457</v>
      </c>
      <c r="R13" s="3">
        <f t="shared" si="12"/>
        <v>0.12069069205173499</v>
      </c>
      <c r="S13" s="3">
        <f t="shared" si="7"/>
        <v>-0.14450891015619377</v>
      </c>
      <c r="T13" s="1">
        <v>5.2186771506742197E-2</v>
      </c>
      <c r="U13" s="3">
        <f t="shared" si="13"/>
        <v>5.5355311824960597E-2</v>
      </c>
      <c r="V13">
        <v>0</v>
      </c>
      <c r="W13">
        <v>158.19999999999999</v>
      </c>
      <c r="X13" s="1">
        <v>1</v>
      </c>
      <c r="Y13" s="2">
        <f t="shared" si="8"/>
        <v>158.19999999999999</v>
      </c>
      <c r="Z13">
        <v>50.300000000000004</v>
      </c>
      <c r="AA13" s="3">
        <f t="shared" si="9"/>
        <v>50.300000000000011</v>
      </c>
      <c r="AB13" s="3">
        <f t="shared" si="10"/>
        <v>0.12550926044329555</v>
      </c>
      <c r="AC13" s="3"/>
      <c r="AG13" s="1"/>
      <c r="AH13" s="1"/>
    </row>
    <row r="14" spans="1:34" x14ac:dyDescent="0.25">
      <c r="A14">
        <v>1957</v>
      </c>
      <c r="B14" s="1">
        <v>0.53186821774617066</v>
      </c>
      <c r="C14" s="1">
        <v>0.21068001668752612</v>
      </c>
      <c r="D14" s="1">
        <v>0.112054004990328</v>
      </c>
      <c r="E14" s="1">
        <v>0.84395122528076205</v>
      </c>
      <c r="F14" s="3">
        <f t="shared" si="0"/>
        <v>0.63021203336630149</v>
      </c>
      <c r="G14" s="1">
        <v>0.21842761573421501</v>
      </c>
      <c r="H14" s="3">
        <f t="shared" si="1"/>
        <v>0.1376557118552128</v>
      </c>
      <c r="I14" s="3">
        <f t="shared" si="4"/>
        <v>-4.540613434116203E-2</v>
      </c>
      <c r="J14" s="3">
        <f t="shared" si="5"/>
        <v>-4.8433797418542257E-3</v>
      </c>
      <c r="K14" s="3">
        <f t="shared" si="6"/>
        <v>-5.0029594931792265E-2</v>
      </c>
      <c r="L14" s="1">
        <v>-4.4956258585891827E-2</v>
      </c>
      <c r="M14" s="1">
        <v>7.6148158345547098E-2</v>
      </c>
      <c r="N14" s="3">
        <f t="shared" si="11"/>
        <v>7.3992241565428302E-2</v>
      </c>
      <c r="O14" s="1">
        <v>3.2669999999999998E-2</v>
      </c>
      <c r="P14" s="3">
        <f t="shared" si="3"/>
        <v>7.9384004990327994E-2</v>
      </c>
      <c r="Q14" s="1">
        <v>0.104269521553258</v>
      </c>
      <c r="R14" s="3">
        <f t="shared" si="12"/>
        <v>0.11043413261457</v>
      </c>
      <c r="S14" s="3">
        <f t="shared" si="7"/>
        <v>-7.7626258585891825E-2</v>
      </c>
      <c r="T14" s="1">
        <v>5.2691692118441699E-2</v>
      </c>
      <c r="U14" s="3">
        <f t="shared" si="13"/>
        <v>5.2186771506742197E-2</v>
      </c>
      <c r="V14">
        <v>0</v>
      </c>
      <c r="W14">
        <v>166.5</v>
      </c>
      <c r="X14" s="1">
        <v>1</v>
      </c>
      <c r="Y14" s="2">
        <f t="shared" si="8"/>
        <v>166.5</v>
      </c>
      <c r="Z14">
        <v>50.5</v>
      </c>
      <c r="AA14" s="3">
        <f t="shared" si="9"/>
        <v>50.5</v>
      </c>
      <c r="AB14" s="3">
        <f t="shared" si="10"/>
        <v>0.11205400499032801</v>
      </c>
      <c r="AC14" s="3"/>
      <c r="AG14" s="1"/>
      <c r="AH14" s="1"/>
    </row>
    <row r="15" spans="1:34" x14ac:dyDescent="0.25">
      <c r="A15">
        <v>1958</v>
      </c>
      <c r="B15" s="1">
        <v>0.47834446460875218</v>
      </c>
      <c r="C15" s="1">
        <v>0.19871520342612417</v>
      </c>
      <c r="D15" s="1">
        <v>9.5054317592488641E-2</v>
      </c>
      <c r="E15" s="1">
        <v>0.79810518026351895</v>
      </c>
      <c r="F15" s="3">
        <f t="shared" si="0"/>
        <v>0.59935015639268507</v>
      </c>
      <c r="G15" s="1">
        <v>0.21783066854303801</v>
      </c>
      <c r="H15" s="3">
        <f t="shared" si="1"/>
        <v>0.13055684525839298</v>
      </c>
      <c r="I15" s="3">
        <f t="shared" si="4"/>
        <v>-4.8970624709856025E-2</v>
      </c>
      <c r="J15" s="3">
        <f t="shared" si="5"/>
        <v>-2.7329291178244119E-3</v>
      </c>
      <c r="K15" s="3">
        <f t="shared" si="6"/>
        <v>-5.1569720581492895E-2</v>
      </c>
      <c r="L15" s="1">
        <v>-9.8439768243135731E-2</v>
      </c>
      <c r="M15" s="1">
        <v>8.2255016157548794E-2</v>
      </c>
      <c r="N15" s="3">
        <f t="shared" si="11"/>
        <v>7.6148158345547098E-2</v>
      </c>
      <c r="O15" s="1">
        <v>1.839E-2</v>
      </c>
      <c r="P15" s="3">
        <f t="shared" si="3"/>
        <v>7.6664317592488637E-2</v>
      </c>
      <c r="Q15" s="1">
        <v>0.10241517248128899</v>
      </c>
      <c r="R15" s="3">
        <f t="shared" si="12"/>
        <v>0.104269521553258</v>
      </c>
      <c r="S15" s="3">
        <f t="shared" si="7"/>
        <v>-0.11682976824313573</v>
      </c>
      <c r="T15" s="1">
        <v>5.71659628156952E-2</v>
      </c>
      <c r="U15" s="3">
        <f t="shared" si="13"/>
        <v>5.2691692118441699E-2</v>
      </c>
      <c r="V15">
        <v>0</v>
      </c>
      <c r="W15">
        <v>164</v>
      </c>
      <c r="X15" s="1">
        <v>1</v>
      </c>
      <c r="Y15" s="2">
        <f t="shared" si="8"/>
        <v>164</v>
      </c>
      <c r="Z15">
        <v>46.4</v>
      </c>
      <c r="AA15" s="3">
        <f t="shared" si="9"/>
        <v>46.400000000000006</v>
      </c>
      <c r="AB15" s="3">
        <f t="shared" si="10"/>
        <v>9.5054317592488669E-2</v>
      </c>
      <c r="AC15" s="3"/>
      <c r="AG15" s="1"/>
      <c r="AH15" s="1"/>
    </row>
    <row r="16" spans="1:34" x14ac:dyDescent="0.25">
      <c r="A16">
        <v>1959</v>
      </c>
      <c r="B16" s="1">
        <v>0.51974920928295865</v>
      </c>
      <c r="C16" s="1">
        <v>0.21897533206831118</v>
      </c>
      <c r="D16" s="1">
        <v>0.11381225569497803</v>
      </c>
      <c r="E16" s="1">
        <v>0.861047804355621</v>
      </c>
      <c r="F16" s="3">
        <f t="shared" si="0"/>
        <v>0.60362410385788201</v>
      </c>
      <c r="G16" s="1">
        <v>0.21778078900485401</v>
      </c>
      <c r="H16" s="3">
        <f t="shared" si="1"/>
        <v>0.13145773360051749</v>
      </c>
      <c r="I16" s="3">
        <f t="shared" si="4"/>
        <v>7.1309691331702396E-3</v>
      </c>
      <c r="J16" s="3">
        <f t="shared" si="5"/>
        <v>-2.2898308359253772E-4</v>
      </c>
      <c r="K16" s="3">
        <f t="shared" si="6"/>
        <v>6.9003531782765304E-3</v>
      </c>
      <c r="L16" s="1">
        <v>0.32134547190682972</v>
      </c>
      <c r="M16" s="1">
        <v>9.13813260643518E-2</v>
      </c>
      <c r="N16" s="3">
        <f t="shared" si="11"/>
        <v>8.2255016157548794E-2</v>
      </c>
      <c r="O16" s="1">
        <v>3.4049999999999997E-2</v>
      </c>
      <c r="P16" s="3">
        <f t="shared" si="3"/>
        <v>7.9762255694978038E-2</v>
      </c>
      <c r="Q16" s="1">
        <v>0.10434070379662</v>
      </c>
      <c r="R16" s="3">
        <f t="shared" si="12"/>
        <v>0.10241517248128899</v>
      </c>
      <c r="S16" s="3">
        <f t="shared" si="7"/>
        <v>0.28729547190682969</v>
      </c>
      <c r="T16" s="1">
        <v>6.4602555832954003E-2</v>
      </c>
      <c r="U16" s="3">
        <f t="shared" si="13"/>
        <v>5.71659628156952E-2</v>
      </c>
      <c r="V16">
        <v>0</v>
      </c>
      <c r="W16">
        <v>180.3</v>
      </c>
      <c r="X16" s="1">
        <v>1</v>
      </c>
      <c r="Y16" s="2">
        <f t="shared" si="8"/>
        <v>180.3</v>
      </c>
      <c r="Z16">
        <v>57.699999999999996</v>
      </c>
      <c r="AA16" s="3">
        <f t="shared" si="9"/>
        <v>57.699999999999989</v>
      </c>
      <c r="AB16" s="3">
        <f t="shared" si="10"/>
        <v>0.11381225569497802</v>
      </c>
      <c r="AC16" s="3"/>
      <c r="AG16" s="1"/>
      <c r="AH16" s="1"/>
    </row>
    <row r="17" spans="1:34" x14ac:dyDescent="0.25">
      <c r="A17">
        <v>1960</v>
      </c>
      <c r="B17" s="1">
        <v>0.50966624121666726</v>
      </c>
      <c r="C17" s="1">
        <v>0.20739666424945616</v>
      </c>
      <c r="D17" s="1">
        <v>0.10570307830889546</v>
      </c>
      <c r="E17" s="1">
        <v>0.88093119859695401</v>
      </c>
      <c r="F17" s="3">
        <f t="shared" si="0"/>
        <v>0.57855396883253207</v>
      </c>
      <c r="G17" s="1">
        <v>0.21816760850478301</v>
      </c>
      <c r="H17" s="3">
        <f t="shared" si="1"/>
        <v>0.12622173577114429</v>
      </c>
      <c r="I17" s="3">
        <f t="shared" si="4"/>
        <v>-4.1532693716373692E-2</v>
      </c>
      <c r="J17" s="3">
        <f t="shared" si="5"/>
        <v>1.7761874300141756E-3</v>
      </c>
      <c r="K17" s="3">
        <f t="shared" si="6"/>
        <v>-3.983027613487311E-2</v>
      </c>
      <c r="L17" s="1">
        <v>-5.165949114381718E-3</v>
      </c>
      <c r="M17" s="1">
        <v>0.100789048967299</v>
      </c>
      <c r="N17" s="3">
        <f t="shared" si="11"/>
        <v>9.13813260643518E-2</v>
      </c>
      <c r="O17" s="1">
        <v>2.928E-2</v>
      </c>
      <c r="P17" s="3">
        <f t="shared" si="3"/>
        <v>7.6423078308895456E-2</v>
      </c>
      <c r="Q17" s="1">
        <v>0.10756258217239401</v>
      </c>
      <c r="R17" s="3">
        <f t="shared" si="12"/>
        <v>0.10434070379662</v>
      </c>
      <c r="S17" s="3">
        <f t="shared" si="7"/>
        <v>-3.4445949114381716E-2</v>
      </c>
      <c r="T17" s="1">
        <v>7.2254783776512704E-2</v>
      </c>
      <c r="U17" s="3">
        <f t="shared" si="13"/>
        <v>6.4602555832954003E-2</v>
      </c>
      <c r="V17">
        <v>0</v>
      </c>
      <c r="W17">
        <v>190.7</v>
      </c>
      <c r="X17" s="1">
        <v>1</v>
      </c>
      <c r="Y17" s="2">
        <f t="shared" si="8"/>
        <v>190.7</v>
      </c>
      <c r="Z17">
        <v>57.199999999999996</v>
      </c>
      <c r="AA17" s="3">
        <f t="shared" si="9"/>
        <v>57.199999999999989</v>
      </c>
      <c r="AB17" s="3">
        <f t="shared" si="10"/>
        <v>0.10570307830889546</v>
      </c>
      <c r="AC17" s="3"/>
      <c r="AD17" s="1">
        <v>4.9133504407290293E-2</v>
      </c>
      <c r="AG17" s="1"/>
      <c r="AH17" s="1"/>
    </row>
    <row r="18" spans="1:34" x14ac:dyDescent="0.25">
      <c r="A18">
        <v>1961</v>
      </c>
      <c r="B18" s="1">
        <v>0.50601372914731124</v>
      </c>
      <c r="C18" s="1">
        <v>0.20783345095271699</v>
      </c>
      <c r="D18" s="1">
        <v>0.10516657955813914</v>
      </c>
      <c r="E18" s="1">
        <v>0.88277721405029297</v>
      </c>
      <c r="F18" s="3">
        <f t="shared" si="0"/>
        <v>0.57320660421858483</v>
      </c>
      <c r="G18" s="1">
        <v>0.21889295053789601</v>
      </c>
      <c r="H18" s="3">
        <f t="shared" si="1"/>
        <v>0.12547088486521402</v>
      </c>
      <c r="I18" s="3">
        <f t="shared" si="4"/>
        <v>-9.2426375100973512E-3</v>
      </c>
      <c r="J18" s="3">
        <f t="shared" si="5"/>
        <v>3.324700848508888E-3</v>
      </c>
      <c r="K18" s="3">
        <f t="shared" si="6"/>
        <v>-5.948665666360764E-3</v>
      </c>
      <c r="L18" s="1">
        <v>6.9796687903433852E-2</v>
      </c>
      <c r="M18" s="1">
        <v>0.110039332507089</v>
      </c>
      <c r="N18" s="3">
        <f t="shared" si="11"/>
        <v>0.100789048967299</v>
      </c>
      <c r="O18" s="1">
        <v>2.3780000000000003E-2</v>
      </c>
      <c r="P18" s="3">
        <f t="shared" si="3"/>
        <v>8.1386579558139133E-2</v>
      </c>
      <c r="Q18" s="1">
        <v>0.11231886724378901</v>
      </c>
      <c r="R18" s="3">
        <f t="shared" si="12"/>
        <v>0.10756258217239401</v>
      </c>
      <c r="S18" s="3">
        <f t="shared" si="7"/>
        <v>4.6016687903433849E-2</v>
      </c>
      <c r="T18" s="1">
        <v>7.9602933694336103E-2</v>
      </c>
      <c r="U18" s="3">
        <f t="shared" si="13"/>
        <v>7.2254783776512704E-2</v>
      </c>
      <c r="V18">
        <v>0</v>
      </c>
      <c r="W18">
        <v>195.6</v>
      </c>
      <c r="X18" s="1">
        <v>1</v>
      </c>
      <c r="Y18" s="2">
        <f t="shared" si="8"/>
        <v>195.6</v>
      </c>
      <c r="Z18">
        <v>58.900000000000006</v>
      </c>
      <c r="AA18" s="3">
        <f t="shared" si="9"/>
        <v>58.900000000000006</v>
      </c>
      <c r="AB18" s="3">
        <f t="shared" si="10"/>
        <v>0.10516657955813914</v>
      </c>
      <c r="AC18" s="3"/>
      <c r="AD18" s="1">
        <v>4.638770654060418E-2</v>
      </c>
      <c r="AG18" s="1"/>
      <c r="AH18" s="1"/>
    </row>
    <row r="19" spans="1:34" x14ac:dyDescent="0.25">
      <c r="A19">
        <v>1962</v>
      </c>
      <c r="B19" s="1">
        <v>0.53135212531216325</v>
      </c>
      <c r="C19" s="1">
        <v>0.21845756695708296</v>
      </c>
      <c r="D19" s="1">
        <v>0.11607789249317023</v>
      </c>
      <c r="E19" s="1">
        <v>0.93909597396850597</v>
      </c>
      <c r="F19" s="3">
        <f t="shared" si="0"/>
        <v>0.5658123770531498</v>
      </c>
      <c r="G19" s="1">
        <v>0.219750962514216</v>
      </c>
      <c r="H19" s="3">
        <f t="shared" si="1"/>
        <v>0.12433781445988616</v>
      </c>
      <c r="I19" s="3">
        <f t="shared" si="4"/>
        <v>-1.2899759198544247E-2</v>
      </c>
      <c r="J19" s="3">
        <f t="shared" si="5"/>
        <v>3.9197789340019717E-3</v>
      </c>
      <c r="K19" s="3">
        <f t="shared" si="6"/>
        <v>-9.0305444689025016E-3</v>
      </c>
      <c r="L19" s="1">
        <v>0.24580980440920561</v>
      </c>
      <c r="M19" s="1">
        <v>0.11763343383475</v>
      </c>
      <c r="N19" s="3">
        <f t="shared" si="11"/>
        <v>0.110039332507089</v>
      </c>
      <c r="O19" s="1">
        <v>2.7779999999999999E-2</v>
      </c>
      <c r="P19" s="3">
        <f t="shared" si="3"/>
        <v>8.829789249317023E-2</v>
      </c>
      <c r="Q19" s="1">
        <v>0.11741799282426001</v>
      </c>
      <c r="R19" s="3">
        <f t="shared" si="12"/>
        <v>0.11231886724378901</v>
      </c>
      <c r="S19" s="3">
        <f t="shared" si="7"/>
        <v>0.21802980440920561</v>
      </c>
      <c r="T19" s="1">
        <v>8.5060744796624302E-2</v>
      </c>
      <c r="U19" s="3">
        <f t="shared" si="13"/>
        <v>7.9602933694336103E-2</v>
      </c>
      <c r="V19">
        <v>0</v>
      </c>
      <c r="W19">
        <v>211</v>
      </c>
      <c r="X19" s="1">
        <v>1</v>
      </c>
      <c r="Y19" s="2">
        <f t="shared" si="8"/>
        <v>211</v>
      </c>
      <c r="Z19">
        <v>67.7</v>
      </c>
      <c r="AA19" s="3">
        <f t="shared" si="9"/>
        <v>67.699999999999989</v>
      </c>
      <c r="AB19" s="3">
        <f t="shared" si="10"/>
        <v>0.1160778924931702</v>
      </c>
      <c r="AC19" s="3"/>
      <c r="AD19" s="1">
        <v>4.5435947891659341E-2</v>
      </c>
      <c r="AG19" s="1"/>
      <c r="AH19" s="1"/>
    </row>
    <row r="20" spans="1:34" x14ac:dyDescent="0.25">
      <c r="A20">
        <v>1963</v>
      </c>
      <c r="B20" s="1">
        <v>0.54005563841627058</v>
      </c>
      <c r="C20" s="1">
        <v>0.22484848484848485</v>
      </c>
      <c r="D20" s="1">
        <v>0.12143069203177961</v>
      </c>
      <c r="E20" s="1">
        <v>0.97143566608428999</v>
      </c>
      <c r="F20" s="3">
        <f t="shared" si="0"/>
        <v>0.55593556760495844</v>
      </c>
      <c r="G20" s="1">
        <v>0.22042486233839001</v>
      </c>
      <c r="H20" s="3">
        <f t="shared" si="1"/>
        <v>0.12254202095833767</v>
      </c>
      <c r="I20" s="3">
        <f t="shared" si="4"/>
        <v>-1.7455979841995539E-2</v>
      </c>
      <c r="J20" s="3">
        <f t="shared" si="5"/>
        <v>3.066652434482231E-3</v>
      </c>
      <c r="K20" s="3">
        <f t="shared" si="6"/>
        <v>-1.4442858830592042E-2</v>
      </c>
      <c r="L20" s="1">
        <v>0.16852802621985055</v>
      </c>
      <c r="M20" s="1">
        <v>0.121670216776237</v>
      </c>
      <c r="N20" s="3">
        <f t="shared" si="11"/>
        <v>0.11763343383475</v>
      </c>
      <c r="O20" s="1">
        <v>3.1570000000000001E-2</v>
      </c>
      <c r="P20" s="3">
        <f t="shared" si="3"/>
        <v>8.9860692031779613E-2</v>
      </c>
      <c r="Q20" s="1">
        <v>0.120897204054823</v>
      </c>
      <c r="R20" s="3">
        <f t="shared" si="12"/>
        <v>0.11741799282426001</v>
      </c>
      <c r="S20" s="3">
        <f t="shared" si="7"/>
        <v>0.13695802621985054</v>
      </c>
      <c r="T20" s="1">
        <v>8.6705926956633705E-2</v>
      </c>
      <c r="U20" s="3">
        <f t="shared" si="13"/>
        <v>8.5060744796624302E-2</v>
      </c>
      <c r="V20">
        <v>0</v>
      </c>
      <c r="W20">
        <v>222.7</v>
      </c>
      <c r="X20" s="1">
        <v>1</v>
      </c>
      <c r="Y20" s="2">
        <f t="shared" si="8"/>
        <v>222.7</v>
      </c>
      <c r="Z20">
        <v>74.2</v>
      </c>
      <c r="AA20" s="3">
        <f t="shared" si="9"/>
        <v>74.199999999999989</v>
      </c>
      <c r="AB20" s="3">
        <f t="shared" si="10"/>
        <v>0.12143069203177959</v>
      </c>
      <c r="AC20" s="3"/>
      <c r="AD20" s="1">
        <v>4.6036691150504794E-2</v>
      </c>
      <c r="AG20" s="1"/>
      <c r="AH20" s="1"/>
    </row>
    <row r="21" spans="1:34" x14ac:dyDescent="0.25">
      <c r="A21">
        <v>1964</v>
      </c>
      <c r="B21" s="1">
        <v>0.55703085303956246</v>
      </c>
      <c r="C21" s="1">
        <v>0.23003642476884281</v>
      </c>
      <c r="D21" s="1">
        <v>0.12813738591915966</v>
      </c>
      <c r="E21" s="1">
        <v>1.00164115428925</v>
      </c>
      <c r="F21" s="3">
        <f t="shared" si="0"/>
        <v>0.55611817730754431</v>
      </c>
      <c r="G21" s="1">
        <v>0.22058535828991899</v>
      </c>
      <c r="H21" s="3">
        <f t="shared" si="1"/>
        <v>0.12267152739292135</v>
      </c>
      <c r="I21" s="3">
        <f t="shared" si="4"/>
        <v>3.2847278214731546E-4</v>
      </c>
      <c r="J21" s="3">
        <f t="shared" si="5"/>
        <v>7.2812091080076691E-4</v>
      </c>
      <c r="K21" s="3">
        <f t="shared" si="6"/>
        <v>1.0568328608495658E-3</v>
      </c>
      <c r="L21" s="1">
        <v>0.18526608515762</v>
      </c>
      <c r="M21" s="1">
        <v>0.12153021081915701</v>
      </c>
      <c r="N21" s="3">
        <f t="shared" si="11"/>
        <v>0.121670216776237</v>
      </c>
      <c r="O21" s="1">
        <v>3.5490000000000001E-2</v>
      </c>
      <c r="P21" s="3">
        <f t="shared" si="3"/>
        <v>9.2647385919159664E-2</v>
      </c>
      <c r="Q21" s="1">
        <v>0.121983566148251</v>
      </c>
      <c r="R21" s="3">
        <f t="shared" si="12"/>
        <v>0.120897204054823</v>
      </c>
      <c r="S21" s="3">
        <f t="shared" si="7"/>
        <v>0.14977608515762</v>
      </c>
      <c r="T21" s="1">
        <v>8.3945582599654706E-2</v>
      </c>
      <c r="U21" s="3">
        <f t="shared" si="13"/>
        <v>8.6705926956633705E-2</v>
      </c>
      <c r="V21">
        <v>0</v>
      </c>
      <c r="W21">
        <v>239.2</v>
      </c>
      <c r="X21" s="1">
        <v>1</v>
      </c>
      <c r="Y21" s="2">
        <f t="shared" si="8"/>
        <v>239.2</v>
      </c>
      <c r="Z21">
        <v>82.1</v>
      </c>
      <c r="AA21" s="3">
        <f t="shared" si="9"/>
        <v>82.099999999999966</v>
      </c>
      <c r="AB21" s="3">
        <f t="shared" si="10"/>
        <v>0.1281373859191596</v>
      </c>
      <c r="AC21" s="3"/>
      <c r="AD21" s="1">
        <v>4.9630778258356295E-2</v>
      </c>
      <c r="AG21" s="1"/>
      <c r="AH21" s="1"/>
    </row>
    <row r="22" spans="1:34" x14ac:dyDescent="0.25">
      <c r="A22">
        <v>1965</v>
      </c>
      <c r="B22" s="1">
        <v>0.57395336351940329</v>
      </c>
      <c r="C22" s="1">
        <v>0.24075490946187197</v>
      </c>
      <c r="D22" s="1">
        <v>0.13818209006945084</v>
      </c>
      <c r="E22" s="1">
        <v>1.0422728061676001</v>
      </c>
      <c r="F22" s="3">
        <f t="shared" si="0"/>
        <v>0.55067479466322189</v>
      </c>
      <c r="G22" s="1">
        <v>0.219946910024922</v>
      </c>
      <c r="H22" s="3">
        <f t="shared" si="1"/>
        <v>0.12111921951478406</v>
      </c>
      <c r="I22" s="3">
        <f t="shared" si="4"/>
        <v>-9.7881760863790523E-3</v>
      </c>
      <c r="J22" s="3">
        <f t="shared" si="5"/>
        <v>-2.8943365504697782E-3</v>
      </c>
      <c r="K22" s="3">
        <f t="shared" si="6"/>
        <v>-1.2654182361039545E-2</v>
      </c>
      <c r="L22" s="1">
        <v>0.25778757374461897</v>
      </c>
      <c r="M22" s="1">
        <v>0.117062243283357</v>
      </c>
      <c r="N22" s="3">
        <f t="shared" si="11"/>
        <v>0.12153021081915701</v>
      </c>
      <c r="O22" s="1">
        <v>3.9539999999999999E-2</v>
      </c>
      <c r="P22" s="3">
        <f t="shared" si="3"/>
        <v>9.864209006945085E-2</v>
      </c>
      <c r="Q22" s="1">
        <v>0.12028517227676901</v>
      </c>
      <c r="R22" s="3">
        <f t="shared" si="12"/>
        <v>0.121983566148251</v>
      </c>
      <c r="S22" s="3">
        <f t="shared" si="7"/>
        <v>0.21824757374461898</v>
      </c>
      <c r="T22" s="1">
        <v>7.6689754881411096E-2</v>
      </c>
      <c r="U22" s="3">
        <f t="shared" si="13"/>
        <v>8.3945582599654706E-2</v>
      </c>
      <c r="V22">
        <v>0</v>
      </c>
      <c r="W22">
        <v>259.89999999999998</v>
      </c>
      <c r="X22" s="1">
        <v>1</v>
      </c>
      <c r="Y22" s="2">
        <f t="shared" si="8"/>
        <v>259.89999999999998</v>
      </c>
      <c r="Z22">
        <v>94.4</v>
      </c>
      <c r="AA22" s="3">
        <f t="shared" si="9"/>
        <v>94.399999999999977</v>
      </c>
      <c r="AB22" s="3">
        <f t="shared" si="10"/>
        <v>0.13818209006945081</v>
      </c>
      <c r="AC22" s="3"/>
      <c r="AD22" s="1">
        <v>5.4616059692168754E-2</v>
      </c>
      <c r="AG22" s="1"/>
      <c r="AH22" s="1"/>
    </row>
    <row r="23" spans="1:34" x14ac:dyDescent="0.25">
      <c r="A23">
        <v>1966</v>
      </c>
      <c r="B23" s="1">
        <v>0.58012151583609928</v>
      </c>
      <c r="C23" s="1">
        <v>0.23754075454122028</v>
      </c>
      <c r="D23" s="1">
        <v>0.13780250259730348</v>
      </c>
      <c r="E23" s="1">
        <v>1.06474781036377</v>
      </c>
      <c r="F23" s="3">
        <f t="shared" si="0"/>
        <v>0.5448440562069824</v>
      </c>
      <c r="G23" s="1">
        <v>0.21831812361661701</v>
      </c>
      <c r="H23" s="3">
        <f t="shared" si="1"/>
        <v>0.11894933201477501</v>
      </c>
      <c r="I23" s="3">
        <f t="shared" si="4"/>
        <v>-1.0588351805361662E-2</v>
      </c>
      <c r="J23" s="3">
        <f t="shared" si="5"/>
        <v>-7.405361630770102E-3</v>
      </c>
      <c r="K23" s="3">
        <f t="shared" si="6"/>
        <v>-1.7915302861939209E-2</v>
      </c>
      <c r="L23" s="1">
        <v>0.13306828610762145</v>
      </c>
      <c r="M23" s="1">
        <v>0.10875283938049</v>
      </c>
      <c r="N23" s="3">
        <f t="shared" si="11"/>
        <v>0.117062243283357</v>
      </c>
      <c r="O23" s="1">
        <v>4.8809999999999999E-2</v>
      </c>
      <c r="P23" s="3">
        <f t="shared" si="3"/>
        <v>8.8992502597303486E-2</v>
      </c>
      <c r="Q23" s="1">
        <v>0.116038279951119</v>
      </c>
      <c r="R23" s="3">
        <f t="shared" si="12"/>
        <v>0.12028517227676901</v>
      </c>
      <c r="S23" s="3">
        <f t="shared" si="7"/>
        <v>8.4258286107621455E-2</v>
      </c>
      <c r="T23" s="1">
        <v>6.55070311316302E-2</v>
      </c>
      <c r="U23" s="3">
        <f t="shared" si="13"/>
        <v>7.6689754881411096E-2</v>
      </c>
      <c r="V23">
        <v>0</v>
      </c>
      <c r="W23">
        <v>288.5</v>
      </c>
      <c r="X23" s="1">
        <v>1</v>
      </c>
      <c r="Y23" s="2">
        <f t="shared" si="8"/>
        <v>288.5</v>
      </c>
      <c r="Z23">
        <v>102</v>
      </c>
      <c r="AA23" s="3">
        <f t="shared" si="9"/>
        <v>102</v>
      </c>
      <c r="AB23" s="3">
        <f t="shared" si="10"/>
        <v>0.13780250259730348</v>
      </c>
      <c r="AC23" s="3"/>
      <c r="AD23" s="1">
        <v>6.2255005889280388E-2</v>
      </c>
      <c r="AG23" s="1"/>
      <c r="AH23" s="1"/>
    </row>
    <row r="24" spans="1:34" x14ac:dyDescent="0.25">
      <c r="A24">
        <v>1967</v>
      </c>
      <c r="B24" s="1">
        <v>0.55463922698331181</v>
      </c>
      <c r="C24" s="1">
        <v>0.22490582760912917</v>
      </c>
      <c r="D24" s="1">
        <v>0.12474159436916939</v>
      </c>
      <c r="E24" s="1">
        <v>1.04273521900177</v>
      </c>
      <c r="F24" s="3">
        <f t="shared" si="0"/>
        <v>0.53190802120818204</v>
      </c>
      <c r="G24" s="1">
        <v>0.21571613603797599</v>
      </c>
      <c r="H24" s="3">
        <f t="shared" si="1"/>
        <v>0.11474114306263482</v>
      </c>
      <c r="I24" s="3">
        <f t="shared" si="4"/>
        <v>-2.374263764361606E-2</v>
      </c>
      <c r="J24" s="3">
        <f t="shared" si="5"/>
        <v>-1.1918330624764439E-2</v>
      </c>
      <c r="K24" s="3">
        <f t="shared" si="6"/>
        <v>-3.5377995663039785E-2</v>
      </c>
      <c r="L24" s="1">
        <v>-2.2424706322610095E-3</v>
      </c>
      <c r="M24" s="1">
        <v>9.8495901889376597E-2</v>
      </c>
      <c r="N24" s="3">
        <f t="shared" si="11"/>
        <v>0.10875283938049</v>
      </c>
      <c r="O24" s="1">
        <v>4.3209999999999998E-2</v>
      </c>
      <c r="P24" s="3">
        <f t="shared" si="3"/>
        <v>8.1531594369169388E-2</v>
      </c>
      <c r="Q24" s="1">
        <v>0.110896294959277</v>
      </c>
      <c r="R24" s="3">
        <f t="shared" si="12"/>
        <v>0.116038279951119</v>
      </c>
      <c r="S24" s="3">
        <f t="shared" si="7"/>
        <v>-4.5452470632261009E-2</v>
      </c>
      <c r="T24" s="1">
        <v>5.2381101131225197E-2</v>
      </c>
      <c r="U24" s="3">
        <f t="shared" si="13"/>
        <v>6.55070311316302E-2</v>
      </c>
      <c r="V24">
        <v>0</v>
      </c>
      <c r="W24">
        <v>308.39999999999998</v>
      </c>
      <c r="X24" s="1">
        <v>1</v>
      </c>
      <c r="Y24" s="2">
        <f t="shared" si="8"/>
        <v>308.39999999999998</v>
      </c>
      <c r="Z24">
        <v>101.5</v>
      </c>
      <c r="AA24" s="3">
        <f t="shared" si="9"/>
        <v>101.5</v>
      </c>
      <c r="AB24" s="3">
        <f t="shared" si="10"/>
        <v>0.12474159436916939</v>
      </c>
      <c r="AC24" s="3"/>
      <c r="AD24" s="1">
        <v>5.7028601564675679E-2</v>
      </c>
      <c r="AG24" s="1"/>
      <c r="AH24" s="1"/>
    </row>
    <row r="25" spans="1:34" x14ac:dyDescent="0.25">
      <c r="A25">
        <v>1968</v>
      </c>
      <c r="B25" s="1">
        <v>0.56076008390846166</v>
      </c>
      <c r="C25" s="1">
        <v>0.2208650380456548</v>
      </c>
      <c r="D25" s="1">
        <v>0.12385229726692695</v>
      </c>
      <c r="E25" s="1">
        <v>1.0570937395095801</v>
      </c>
      <c r="F25" s="3">
        <f t="shared" si="0"/>
        <v>0.53047337520759164</v>
      </c>
      <c r="G25" s="1">
        <v>0.21234990302580201</v>
      </c>
      <c r="H25" s="3">
        <f t="shared" si="1"/>
        <v>0.11264596978310197</v>
      </c>
      <c r="I25" s="3">
        <f t="shared" si="4"/>
        <v>-2.697169328884641E-3</v>
      </c>
      <c r="J25" s="3">
        <f t="shared" si="5"/>
        <v>-1.5604919845130905E-2</v>
      </c>
      <c r="K25" s="3">
        <f t="shared" si="6"/>
        <v>-1.8260000062829573E-2</v>
      </c>
      <c r="L25" s="1">
        <v>0.10367347595546927</v>
      </c>
      <c r="M25" s="1">
        <v>8.8428805195032198E-2</v>
      </c>
      <c r="N25" s="3">
        <f t="shared" si="11"/>
        <v>9.8495901889376597E-2</v>
      </c>
      <c r="O25" s="1">
        <v>5.3390000000000007E-2</v>
      </c>
      <c r="P25" s="3">
        <f t="shared" si="3"/>
        <v>7.0462297266926946E-2</v>
      </c>
      <c r="Q25" s="1">
        <v>0.106842240289706</v>
      </c>
      <c r="R25" s="3">
        <f t="shared" si="12"/>
        <v>0.110896294959277</v>
      </c>
      <c r="S25" s="3">
        <f t="shared" si="7"/>
        <v>5.0283475955469267E-2</v>
      </c>
      <c r="T25" s="1">
        <v>3.9483584349793197E-2</v>
      </c>
      <c r="U25" s="3">
        <f t="shared" si="13"/>
        <v>5.2381101131225197E-2</v>
      </c>
      <c r="V25">
        <v>0</v>
      </c>
      <c r="W25">
        <v>341.3</v>
      </c>
      <c r="X25" s="1">
        <v>1</v>
      </c>
      <c r="Y25" s="2">
        <f t="shared" si="8"/>
        <v>341.3</v>
      </c>
      <c r="Z25">
        <v>110.3</v>
      </c>
      <c r="AA25" s="3">
        <f t="shared" si="9"/>
        <v>110.30000000000001</v>
      </c>
      <c r="AB25" s="3">
        <f t="shared" si="10"/>
        <v>0.12385229726692697</v>
      </c>
      <c r="AC25" s="3"/>
      <c r="AD25" s="1">
        <v>5.9307383361669297E-2</v>
      </c>
      <c r="AG25" s="1"/>
      <c r="AH25" s="1"/>
    </row>
    <row r="26" spans="1:34" x14ac:dyDescent="0.25">
      <c r="A26">
        <v>1969</v>
      </c>
      <c r="B26" s="1">
        <v>0.5499003097955506</v>
      </c>
      <c r="C26" s="1">
        <v>0.20457058606708439</v>
      </c>
      <c r="D26" s="1">
        <v>0.11249342865334706</v>
      </c>
      <c r="E26" s="1">
        <v>1.0494517087936399</v>
      </c>
      <c r="F26" s="3">
        <f t="shared" si="0"/>
        <v>0.52398819801596119</v>
      </c>
      <c r="G26" s="1">
        <v>0.20852021895652001</v>
      </c>
      <c r="H26" s="3">
        <f t="shared" si="1"/>
        <v>0.10926213378092059</v>
      </c>
      <c r="I26" s="3">
        <f t="shared" si="4"/>
        <v>-1.2225264254011936E-2</v>
      </c>
      <c r="J26" s="3">
        <f t="shared" si="5"/>
        <v>-1.8034781343020723E-2</v>
      </c>
      <c r="K26" s="3">
        <f t="shared" si="6"/>
        <v>-3.0039565629350951E-2</v>
      </c>
      <c r="L26" s="1">
        <v>-9.0829713397683354E-3</v>
      </c>
      <c r="M26" s="1">
        <v>7.9681964663578797E-2</v>
      </c>
      <c r="N26" s="3">
        <f t="shared" si="11"/>
        <v>8.8428805195032198E-2</v>
      </c>
      <c r="O26" s="1">
        <v>6.6769999999999996E-2</v>
      </c>
      <c r="P26" s="3">
        <f t="shared" si="3"/>
        <v>4.5723428653347067E-2</v>
      </c>
      <c r="Q26" s="1">
        <v>0.10471017598127701</v>
      </c>
      <c r="R26" s="3">
        <f t="shared" si="12"/>
        <v>0.106842240289706</v>
      </c>
      <c r="S26" s="3">
        <f t="shared" si="7"/>
        <v>-7.585297133976833E-2</v>
      </c>
      <c r="T26" s="1">
        <v>2.80072892456187E-2</v>
      </c>
      <c r="U26" s="3">
        <f t="shared" si="13"/>
        <v>3.9483584349793197E-2</v>
      </c>
      <c r="V26">
        <v>0</v>
      </c>
      <c r="W26">
        <v>378.6</v>
      </c>
      <c r="X26" s="1">
        <v>1</v>
      </c>
      <c r="Y26" s="2">
        <f t="shared" si="8"/>
        <v>378.6</v>
      </c>
      <c r="Z26">
        <v>111</v>
      </c>
      <c r="AA26" s="3">
        <f t="shared" si="9"/>
        <v>111</v>
      </c>
      <c r="AB26" s="3">
        <f t="shared" si="10"/>
        <v>0.11249342865334706</v>
      </c>
      <c r="AC26" s="3"/>
      <c r="AD26" s="1">
        <v>7.2530996045776619E-2</v>
      </c>
      <c r="AG26" s="1"/>
      <c r="AH26" s="1"/>
    </row>
    <row r="27" spans="1:34" x14ac:dyDescent="0.25">
      <c r="A27">
        <v>1970</v>
      </c>
      <c r="B27" s="1">
        <v>0.50914968735450417</v>
      </c>
      <c r="C27" s="1">
        <v>0.18327974276527334</v>
      </c>
      <c r="D27" s="1">
        <v>9.3316823727352866E-2</v>
      </c>
      <c r="E27" s="1">
        <v>0.98441243171691895</v>
      </c>
      <c r="F27" s="3">
        <f t="shared" si="0"/>
        <v>0.51721176099583943</v>
      </c>
      <c r="G27" s="1">
        <v>0.20461337917629499</v>
      </c>
      <c r="H27" s="3">
        <f t="shared" si="1"/>
        <v>0.10582844616708095</v>
      </c>
      <c r="I27" s="3">
        <f t="shared" si="4"/>
        <v>-1.2932422993075399E-2</v>
      </c>
      <c r="J27" s="3">
        <f t="shared" si="5"/>
        <v>-1.8736023776378508E-2</v>
      </c>
      <c r="K27" s="3">
        <f t="shared" si="6"/>
        <v>-3.1426144584769444E-2</v>
      </c>
      <c r="L27" s="1">
        <v>-0.11060145594467521</v>
      </c>
      <c r="M27" s="1">
        <v>7.3538507609187703E-2</v>
      </c>
      <c r="N27" s="3">
        <f t="shared" si="11"/>
        <v>7.9681964663578797E-2</v>
      </c>
      <c r="O27" s="1">
        <v>6.4579999999999999E-2</v>
      </c>
      <c r="P27" s="3">
        <f t="shared" si="3"/>
        <v>2.8736823727352867E-2</v>
      </c>
      <c r="Q27" s="1">
        <v>0.10554973966996301</v>
      </c>
      <c r="R27" s="3">
        <f t="shared" si="12"/>
        <v>0.10471017598127701</v>
      </c>
      <c r="S27" s="3">
        <f t="shared" si="7"/>
        <v>-0.17518145594467521</v>
      </c>
      <c r="T27" s="1">
        <v>1.92531884334885E-2</v>
      </c>
      <c r="U27" s="3">
        <f t="shared" si="13"/>
        <v>2.80072892456187E-2</v>
      </c>
      <c r="V27">
        <v>0</v>
      </c>
      <c r="W27">
        <v>400.2</v>
      </c>
      <c r="X27" s="1">
        <v>1</v>
      </c>
      <c r="Y27" s="2">
        <f t="shared" si="8"/>
        <v>400.2</v>
      </c>
      <c r="Z27">
        <v>102.60000000000001</v>
      </c>
      <c r="AA27" s="3">
        <f t="shared" si="9"/>
        <v>102.60000000000002</v>
      </c>
      <c r="AB27" s="3">
        <f t="shared" si="10"/>
        <v>9.3316823727352879E-2</v>
      </c>
      <c r="AC27" s="3"/>
      <c r="AD27" s="1">
        <v>8.0787534737091993E-2</v>
      </c>
      <c r="AG27" s="1"/>
      <c r="AH27" s="1"/>
    </row>
    <row r="28" spans="1:34" x14ac:dyDescent="0.25">
      <c r="A28">
        <v>1971</v>
      </c>
      <c r="B28" s="1">
        <v>0.49803639534982541</v>
      </c>
      <c r="C28" s="1">
        <v>0.19202118854494291</v>
      </c>
      <c r="D28" s="1">
        <v>9.5633540573712553E-2</v>
      </c>
      <c r="E28" s="1">
        <v>0.97354418039321899</v>
      </c>
      <c r="F28" s="3">
        <f t="shared" si="0"/>
        <v>0.51157040982841295</v>
      </c>
      <c r="G28" s="1">
        <v>0.20097647684172801</v>
      </c>
      <c r="H28" s="3">
        <f t="shared" si="1"/>
        <v>0.10281361862379335</v>
      </c>
      <c r="I28" s="3">
        <f t="shared" si="4"/>
        <v>-1.0907236828034628E-2</v>
      </c>
      <c r="J28" s="3">
        <f t="shared" si="5"/>
        <v>-1.7774508926092447E-2</v>
      </c>
      <c r="K28" s="3">
        <f t="shared" si="6"/>
        <v>-2.8487874975768102E-2</v>
      </c>
      <c r="L28" s="1">
        <v>0.13102393909408358</v>
      </c>
      <c r="M28" s="1">
        <v>7.0393741699394705E-2</v>
      </c>
      <c r="N28" s="3">
        <f t="shared" si="11"/>
        <v>7.3538507609187703E-2</v>
      </c>
      <c r="O28" s="1">
        <v>4.3479999999999998E-2</v>
      </c>
      <c r="P28" s="3">
        <f t="shared" si="3"/>
        <v>5.2153540573712555E-2</v>
      </c>
      <c r="Q28" s="1">
        <v>0.10935746723192601</v>
      </c>
      <c r="R28" s="3">
        <f t="shared" si="12"/>
        <v>0.10554973966996301</v>
      </c>
      <c r="S28" s="3">
        <f t="shared" si="7"/>
        <v>8.7543939094083589E-2</v>
      </c>
      <c r="T28" s="1">
        <v>1.3483181635733201E-2</v>
      </c>
      <c r="U28" s="3">
        <f t="shared" si="13"/>
        <v>1.92531884334885E-2</v>
      </c>
      <c r="V28">
        <v>0</v>
      </c>
      <c r="W28">
        <v>425.3</v>
      </c>
      <c r="X28" s="1">
        <v>1</v>
      </c>
      <c r="Y28" s="2">
        <f t="shared" si="8"/>
        <v>425.3</v>
      </c>
      <c r="Z28">
        <v>116.00000000000001</v>
      </c>
      <c r="AA28" s="3">
        <f t="shared" si="9"/>
        <v>116.00000000000006</v>
      </c>
      <c r="AB28" s="3">
        <f t="shared" si="10"/>
        <v>9.563354057371258E-2</v>
      </c>
      <c r="AC28" s="3"/>
      <c r="AD28" s="1">
        <v>6.3591206491675295E-2</v>
      </c>
      <c r="AG28" s="1"/>
      <c r="AH28" s="1"/>
    </row>
    <row r="29" spans="1:34" x14ac:dyDescent="0.25">
      <c r="A29">
        <v>1972</v>
      </c>
      <c r="B29" s="1">
        <v>0.50178717639212356</v>
      </c>
      <c r="C29" s="1">
        <v>0.19612807148175723</v>
      </c>
      <c r="D29" s="1">
        <v>9.8414551200063552E-2</v>
      </c>
      <c r="E29" s="1">
        <v>1.00391101837158</v>
      </c>
      <c r="F29" s="3">
        <f t="shared" si="0"/>
        <v>0.49983232299418379</v>
      </c>
      <c r="G29" s="1">
        <v>0.19774347131765699</v>
      </c>
      <c r="H29" s="3">
        <f t="shared" si="1"/>
        <v>9.8838578625638246E-2</v>
      </c>
      <c r="I29" s="3">
        <f t="shared" si="4"/>
        <v>-2.2945202866925474E-2</v>
      </c>
      <c r="J29" s="3">
        <f t="shared" si="5"/>
        <v>-1.6086487209232225E-2</v>
      </c>
      <c r="K29" s="3">
        <f t="shared" si="6"/>
        <v>-3.8662582363725773E-2</v>
      </c>
      <c r="L29" s="1">
        <v>0.16809635773610299</v>
      </c>
      <c r="M29" s="1">
        <v>6.8801589525643303E-2</v>
      </c>
      <c r="N29" s="3">
        <f t="shared" si="11"/>
        <v>7.0393741699394705E-2</v>
      </c>
      <c r="O29" s="1">
        <v>4.0709999999999996E-2</v>
      </c>
      <c r="P29" s="3">
        <f t="shared" si="3"/>
        <v>5.7704551200063556E-2</v>
      </c>
      <c r="Q29" s="1">
        <v>0.114037397146627</v>
      </c>
      <c r="R29" s="3">
        <f t="shared" si="12"/>
        <v>0.10935746723192601</v>
      </c>
      <c r="S29" s="3">
        <f t="shared" si="7"/>
        <v>0.12738635773610299</v>
      </c>
      <c r="T29" s="1">
        <v>9.0146366903484498E-3</v>
      </c>
      <c r="U29" s="3">
        <f t="shared" si="13"/>
        <v>1.3483181635733201E-2</v>
      </c>
      <c r="V29">
        <v>0</v>
      </c>
      <c r="W29">
        <v>472.5</v>
      </c>
      <c r="X29" s="1">
        <v>1</v>
      </c>
      <c r="Y29" s="2">
        <f t="shared" si="8"/>
        <v>472.5</v>
      </c>
      <c r="Z29">
        <v>131.69999999999999</v>
      </c>
      <c r="AA29" s="3">
        <f t="shared" si="9"/>
        <v>131.70000000000005</v>
      </c>
      <c r="AB29" s="3">
        <f t="shared" si="10"/>
        <v>9.8414551200063594E-2</v>
      </c>
      <c r="AC29" s="3"/>
      <c r="AD29" s="1">
        <v>5.8279721464529609E-2</v>
      </c>
      <c r="AG29" s="1"/>
      <c r="AH29" s="1"/>
    </row>
    <row r="30" spans="1:34" x14ac:dyDescent="0.25">
      <c r="A30">
        <v>1973</v>
      </c>
      <c r="B30" s="1">
        <v>0.51105403540786232</v>
      </c>
      <c r="C30" s="1">
        <v>0.19275189167662282</v>
      </c>
      <c r="D30" s="1">
        <v>9.8506632073837239E-2</v>
      </c>
      <c r="E30" s="1">
        <v>1.00486552715302</v>
      </c>
      <c r="F30" s="3">
        <f t="shared" si="0"/>
        <v>0.50857952790536864</v>
      </c>
      <c r="G30" s="1">
        <v>0.19495855720050201</v>
      </c>
      <c r="H30" s="3">
        <f t="shared" si="1"/>
        <v>9.9151930982143116E-2</v>
      </c>
      <c r="I30" s="3">
        <f t="shared" si="4"/>
        <v>1.7500278611006559E-2</v>
      </c>
      <c r="J30" s="3">
        <f t="shared" si="5"/>
        <v>-1.4083469348433075E-2</v>
      </c>
      <c r="K30" s="3">
        <f t="shared" si="6"/>
        <v>3.1703446251662992E-3</v>
      </c>
      <c r="L30" s="1">
        <v>0.10700337043676085</v>
      </c>
      <c r="M30" s="1">
        <v>6.7922036262383398E-2</v>
      </c>
      <c r="N30" s="3">
        <f t="shared" si="11"/>
        <v>6.8801589525643303E-2</v>
      </c>
      <c r="O30" s="1">
        <v>7.041E-2</v>
      </c>
      <c r="P30" s="3">
        <f t="shared" si="3"/>
        <v>2.8096632073837238E-2</v>
      </c>
      <c r="Q30" s="1">
        <v>0.118225993221208</v>
      </c>
      <c r="R30" s="3">
        <f t="shared" si="12"/>
        <v>0.114037397146627</v>
      </c>
      <c r="S30" s="3">
        <f t="shared" si="7"/>
        <v>3.659337043676085E-2</v>
      </c>
      <c r="T30" s="1">
        <v>4.9050896189725404E-3</v>
      </c>
      <c r="U30" s="3">
        <f t="shared" si="13"/>
        <v>9.0146366903484498E-3</v>
      </c>
      <c r="V30">
        <v>0</v>
      </c>
      <c r="W30">
        <v>533.9</v>
      </c>
      <c r="X30" s="1">
        <v>1</v>
      </c>
      <c r="Y30" s="2">
        <f t="shared" si="8"/>
        <v>533.9</v>
      </c>
      <c r="Z30">
        <v>145.19999999999999</v>
      </c>
      <c r="AA30" s="3">
        <f t="shared" si="9"/>
        <v>145.19999999999993</v>
      </c>
      <c r="AB30" s="3">
        <f t="shared" si="10"/>
        <v>9.8506632073837197E-2</v>
      </c>
      <c r="AC30" s="3"/>
      <c r="AD30" s="1">
        <v>8.6254267740019944E-2</v>
      </c>
      <c r="AG30" s="1"/>
      <c r="AH30" s="1"/>
    </row>
    <row r="31" spans="1:34" x14ac:dyDescent="0.25">
      <c r="A31">
        <v>1974</v>
      </c>
      <c r="B31" s="1">
        <v>0.47980918489594954</v>
      </c>
      <c r="C31" s="1">
        <v>0.17612863327149042</v>
      </c>
      <c r="D31" s="1">
        <v>8.4508135966831432E-2</v>
      </c>
      <c r="E31" s="1">
        <v>0.88432848453521695</v>
      </c>
      <c r="F31" s="3">
        <f t="shared" si="0"/>
        <v>0.54256895857892262</v>
      </c>
      <c r="G31" s="1">
        <v>0.19264949437350801</v>
      </c>
      <c r="H31" s="3">
        <f t="shared" si="1"/>
        <v>0.10452563553299025</v>
      </c>
      <c r="I31" s="3">
        <f t="shared" si="4"/>
        <v>6.6832085855957679E-2</v>
      </c>
      <c r="J31" s="3">
        <f t="shared" si="5"/>
        <v>-1.1843864973925089E-2</v>
      </c>
      <c r="K31" s="3">
        <f t="shared" si="6"/>
        <v>5.4196670681228909E-2</v>
      </c>
      <c r="L31" s="1">
        <v>-7.6671436144077884E-2</v>
      </c>
      <c r="M31" s="1">
        <v>6.7908051188808299E-2</v>
      </c>
      <c r="N31" s="3">
        <f t="shared" si="11"/>
        <v>6.7922036262383398E-2</v>
      </c>
      <c r="O31" s="1">
        <v>7.886E-2</v>
      </c>
      <c r="P31" s="3">
        <f t="shared" si="3"/>
        <v>5.6481359668314329E-3</v>
      </c>
      <c r="Q31" s="1">
        <v>0.121400345291345</v>
      </c>
      <c r="R31" s="3">
        <f t="shared" si="12"/>
        <v>0.118225993221208</v>
      </c>
      <c r="S31" s="3">
        <f t="shared" si="7"/>
        <v>-0.15553143614407788</v>
      </c>
      <c r="T31" s="1">
        <v>1.39593007634034E-3</v>
      </c>
      <c r="U31" s="3">
        <f t="shared" si="13"/>
        <v>4.9050896189725404E-3</v>
      </c>
      <c r="V31">
        <v>0</v>
      </c>
      <c r="W31">
        <v>587.4</v>
      </c>
      <c r="X31" s="1">
        <v>1</v>
      </c>
      <c r="Y31" s="2">
        <f t="shared" si="8"/>
        <v>587.4</v>
      </c>
      <c r="Z31">
        <v>142.4</v>
      </c>
      <c r="AA31" s="3">
        <f t="shared" si="9"/>
        <v>142.39999999999998</v>
      </c>
      <c r="AB31" s="3">
        <f t="shared" si="10"/>
        <v>8.4508135966831419E-2</v>
      </c>
      <c r="AC31" s="3"/>
      <c r="AD31" s="1">
        <v>0.10422777381869762</v>
      </c>
      <c r="AG31" s="1"/>
      <c r="AH31" s="1"/>
    </row>
    <row r="32" spans="1:34" x14ac:dyDescent="0.25">
      <c r="A32">
        <v>1975</v>
      </c>
      <c r="B32" s="1">
        <v>0.41817890855195788</v>
      </c>
      <c r="C32" s="1">
        <v>0.19193436561127805</v>
      </c>
      <c r="D32" s="1">
        <v>8.0262903524936688E-2</v>
      </c>
      <c r="E32" s="1">
        <v>0.85354691743850697</v>
      </c>
      <c r="F32" s="3">
        <f t="shared" si="0"/>
        <v>0.48993078178632776</v>
      </c>
      <c r="G32" s="1">
        <v>0.19082245714791299</v>
      </c>
      <c r="H32" s="3">
        <f t="shared" si="1"/>
        <v>9.3489795612865037E-2</v>
      </c>
      <c r="I32" s="3">
        <f t="shared" si="4"/>
        <v>-9.7016565286858425E-2</v>
      </c>
      <c r="J32" s="3">
        <f t="shared" si="5"/>
        <v>-9.4837374556133724E-3</v>
      </c>
      <c r="K32" s="3">
        <f t="shared" si="6"/>
        <v>-0.10558022310844595</v>
      </c>
      <c r="L32" s="1">
        <v>5.1206658271717657E-2</v>
      </c>
      <c r="M32" s="1">
        <v>6.9303383221487505E-2</v>
      </c>
      <c r="N32" s="3">
        <f t="shared" si="11"/>
        <v>6.7908051188808299E-2</v>
      </c>
      <c r="O32" s="1">
        <v>5.8380000000000001E-2</v>
      </c>
      <c r="P32" s="3">
        <f t="shared" si="3"/>
        <v>2.1882903524936687E-2</v>
      </c>
      <c r="Q32" s="1">
        <v>0.123157283260501</v>
      </c>
      <c r="R32" s="3">
        <f t="shared" si="12"/>
        <v>0.121400345291345</v>
      </c>
      <c r="S32" s="3">
        <f t="shared" si="7"/>
        <v>-7.1733417282823439E-3</v>
      </c>
      <c r="T32" s="1">
        <v>-9.5450317900302702E-4</v>
      </c>
      <c r="U32" s="3">
        <f t="shared" si="13"/>
        <v>1.39593007634034E-3</v>
      </c>
      <c r="V32">
        <v>0</v>
      </c>
      <c r="W32">
        <v>614.9</v>
      </c>
      <c r="X32" s="1">
        <v>1</v>
      </c>
      <c r="Y32" s="2">
        <f t="shared" si="8"/>
        <v>614.9</v>
      </c>
      <c r="Z32">
        <v>166.10000000000002</v>
      </c>
      <c r="AA32" s="3">
        <f t="shared" si="9"/>
        <v>166.10000000000002</v>
      </c>
      <c r="AB32" s="3">
        <f t="shared" si="10"/>
        <v>8.0262903524936688E-2</v>
      </c>
      <c r="AC32" s="3"/>
      <c r="AD32" s="1">
        <v>7.6860798142148079E-2</v>
      </c>
      <c r="AG32" s="1"/>
      <c r="AH32" s="1"/>
    </row>
    <row r="33" spans="1:34" x14ac:dyDescent="0.25">
      <c r="A33">
        <v>1976</v>
      </c>
      <c r="B33" s="1">
        <v>0.4244923204104592</v>
      </c>
      <c r="C33" s="1">
        <v>0.19510947411499899</v>
      </c>
      <c r="D33" s="1">
        <v>8.2822473401140337E-2</v>
      </c>
      <c r="E33" s="1">
        <v>0.87999582290649403</v>
      </c>
      <c r="F33" s="3">
        <f t="shared" si="0"/>
        <v>0.48237992654149747</v>
      </c>
      <c r="G33" s="1">
        <v>0.18931812489122199</v>
      </c>
      <c r="H33" s="3">
        <f t="shared" si="1"/>
        <v>9.1323263178001712E-2</v>
      </c>
      <c r="I33" s="3">
        <f t="shared" si="4"/>
        <v>-1.5412085799751618E-2</v>
      </c>
      <c r="J33" s="3">
        <f t="shared" si="5"/>
        <v>-7.8834130907607936E-3</v>
      </c>
      <c r="K33" s="3">
        <f t="shared" si="6"/>
        <v>-2.3173999051562699E-2</v>
      </c>
      <c r="L33" s="1">
        <v>0.1788507473506982</v>
      </c>
      <c r="M33" s="1">
        <v>7.1205700765102506E-2</v>
      </c>
      <c r="N33" s="3">
        <f t="shared" si="11"/>
        <v>6.9303383221487505E-2</v>
      </c>
      <c r="O33" s="1">
        <v>4.9889999999999997E-2</v>
      </c>
      <c r="P33" s="3">
        <f t="shared" si="3"/>
        <v>3.293247340114034E-2</v>
      </c>
      <c r="Q33" s="1">
        <v>0.121726633579226</v>
      </c>
      <c r="R33" s="3">
        <f t="shared" si="12"/>
        <v>0.123157283260501</v>
      </c>
      <c r="S33" s="3">
        <f t="shared" si="7"/>
        <v>0.12896074735069821</v>
      </c>
      <c r="T33" s="1">
        <v>-3.1568306892758502E-3</v>
      </c>
      <c r="U33" s="3">
        <f t="shared" si="13"/>
        <v>-9.5450317900302702E-4</v>
      </c>
      <c r="V33">
        <v>0</v>
      </c>
      <c r="W33">
        <v>695.2</v>
      </c>
      <c r="X33" s="1">
        <v>1</v>
      </c>
      <c r="Y33" s="2">
        <f t="shared" si="8"/>
        <v>695.2</v>
      </c>
      <c r="Z33">
        <v>190.70000000000002</v>
      </c>
      <c r="AA33" s="3">
        <f t="shared" si="9"/>
        <v>190.70000000000005</v>
      </c>
      <c r="AB33" s="3">
        <f t="shared" si="10"/>
        <v>8.2822473401140351E-2</v>
      </c>
      <c r="AC33" s="3"/>
      <c r="AD33" s="1">
        <v>7.7019208795629943E-2</v>
      </c>
      <c r="AG33" s="1"/>
      <c r="AH33" s="1"/>
    </row>
    <row r="34" spans="1:34" x14ac:dyDescent="0.25">
      <c r="A34">
        <v>1977</v>
      </c>
      <c r="B34" s="1">
        <v>0.43157504230526489</v>
      </c>
      <c r="C34" s="1">
        <v>0.19963817277250115</v>
      </c>
      <c r="D34" s="1">
        <v>8.6158852860037966E-2</v>
      </c>
      <c r="E34" s="1">
        <v>0.90109199285507202</v>
      </c>
      <c r="F34" s="3">
        <f t="shared" si="0"/>
        <v>0.47894670658190797</v>
      </c>
      <c r="G34" s="1">
        <v>0.18798795239945801</v>
      </c>
      <c r="H34" s="3">
        <f t="shared" si="1"/>
        <v>9.0036210678796899E-2</v>
      </c>
      <c r="I34" s="3">
        <f t="shared" si="4"/>
        <v>-7.1172529591032596E-3</v>
      </c>
      <c r="J34" s="3">
        <f t="shared" si="5"/>
        <v>-7.0261233177133509E-3</v>
      </c>
      <c r="K34" s="3">
        <f t="shared" si="6"/>
        <v>-1.4093369579842641E-2</v>
      </c>
      <c r="L34" s="1">
        <v>0.134696972032776</v>
      </c>
      <c r="M34" s="1">
        <v>7.2531638392119693E-2</v>
      </c>
      <c r="N34" s="3">
        <f t="shared" si="11"/>
        <v>7.1205700765102506E-2</v>
      </c>
      <c r="O34" s="1">
        <v>5.2649999999999995E-2</v>
      </c>
      <c r="P34" s="3">
        <f t="shared" si="3"/>
        <v>3.350885286003797E-2</v>
      </c>
      <c r="Q34" s="1">
        <v>0.116350649865466</v>
      </c>
      <c r="R34" s="3">
        <f t="shared" si="12"/>
        <v>0.121726633579226</v>
      </c>
      <c r="S34" s="3">
        <f t="shared" si="7"/>
        <v>8.2046972032776E-2</v>
      </c>
      <c r="T34" s="1">
        <v>-6.2841279649063801E-3</v>
      </c>
      <c r="U34" s="3">
        <f t="shared" si="13"/>
        <v>-3.1568306892758502E-3</v>
      </c>
      <c r="V34">
        <v>0</v>
      </c>
      <c r="W34">
        <v>784.8</v>
      </c>
      <c r="X34" s="1">
        <v>1</v>
      </c>
      <c r="Y34" s="2">
        <f t="shared" si="8"/>
        <v>784.8</v>
      </c>
      <c r="Z34">
        <v>220.70000000000002</v>
      </c>
      <c r="AA34" s="3">
        <f t="shared" si="9"/>
        <v>220.70000000000005</v>
      </c>
      <c r="AB34" s="3">
        <f t="shared" si="10"/>
        <v>8.6158852860037966E-2</v>
      </c>
      <c r="AC34" s="3"/>
      <c r="AD34" s="1">
        <v>7.438839813427206E-2</v>
      </c>
      <c r="AG34" s="1"/>
      <c r="AH34" s="1"/>
    </row>
    <row r="35" spans="1:34" x14ac:dyDescent="0.25">
      <c r="A35">
        <v>1978</v>
      </c>
      <c r="B35" s="1">
        <v>0.43867139586335191</v>
      </c>
      <c r="C35" s="1">
        <v>0.20028487773996997</v>
      </c>
      <c r="D35" s="1">
        <v>8.7859246888513418E-2</v>
      </c>
      <c r="E35" s="1">
        <v>0.91149121522903398</v>
      </c>
      <c r="F35" s="3">
        <f t="shared" si="0"/>
        <v>0.4812678263203285</v>
      </c>
      <c r="G35" s="1">
        <v>0.186741213219735</v>
      </c>
      <c r="H35" s="3">
        <f t="shared" si="1"/>
        <v>8.9872537770682853E-2</v>
      </c>
      <c r="I35" s="3">
        <f t="shared" si="4"/>
        <v>4.846300656258018E-3</v>
      </c>
      <c r="J35" s="3">
        <f t="shared" si="5"/>
        <v>-6.6320163808891719E-3</v>
      </c>
      <c r="K35" s="3">
        <f t="shared" si="6"/>
        <v>-1.817856469970125E-3</v>
      </c>
      <c r="L35" s="1">
        <v>0.13130832605576967</v>
      </c>
      <c r="M35" s="1">
        <v>7.3274773667354895E-2</v>
      </c>
      <c r="N35" s="3">
        <f t="shared" si="11"/>
        <v>7.2531638392119693E-2</v>
      </c>
      <c r="O35" s="1">
        <v>7.2209999999999996E-2</v>
      </c>
      <c r="P35" s="3">
        <f t="shared" si="3"/>
        <v>1.5649246888513421E-2</v>
      </c>
      <c r="Q35" s="1">
        <v>0.107204319401374</v>
      </c>
      <c r="R35" s="3">
        <f t="shared" si="12"/>
        <v>0.116350649865466</v>
      </c>
      <c r="S35" s="3">
        <f t="shared" si="7"/>
        <v>5.9098326055769673E-2</v>
      </c>
      <c r="T35" s="1">
        <v>-1.0087902209430099E-2</v>
      </c>
      <c r="U35" s="3">
        <f t="shared" si="13"/>
        <v>-6.2841279649063801E-3</v>
      </c>
      <c r="V35">
        <v>0</v>
      </c>
      <c r="W35">
        <v>901.8</v>
      </c>
      <c r="X35" s="1">
        <v>1</v>
      </c>
      <c r="Y35" s="2">
        <f t="shared" si="8"/>
        <v>901.8</v>
      </c>
      <c r="Z35">
        <v>253.10000000000002</v>
      </c>
      <c r="AA35" s="3">
        <f t="shared" si="9"/>
        <v>253.10000000000014</v>
      </c>
      <c r="AB35" s="3">
        <f t="shared" si="10"/>
        <v>8.7859246888513459E-2</v>
      </c>
      <c r="AC35" s="3"/>
      <c r="AD35" s="1">
        <v>7.7352934314325217E-2</v>
      </c>
      <c r="AG35" s="1"/>
      <c r="AH35" s="1"/>
    </row>
    <row r="36" spans="1:34" x14ac:dyDescent="0.25">
      <c r="A36">
        <v>1979</v>
      </c>
      <c r="B36" s="1">
        <v>0.42628067750488735</v>
      </c>
      <c r="C36" s="1">
        <v>0.18791514891793443</v>
      </c>
      <c r="D36" s="1">
        <v>8.0104596994168886E-2</v>
      </c>
      <c r="E36" s="1">
        <v>0.88534152507782005</v>
      </c>
      <c r="F36" s="3">
        <f t="shared" si="0"/>
        <v>0.48148727404084879</v>
      </c>
      <c r="G36" s="1">
        <v>0.18560330137517</v>
      </c>
      <c r="H36" s="3">
        <f t="shared" si="1"/>
        <v>8.9365627632112726E-2</v>
      </c>
      <c r="I36" s="3">
        <f t="shared" si="4"/>
        <v>4.5597837320254797E-4</v>
      </c>
      <c r="J36" s="3">
        <f t="shared" si="5"/>
        <v>-6.0935228220138082E-3</v>
      </c>
      <c r="K36" s="3">
        <f t="shared" si="6"/>
        <v>-5.6403229634346408E-3</v>
      </c>
      <c r="L36" s="1">
        <v>1.1555534987356892E-3</v>
      </c>
      <c r="M36" s="1">
        <v>7.4050367771702194E-2</v>
      </c>
      <c r="N36" s="3">
        <f t="shared" si="11"/>
        <v>7.3274773667354895E-2</v>
      </c>
      <c r="O36" s="1">
        <v>0.10041</v>
      </c>
      <c r="P36" s="3">
        <f t="shared" si="3"/>
        <v>-2.0305403005831113E-2</v>
      </c>
      <c r="Q36" s="1">
        <v>9.5794122970448495E-2</v>
      </c>
      <c r="R36" s="3">
        <f t="shared" si="12"/>
        <v>0.107204319401374</v>
      </c>
      <c r="S36" s="3">
        <f t="shared" si="7"/>
        <v>-9.9254446501264304E-2</v>
      </c>
      <c r="T36" s="1">
        <v>-1.34368193467335E-2</v>
      </c>
      <c r="U36" s="3">
        <f t="shared" si="13"/>
        <v>-1.0087902209430099E-2</v>
      </c>
      <c r="V36">
        <v>0</v>
      </c>
      <c r="W36">
        <v>1022</v>
      </c>
      <c r="X36" s="1">
        <v>1</v>
      </c>
      <c r="Y36" s="2">
        <f t="shared" si="8"/>
        <v>1022</v>
      </c>
      <c r="Z36">
        <v>263.10000000000002</v>
      </c>
      <c r="AA36" s="3">
        <f t="shared" si="9"/>
        <v>263.09999999999991</v>
      </c>
      <c r="AB36" s="3">
        <f t="shared" si="10"/>
        <v>8.0104596994168845E-2</v>
      </c>
      <c r="AC36" s="3">
        <f t="shared" ref="AC36:AC38" si="14">+O36</f>
        <v>0.10041</v>
      </c>
      <c r="AD36" s="1">
        <v>9.9396432167403279E-2</v>
      </c>
      <c r="AG36" s="1"/>
      <c r="AH36" s="1"/>
    </row>
    <row r="37" spans="1:34" x14ac:dyDescent="0.25">
      <c r="A37">
        <v>1980</v>
      </c>
      <c r="B37" s="1">
        <v>0.39631487424960021</v>
      </c>
      <c r="C37" s="1">
        <v>0.16996809359212975</v>
      </c>
      <c r="D37" s="1">
        <v>6.7360883638409169E-2</v>
      </c>
      <c r="E37" s="1">
        <v>0.83406603336334195</v>
      </c>
      <c r="F37" s="3">
        <f t="shared" si="0"/>
        <v>0.47516006934304039</v>
      </c>
      <c r="G37" s="1">
        <v>0.18473519875668401</v>
      </c>
      <c r="H37" s="3">
        <f t="shared" si="1"/>
        <v>8.7778789851326325E-2</v>
      </c>
      <c r="I37" s="3">
        <f t="shared" si="4"/>
        <v>-1.3140959354351667E-2</v>
      </c>
      <c r="J37" s="3">
        <f t="shared" si="5"/>
        <v>-4.677193843288685E-3</v>
      </c>
      <c r="K37" s="3">
        <f t="shared" si="6"/>
        <v>-1.7756690383453289E-2</v>
      </c>
      <c r="L37" s="1">
        <v>-5.7693773752115082E-2</v>
      </c>
      <c r="M37" s="1">
        <v>7.6053934149382704E-2</v>
      </c>
      <c r="N37" s="3">
        <f t="shared" si="11"/>
        <v>7.4050367771702194E-2</v>
      </c>
      <c r="O37" s="1">
        <v>0.11506</v>
      </c>
      <c r="P37" s="3">
        <f t="shared" si="3"/>
        <v>-4.7699116361590826E-2</v>
      </c>
      <c r="Q37" s="1">
        <v>8.4459498162173199E-2</v>
      </c>
      <c r="R37" s="3">
        <f t="shared" si="12"/>
        <v>9.5794122970448495E-2</v>
      </c>
      <c r="S37" s="3">
        <f t="shared" si="7"/>
        <v>-0.17275377375211509</v>
      </c>
      <c r="T37" s="1">
        <v>-1.45076662786086E-2</v>
      </c>
      <c r="U37" s="3">
        <f t="shared" si="13"/>
        <v>-1.34368193467335E-2</v>
      </c>
      <c r="V37">
        <v>0</v>
      </c>
      <c r="W37">
        <v>1120.0999999999999</v>
      </c>
      <c r="X37" s="1">
        <v>1</v>
      </c>
      <c r="Y37" s="2">
        <f t="shared" si="8"/>
        <v>1120.0999999999999</v>
      </c>
      <c r="Z37">
        <v>255.7</v>
      </c>
      <c r="AA37" s="3">
        <f t="shared" si="9"/>
        <v>255.70000000000005</v>
      </c>
      <c r="AB37" s="3">
        <f t="shared" si="10"/>
        <v>6.7360883638409183E-2</v>
      </c>
      <c r="AC37" s="3">
        <f t="shared" si="14"/>
        <v>0.11506</v>
      </c>
      <c r="AD37" s="1">
        <v>0.12005181997346051</v>
      </c>
      <c r="AG37" s="1"/>
      <c r="AH37" s="1"/>
    </row>
    <row r="38" spans="1:34" x14ac:dyDescent="0.25">
      <c r="A38">
        <v>1981</v>
      </c>
      <c r="B38" s="1">
        <v>0.38978484563718474</v>
      </c>
      <c r="C38" s="1">
        <v>0.1786429496996112</v>
      </c>
      <c r="D38" s="1">
        <v>6.9632314572834308E-2</v>
      </c>
      <c r="E38" s="1">
        <v>0.843342185020447</v>
      </c>
      <c r="F38" s="3">
        <f t="shared" si="0"/>
        <v>0.46219061794914756</v>
      </c>
      <c r="G38" s="1">
        <v>0.18432085424144701</v>
      </c>
      <c r="H38" s="3">
        <f t="shared" si="1"/>
        <v>8.519136952276915E-2</v>
      </c>
      <c r="I38" s="3">
        <f t="shared" si="4"/>
        <v>-2.7294910138018325E-2</v>
      </c>
      <c r="J38" s="3">
        <f t="shared" si="5"/>
        <v>-2.2429104903973762E-3</v>
      </c>
      <c r="K38" s="3">
        <f t="shared" si="6"/>
        <v>-2.9476600588132618E-2</v>
      </c>
      <c r="L38" s="1">
        <v>0.11016305866131283</v>
      </c>
      <c r="M38" s="1">
        <v>7.9752482566899999E-2</v>
      </c>
      <c r="N38" s="3">
        <f t="shared" si="11"/>
        <v>7.6053934149382704E-2</v>
      </c>
      <c r="O38" s="1">
        <v>0.14029</v>
      </c>
      <c r="P38" s="3">
        <f t="shared" si="3"/>
        <v>-7.065768542716569E-2</v>
      </c>
      <c r="Q38" s="1">
        <v>7.4791941336328494E-2</v>
      </c>
      <c r="R38" s="3">
        <f t="shared" si="12"/>
        <v>8.4459498162173199E-2</v>
      </c>
      <c r="S38" s="3">
        <f t="shared" si="7"/>
        <v>-3.0126941338687166E-2</v>
      </c>
      <c r="T38" s="1">
        <v>-1.2335861713380299E-2</v>
      </c>
      <c r="U38" s="3">
        <f t="shared" si="13"/>
        <v>-1.45076662786086E-2</v>
      </c>
      <c r="V38">
        <v>0</v>
      </c>
      <c r="W38">
        <v>1240</v>
      </c>
      <c r="X38" s="1">
        <v>1</v>
      </c>
      <c r="Y38" s="2">
        <f t="shared" si="8"/>
        <v>1240</v>
      </c>
      <c r="Z38">
        <v>303.2999999999999</v>
      </c>
      <c r="AA38" s="3">
        <f t="shared" si="9"/>
        <v>303.29999999999995</v>
      </c>
      <c r="AB38" s="3">
        <f t="shared" si="10"/>
        <v>6.9632314572834322E-2</v>
      </c>
      <c r="AC38" s="3">
        <f t="shared" si="14"/>
        <v>0.14029</v>
      </c>
      <c r="AD38" s="1">
        <v>0.13930953820413353</v>
      </c>
      <c r="AG38" s="1"/>
      <c r="AH38" s="1"/>
    </row>
    <row r="39" spans="1:34" x14ac:dyDescent="0.25">
      <c r="A39">
        <v>1982</v>
      </c>
      <c r="B39" s="1">
        <v>0.35411984848100114</v>
      </c>
      <c r="C39" s="1">
        <v>0.16908405664687073</v>
      </c>
      <c r="D39" s="1">
        <v>5.9876020520342882E-2</v>
      </c>
      <c r="E39" s="1">
        <v>0.82005542516708396</v>
      </c>
      <c r="F39" s="3">
        <f t="shared" si="0"/>
        <v>0.43182428603389855</v>
      </c>
      <c r="G39" s="1">
        <v>0.184396864719059</v>
      </c>
      <c r="H39" s="3">
        <f t="shared" si="1"/>
        <v>7.9627044454197035E-2</v>
      </c>
      <c r="I39" s="3">
        <f t="shared" si="4"/>
        <v>-6.5700883436344615E-2</v>
      </c>
      <c r="J39" s="3">
        <f t="shared" si="5"/>
        <v>4.1238132236753877E-4</v>
      </c>
      <c r="K39" s="3">
        <f t="shared" si="6"/>
        <v>-6.5315595931169201E-2</v>
      </c>
      <c r="L39" s="1">
        <v>-3.3414013114430263E-2</v>
      </c>
      <c r="M39" s="1">
        <v>8.4275483449264402E-2</v>
      </c>
      <c r="N39" s="3">
        <f t="shared" si="11"/>
        <v>7.9752482566899999E-2</v>
      </c>
      <c r="O39" s="1">
        <v>0.10686</v>
      </c>
      <c r="P39" s="3">
        <f t="shared" si="3"/>
        <v>-4.6983979479657115E-2</v>
      </c>
      <c r="Q39" s="1">
        <v>6.6938353871072998E-2</v>
      </c>
      <c r="R39" s="3">
        <f t="shared" si="12"/>
        <v>7.4791941336328494E-2</v>
      </c>
      <c r="S39" s="3">
        <f t="shared" si="7"/>
        <v>-0.14027401311443027</v>
      </c>
      <c r="T39" s="1">
        <v>-7.5397476965874E-3</v>
      </c>
      <c r="U39" s="3">
        <f t="shared" si="13"/>
        <v>-1.2335861713380299E-2</v>
      </c>
      <c r="V39">
        <v>0</v>
      </c>
      <c r="W39">
        <v>1293.8</v>
      </c>
      <c r="X39" s="1">
        <v>0.99809463064396353</v>
      </c>
      <c r="Y39" s="2">
        <f t="shared" si="8"/>
        <v>1291.33483312716</v>
      </c>
      <c r="Z39">
        <v>296.10000000000002</v>
      </c>
      <c r="AA39" s="3">
        <f t="shared" si="9"/>
        <v>298.56516687284011</v>
      </c>
      <c r="AB39" s="3">
        <f t="shared" si="10"/>
        <v>6.0374515563450762E-2</v>
      </c>
      <c r="AC39" s="3"/>
      <c r="AD39" s="1">
        <v>0.11932403019271824</v>
      </c>
      <c r="AG39" s="1"/>
      <c r="AH39" s="1"/>
    </row>
    <row r="40" spans="1:34" x14ac:dyDescent="0.25">
      <c r="A40">
        <v>1983</v>
      </c>
      <c r="B40" s="1">
        <v>0.35829031510077947</v>
      </c>
      <c r="C40" s="1">
        <v>0.18218880711600571</v>
      </c>
      <c r="D40" s="1">
        <v>6.5276485109428808E-2</v>
      </c>
      <c r="E40" s="1">
        <v>0.85865700244903598</v>
      </c>
      <c r="F40" s="3">
        <f t="shared" si="0"/>
        <v>0.41726826204045908</v>
      </c>
      <c r="G40" s="1">
        <v>0.18494261853671001</v>
      </c>
      <c r="H40" s="3">
        <f t="shared" si="1"/>
        <v>7.7170685014024576E-2</v>
      </c>
      <c r="I40" s="3">
        <f t="shared" si="4"/>
        <v>-3.3708210640790104E-2</v>
      </c>
      <c r="J40" s="3">
        <f t="shared" si="5"/>
        <v>2.9596697236826675E-3</v>
      </c>
      <c r="K40" s="3">
        <f t="shared" si="6"/>
        <v>-3.0848306087580601E-2</v>
      </c>
      <c r="L40" s="1">
        <v>0.20666415066877158</v>
      </c>
      <c r="M40" s="1">
        <v>8.9056882395816703E-2</v>
      </c>
      <c r="N40" s="3">
        <f t="shared" si="11"/>
        <v>8.4275483449264402E-2</v>
      </c>
      <c r="O40" s="1">
        <v>8.6300000000000002E-2</v>
      </c>
      <c r="P40" s="3">
        <f t="shared" si="3"/>
        <v>-2.1023514890571193E-2</v>
      </c>
      <c r="Q40" s="1">
        <v>6.1424717731201797E-2</v>
      </c>
      <c r="R40" s="3">
        <f t="shared" si="12"/>
        <v>6.6938353871072998E-2</v>
      </c>
      <c r="S40" s="3">
        <f t="shared" si="7"/>
        <v>0.12036415066877158</v>
      </c>
      <c r="T40" s="1">
        <v>-9.1530765663465005E-4</v>
      </c>
      <c r="U40" s="3">
        <f t="shared" si="13"/>
        <v>-7.5397476965874E-3</v>
      </c>
      <c r="V40">
        <v>0</v>
      </c>
      <c r="W40">
        <v>1367.1</v>
      </c>
      <c r="X40" s="1">
        <v>1.0266001277587951</v>
      </c>
      <c r="Y40" s="2">
        <f t="shared" si="8"/>
        <v>1403.4650346590486</v>
      </c>
      <c r="Z40">
        <v>344.09999999999991</v>
      </c>
      <c r="AA40" s="3">
        <f t="shared" si="9"/>
        <v>307.73496534095125</v>
      </c>
      <c r="AB40" s="3">
        <f t="shared" si="10"/>
        <v>5.837796246070677E-2</v>
      </c>
      <c r="AC40" s="3"/>
      <c r="AD40" s="1">
        <v>9.5058722668257822E-2</v>
      </c>
      <c r="AG40" s="1"/>
      <c r="AH40" s="1"/>
    </row>
    <row r="41" spans="1:34" x14ac:dyDescent="0.25">
      <c r="A41">
        <v>1984</v>
      </c>
      <c r="B41" s="1">
        <v>0.38813946892152446</v>
      </c>
      <c r="C41" s="1">
        <v>0.19862178886180384</v>
      </c>
      <c r="D41" s="1">
        <v>7.7092955645063702E-2</v>
      </c>
      <c r="E41" s="1">
        <v>0.92487084865570102</v>
      </c>
      <c r="F41" s="3">
        <f t="shared" si="0"/>
        <v>0.41966883212470674</v>
      </c>
      <c r="G41" s="1">
        <v>0.18578453539439499</v>
      </c>
      <c r="H41" s="3">
        <f t="shared" si="1"/>
        <v>7.7967978995796994E-2</v>
      </c>
      <c r="I41" s="3">
        <f t="shared" si="4"/>
        <v>5.753061765370715E-3</v>
      </c>
      <c r="J41" s="3">
        <f t="shared" si="5"/>
        <v>4.5523139249694644E-3</v>
      </c>
      <c r="K41" s="3">
        <f t="shared" si="6"/>
        <v>1.0331565433526091E-2</v>
      </c>
      <c r="L41" s="1">
        <v>0.25708339108277573</v>
      </c>
      <c r="M41" s="1">
        <v>9.2353870171405394E-2</v>
      </c>
      <c r="N41" s="3">
        <f t="shared" si="11"/>
        <v>8.9056882395816703E-2</v>
      </c>
      <c r="O41" s="1">
        <v>9.5799999999999996E-2</v>
      </c>
      <c r="P41" s="3">
        <f t="shared" si="3"/>
        <v>-1.8707044354936295E-2</v>
      </c>
      <c r="Q41" s="1">
        <v>5.7433631342799302E-2</v>
      </c>
      <c r="R41" s="3">
        <f t="shared" si="12"/>
        <v>6.1424717731201797E-2</v>
      </c>
      <c r="S41" s="3">
        <f t="shared" si="7"/>
        <v>0.16128339108277573</v>
      </c>
      <c r="T41" s="1">
        <v>5.4138724550388401E-3</v>
      </c>
      <c r="U41" s="3">
        <f t="shared" si="13"/>
        <v>-9.1530765663465005E-4</v>
      </c>
      <c r="V41">
        <v>0</v>
      </c>
      <c r="W41">
        <v>1513.9</v>
      </c>
      <c r="X41" s="1">
        <v>1.0461352929180456</v>
      </c>
      <c r="Y41" s="2">
        <f t="shared" si="8"/>
        <v>1583.7442199486293</v>
      </c>
      <c r="Z41">
        <v>423.69999999999993</v>
      </c>
      <c r="AA41" s="3">
        <f t="shared" si="9"/>
        <v>353.85578005137063</v>
      </c>
      <c r="AB41" s="3">
        <f t="shared" si="10"/>
        <v>6.4384677734835347E-2</v>
      </c>
      <c r="AC41" s="3"/>
      <c r="AD41" s="1">
        <v>9.7363551011295235E-2</v>
      </c>
      <c r="AG41" s="1"/>
      <c r="AH41" s="1"/>
    </row>
    <row r="42" spans="1:34" x14ac:dyDescent="0.25">
      <c r="A42">
        <v>1985</v>
      </c>
      <c r="B42" s="1">
        <v>0.38704909074628013</v>
      </c>
      <c r="C42" s="1">
        <v>0.19558151791988754</v>
      </c>
      <c r="D42" s="1">
        <v>7.5699648677669762E-2</v>
      </c>
      <c r="E42" s="1">
        <v>0.93559807538986195</v>
      </c>
      <c r="F42" s="3">
        <f t="shared" si="0"/>
        <v>0.41369162776975305</v>
      </c>
      <c r="G42" s="1">
        <v>0.18672160880674599</v>
      </c>
      <c r="H42" s="3">
        <f t="shared" si="1"/>
        <v>7.7245166287049805E-2</v>
      </c>
      <c r="I42" s="3">
        <f t="shared" si="4"/>
        <v>-1.4242669212989223E-2</v>
      </c>
      <c r="J42" s="3">
        <f t="shared" si="5"/>
        <v>5.0438719797734066E-3</v>
      </c>
      <c r="K42" s="3">
        <f t="shared" si="6"/>
        <v>-9.2706354333764729E-3</v>
      </c>
      <c r="L42" s="1">
        <v>8.2613775561874422E-2</v>
      </c>
      <c r="M42" s="1">
        <v>9.3600068716920795E-2</v>
      </c>
      <c r="N42" s="3">
        <f t="shared" si="11"/>
        <v>9.2353870171405394E-2</v>
      </c>
      <c r="O42" s="1">
        <v>7.4800000000000005E-2</v>
      </c>
      <c r="P42" s="3">
        <f t="shared" si="3"/>
        <v>8.9964867766975654E-4</v>
      </c>
      <c r="Q42" s="1">
        <v>5.4327445954637898E-2</v>
      </c>
      <c r="R42" s="3">
        <f t="shared" si="12"/>
        <v>5.7433631342799302E-2</v>
      </c>
      <c r="S42" s="3">
        <f t="shared" si="7"/>
        <v>7.813775561874417E-3</v>
      </c>
      <c r="T42" s="1">
        <v>1.05373597635603E-2</v>
      </c>
      <c r="U42" s="3">
        <f t="shared" si="13"/>
        <v>5.4138724550388401E-3</v>
      </c>
      <c r="V42">
        <v>0</v>
      </c>
      <c r="W42">
        <v>1622.4</v>
      </c>
      <c r="X42" s="1">
        <v>1.0508297867236818</v>
      </c>
      <c r="Y42" s="2">
        <f t="shared" si="8"/>
        <v>1704.8662459805014</v>
      </c>
      <c r="Z42">
        <v>445.29999999999995</v>
      </c>
      <c r="AA42" s="3">
        <f t="shared" si="9"/>
        <v>362.83375401949843</v>
      </c>
      <c r="AB42" s="3">
        <f t="shared" si="10"/>
        <v>6.1680637115823229E-2</v>
      </c>
      <c r="AC42" s="3"/>
      <c r="AD42" s="1">
        <v>8.588176626890473E-2</v>
      </c>
      <c r="AG42" s="1"/>
      <c r="AH42" s="1"/>
    </row>
    <row r="43" spans="1:34" x14ac:dyDescent="0.25">
      <c r="A43">
        <v>1986</v>
      </c>
      <c r="B43" s="1">
        <v>0.37853359888612809</v>
      </c>
      <c r="C43" s="1">
        <v>0.18226268757376496</v>
      </c>
      <c r="D43" s="1">
        <v>6.8992551069955221E-2</v>
      </c>
      <c r="E43" s="1">
        <v>0.92921441793441795</v>
      </c>
      <c r="F43" s="3">
        <f t="shared" si="0"/>
        <v>0.40736948499742737</v>
      </c>
      <c r="G43" s="1">
        <v>0.18768098693444801</v>
      </c>
      <c r="H43" s="3">
        <f t="shared" si="1"/>
        <v>7.6455506991294983E-2</v>
      </c>
      <c r="I43" s="3">
        <f t="shared" si="4"/>
        <v>-1.5282259412424892E-2</v>
      </c>
      <c r="J43" s="3">
        <f t="shared" si="5"/>
        <v>5.1380133977689812E-3</v>
      </c>
      <c r="K43" s="3">
        <f t="shared" si="6"/>
        <v>-1.0222766468265143E-2</v>
      </c>
      <c r="L43" s="1">
        <v>-3.1225928221011914E-3</v>
      </c>
      <c r="M43" s="1">
        <v>9.3876561271538997E-2</v>
      </c>
      <c r="N43" s="3">
        <f t="shared" si="11"/>
        <v>9.3600068716920795E-2</v>
      </c>
      <c r="O43" s="1">
        <v>5.9800000000000006E-2</v>
      </c>
      <c r="P43" s="3">
        <f t="shared" si="3"/>
        <v>9.1925510699552154E-3</v>
      </c>
      <c r="Q43" s="1">
        <v>5.2506176502062102E-2</v>
      </c>
      <c r="R43" s="3">
        <f t="shared" si="12"/>
        <v>5.4327445954637898E-2</v>
      </c>
      <c r="S43" s="3">
        <f t="shared" si="7"/>
        <v>-6.2922592822101192E-2</v>
      </c>
      <c r="T43" s="1">
        <v>1.51035826695068E-2</v>
      </c>
      <c r="U43" s="3">
        <f t="shared" si="13"/>
        <v>1.05373597635603E-2</v>
      </c>
      <c r="V43">
        <v>0</v>
      </c>
      <c r="W43">
        <v>1720.4</v>
      </c>
      <c r="X43" s="1">
        <v>1.0414728029591276</v>
      </c>
      <c r="Y43" s="2">
        <f t="shared" si="8"/>
        <v>1791.7498102108832</v>
      </c>
      <c r="Z43">
        <v>432.39999999999992</v>
      </c>
      <c r="AA43" s="3">
        <f t="shared" si="9"/>
        <v>361.05018978911698</v>
      </c>
      <c r="AB43" s="3">
        <f t="shared" si="10"/>
        <v>5.7608172196675952E-2</v>
      </c>
      <c r="AC43" s="3"/>
      <c r="AD43" s="1">
        <v>7.2059542941861551E-2</v>
      </c>
      <c r="AG43" s="1"/>
      <c r="AH43" s="1"/>
    </row>
    <row r="44" spans="1:34" x14ac:dyDescent="0.25">
      <c r="A44">
        <v>1987</v>
      </c>
      <c r="B44" s="1">
        <v>0.38651022284765507</v>
      </c>
      <c r="C44" s="1">
        <v>0.18763468244328646</v>
      </c>
      <c r="D44" s="1">
        <v>7.2522722925103644E-2</v>
      </c>
      <c r="E44" s="1">
        <v>0.94841212034225497</v>
      </c>
      <c r="F44" s="3">
        <f t="shared" si="0"/>
        <v>0.40753403985197334</v>
      </c>
      <c r="G44" s="1">
        <v>0.188678601850119</v>
      </c>
      <c r="H44" s="3">
        <f t="shared" si="1"/>
        <v>7.6892952845601006E-2</v>
      </c>
      <c r="I44" s="3">
        <f t="shared" si="4"/>
        <v>4.0394497036766452E-4</v>
      </c>
      <c r="J44" s="3">
        <f t="shared" si="5"/>
        <v>5.3154820419791804E-3</v>
      </c>
      <c r="K44" s="3">
        <f t="shared" si="6"/>
        <v>5.7215741745826332E-3</v>
      </c>
      <c r="L44" s="1">
        <v>0.13243243643085692</v>
      </c>
      <c r="M44" s="1">
        <v>9.4154430387267202E-2</v>
      </c>
      <c r="N44" s="3">
        <f t="shared" si="11"/>
        <v>9.3876561271538997E-2</v>
      </c>
      <c r="O44" s="1">
        <v>5.8200000000000002E-2</v>
      </c>
      <c r="P44" s="3">
        <f t="shared" si="3"/>
        <v>1.4322722925103643E-2</v>
      </c>
      <c r="Q44" s="1">
        <v>5.2024563460869797E-2</v>
      </c>
      <c r="R44" s="3">
        <f t="shared" si="12"/>
        <v>5.2506176502062102E-2</v>
      </c>
      <c r="S44" s="3">
        <f t="shared" si="7"/>
        <v>7.4232436430856918E-2</v>
      </c>
      <c r="T44" s="1">
        <v>1.9733595975819501E-2</v>
      </c>
      <c r="U44" s="3">
        <f t="shared" si="13"/>
        <v>1.51035826695068E-2</v>
      </c>
      <c r="V44">
        <v>0</v>
      </c>
      <c r="W44">
        <v>1840</v>
      </c>
      <c r="X44" s="1">
        <v>1.0425968807769848</v>
      </c>
      <c r="Y44" s="2">
        <f t="shared" si="8"/>
        <v>1918.378260629652</v>
      </c>
      <c r="Z44">
        <v>478.9</v>
      </c>
      <c r="AA44" s="3">
        <f t="shared" si="9"/>
        <v>400.52173937034809</v>
      </c>
      <c r="AB44" s="3">
        <f t="shared" si="10"/>
        <v>6.0653428961863293E-2</v>
      </c>
      <c r="AC44" s="3"/>
      <c r="AD44" s="1">
        <v>6.9447297022016713E-2</v>
      </c>
      <c r="AG44" s="1"/>
      <c r="AH44" s="1"/>
    </row>
    <row r="45" spans="1:34" x14ac:dyDescent="0.25">
      <c r="A45">
        <v>1988</v>
      </c>
      <c r="B45" s="1">
        <v>0.39204712312652235</v>
      </c>
      <c r="C45" s="1">
        <v>0.19723830414613977</v>
      </c>
      <c r="D45" s="1">
        <v>7.7326709710848124E-2</v>
      </c>
      <c r="E45" s="1">
        <v>0.97139304876327504</v>
      </c>
      <c r="F45" s="3">
        <f t="shared" si="0"/>
        <v>0.40359267922048186</v>
      </c>
      <c r="G45" s="1">
        <v>0.189676575757035</v>
      </c>
      <c r="H45" s="3">
        <f t="shared" si="1"/>
        <v>7.6552077395148452E-2</v>
      </c>
      <c r="I45" s="3">
        <f t="shared" si="4"/>
        <v>-9.6712427578394822E-3</v>
      </c>
      <c r="J45" s="3">
        <f t="shared" si="5"/>
        <v>5.2892797441268513E-3</v>
      </c>
      <c r="K45" s="3">
        <f t="shared" si="6"/>
        <v>-4.4331169221323297E-3</v>
      </c>
      <c r="L45" s="1">
        <v>0.13325542097379225</v>
      </c>
      <c r="M45" s="1">
        <v>9.4434993003396805E-2</v>
      </c>
      <c r="N45" s="3">
        <f t="shared" si="11"/>
        <v>9.4154430387267202E-2</v>
      </c>
      <c r="O45" s="1">
        <v>6.6900000000000001E-2</v>
      </c>
      <c r="P45" s="3">
        <f t="shared" si="3"/>
        <v>1.0426709710848123E-2</v>
      </c>
      <c r="Q45" s="1">
        <v>5.2001285541838402E-2</v>
      </c>
      <c r="R45" s="3">
        <f t="shared" si="12"/>
        <v>5.2024563460869797E-2</v>
      </c>
      <c r="S45" s="3">
        <f t="shared" si="7"/>
        <v>6.6355420973792253E-2</v>
      </c>
      <c r="T45" s="1">
        <v>2.4268418658744802E-2</v>
      </c>
      <c r="U45" s="3">
        <f t="shared" si="13"/>
        <v>1.9733595975819501E-2</v>
      </c>
      <c r="V45">
        <v>0</v>
      </c>
      <c r="W45">
        <v>1980.4</v>
      </c>
      <c r="X45" s="1">
        <v>1.040713037477115</v>
      </c>
      <c r="Y45" s="2">
        <f t="shared" si="8"/>
        <v>2061.0280994196787</v>
      </c>
      <c r="Z45">
        <v>548.5</v>
      </c>
      <c r="AA45" s="3">
        <f t="shared" si="9"/>
        <v>467.87190058032138</v>
      </c>
      <c r="AB45" s="3">
        <f t="shared" si="10"/>
        <v>6.5959880835072565E-2</v>
      </c>
      <c r="AC45" s="3"/>
      <c r="AD45" s="1">
        <v>7.212436288682611E-2</v>
      </c>
      <c r="AG45" s="1"/>
      <c r="AH45" s="1"/>
    </row>
    <row r="46" spans="1:34" x14ac:dyDescent="0.25">
      <c r="A46">
        <v>1989</v>
      </c>
      <c r="B46" s="1">
        <v>0.38739213506660475</v>
      </c>
      <c r="C46" s="1">
        <v>0.19602088523359384</v>
      </c>
      <c r="D46" s="1">
        <v>7.5936949248287811E-2</v>
      </c>
      <c r="E46" s="1">
        <v>0.96777576208114602</v>
      </c>
      <c r="F46" s="3">
        <f t="shared" si="0"/>
        <v>0.40029121439613274</v>
      </c>
      <c r="G46" s="1">
        <v>0.19062624483996701</v>
      </c>
      <c r="H46" s="3">
        <f t="shared" si="1"/>
        <v>7.6306011042764924E-2</v>
      </c>
      <c r="I46" s="3">
        <f t="shared" si="4"/>
        <v>-8.1801900637190617E-3</v>
      </c>
      <c r="J46" s="3">
        <f t="shared" si="5"/>
        <v>5.0067810384160083E-3</v>
      </c>
      <c r="K46" s="3">
        <f t="shared" si="6"/>
        <v>-3.2143654458046678E-3</v>
      </c>
      <c r="L46" s="1">
        <v>6.974879910377059E-2</v>
      </c>
      <c r="M46" s="1">
        <v>9.5102021755346794E-2</v>
      </c>
      <c r="N46" s="3">
        <f t="shared" si="11"/>
        <v>9.4434993003396805E-2</v>
      </c>
      <c r="O46" s="1">
        <v>8.1199999999999994E-2</v>
      </c>
      <c r="P46" s="3">
        <f t="shared" si="3"/>
        <v>-5.2630507517121838E-3</v>
      </c>
      <c r="Q46" s="1">
        <v>5.2165775821136601E-2</v>
      </c>
      <c r="R46" s="3">
        <f t="shared" si="12"/>
        <v>5.2001285541838402E-2</v>
      </c>
      <c r="S46" s="3">
        <f t="shared" si="7"/>
        <v>-1.1451200896229405E-2</v>
      </c>
      <c r="T46" s="1">
        <v>2.9093733734770501E-2</v>
      </c>
      <c r="U46" s="3">
        <f t="shared" si="13"/>
        <v>2.4268418658744802E-2</v>
      </c>
      <c r="V46">
        <v>0</v>
      </c>
      <c r="W46">
        <v>2088.3000000000002</v>
      </c>
      <c r="X46" s="1">
        <v>1.0656168152495202</v>
      </c>
      <c r="Y46" s="2">
        <f t="shared" si="8"/>
        <v>2225.3275952855734</v>
      </c>
      <c r="Z46">
        <v>574.4</v>
      </c>
      <c r="AA46" s="3">
        <f t="shared" si="9"/>
        <v>437.37240471442692</v>
      </c>
      <c r="AB46" s="3">
        <f t="shared" si="10"/>
        <v>5.7821598362466982E-2</v>
      </c>
      <c r="AC46" s="3"/>
      <c r="AD46" s="1">
        <v>8.8028155046519563E-2</v>
      </c>
      <c r="AG46" s="1"/>
      <c r="AH46" s="1"/>
    </row>
    <row r="47" spans="1:34" x14ac:dyDescent="0.25">
      <c r="A47">
        <v>1990</v>
      </c>
      <c r="B47" s="1">
        <v>0.3806054726188986</v>
      </c>
      <c r="C47" s="1">
        <v>0.18917419817938594</v>
      </c>
      <c r="D47" s="1">
        <v>7.2000735105366379E-2</v>
      </c>
      <c r="E47" s="1">
        <v>0.96064013242721602</v>
      </c>
      <c r="F47" s="3">
        <f t="shared" si="0"/>
        <v>0.39619984609349601</v>
      </c>
      <c r="G47" s="1">
        <v>0.191554179526118</v>
      </c>
      <c r="H47" s="3">
        <f t="shared" si="1"/>
        <v>7.5893736446813853E-2</v>
      </c>
      <c r="I47" s="3">
        <f t="shared" si="4"/>
        <v>-1.0220979515648043E-2</v>
      </c>
      <c r="J47" s="3">
        <f t="shared" si="5"/>
        <v>4.867822302904834E-3</v>
      </c>
      <c r="K47" s="3">
        <f t="shared" si="6"/>
        <v>-5.4029111247869688E-3</v>
      </c>
      <c r="L47" s="1">
        <v>2.4543904586603178E-2</v>
      </c>
      <c r="M47" s="1">
        <v>9.6927939348502107E-2</v>
      </c>
      <c r="N47" s="3">
        <f t="shared" si="11"/>
        <v>9.5102021755346794E-2</v>
      </c>
      <c r="O47" s="1">
        <v>7.51E-2</v>
      </c>
      <c r="P47" s="3">
        <f t="shared" si="3"/>
        <v>-3.0992648946336215E-3</v>
      </c>
      <c r="Q47" s="1">
        <v>5.33224545195147E-2</v>
      </c>
      <c r="R47" s="3">
        <f t="shared" si="12"/>
        <v>5.2165775821136601E-2</v>
      </c>
      <c r="S47" s="3">
        <f t="shared" si="7"/>
        <v>-5.0556095413396826E-2</v>
      </c>
      <c r="T47" s="1">
        <v>3.5016540033797401E-2</v>
      </c>
      <c r="U47" s="3">
        <f t="shared" si="13"/>
        <v>2.9093733734770501E-2</v>
      </c>
      <c r="V47">
        <v>0</v>
      </c>
      <c r="W47">
        <v>2200.6</v>
      </c>
      <c r="X47" s="1">
        <v>1.0699391787763184</v>
      </c>
      <c r="Y47" s="2">
        <f t="shared" si="8"/>
        <v>2354.5081568151663</v>
      </c>
      <c r="Z47">
        <v>579.79999999999995</v>
      </c>
      <c r="AA47" s="3">
        <f t="shared" si="9"/>
        <v>425.89184318483331</v>
      </c>
      <c r="AB47" s="3">
        <f t="shared" si="10"/>
        <v>5.2888109321640953E-2</v>
      </c>
      <c r="AC47" s="3"/>
      <c r="AD47" s="1">
        <v>9.6354915867203308E-2</v>
      </c>
      <c r="AG47" s="1"/>
      <c r="AH47" s="1"/>
    </row>
    <row r="48" spans="1:34" x14ac:dyDescent="0.25">
      <c r="A48">
        <v>1991</v>
      </c>
      <c r="B48" s="1">
        <v>0.36901183876152915</v>
      </c>
      <c r="C48" s="1">
        <v>0.18800406426620944</v>
      </c>
      <c r="D48" s="1">
        <v>6.9375725449514633E-2</v>
      </c>
      <c r="E48" s="1">
        <v>0.95897972583770796</v>
      </c>
      <c r="F48" s="3">
        <f t="shared" si="0"/>
        <v>0.38479628799157589</v>
      </c>
      <c r="G48" s="1">
        <v>0.19254068779429001</v>
      </c>
      <c r="H48" s="3">
        <f t="shared" si="1"/>
        <v>7.4088941950587725E-2</v>
      </c>
      <c r="I48" s="3">
        <f t="shared" si="4"/>
        <v>-2.8782338545454866E-2</v>
      </c>
      <c r="J48" s="3">
        <f t="shared" si="5"/>
        <v>5.1500221535887292E-3</v>
      </c>
      <c r="K48" s="3">
        <f t="shared" si="6"/>
        <v>-2.378054607300728E-2</v>
      </c>
      <c r="L48" s="1">
        <v>3.7014024297708101E-2</v>
      </c>
      <c r="M48" s="1">
        <v>0.10043114827069401</v>
      </c>
      <c r="N48" s="3">
        <f t="shared" si="11"/>
        <v>9.6927939348502107E-2</v>
      </c>
      <c r="O48" s="1">
        <v>5.4199999999999998E-2</v>
      </c>
      <c r="P48" s="3">
        <f t="shared" si="3"/>
        <v>1.5175725449514635E-2</v>
      </c>
      <c r="Q48" s="1">
        <v>5.5884084099511497E-2</v>
      </c>
      <c r="R48" s="3">
        <f t="shared" si="12"/>
        <v>5.33224545195147E-2</v>
      </c>
      <c r="S48" s="3">
        <f t="shared" si="7"/>
        <v>-1.7185975702291897E-2</v>
      </c>
      <c r="T48" s="1">
        <v>4.2437899048378303E-2</v>
      </c>
      <c r="U48" s="3">
        <f t="shared" si="13"/>
        <v>3.5016540033797401E-2</v>
      </c>
      <c r="V48">
        <v>0</v>
      </c>
      <c r="W48">
        <v>2249.4</v>
      </c>
      <c r="X48" s="1">
        <v>1.0696622006355301</v>
      </c>
      <c r="Y48" s="2">
        <f t="shared" si="8"/>
        <v>2406.0981541095616</v>
      </c>
      <c r="Z48">
        <v>592.1</v>
      </c>
      <c r="AA48" s="3">
        <f t="shared" si="9"/>
        <v>435.40184589043838</v>
      </c>
      <c r="AB48" s="3">
        <f t="shared" si="10"/>
        <v>5.1015569871148345E-2</v>
      </c>
      <c r="AC48" s="3"/>
      <c r="AD48" s="1">
        <v>8.5817108616379964E-2</v>
      </c>
      <c r="AG48" s="1"/>
      <c r="AH48" s="1"/>
    </row>
    <row r="49" spans="1:34" x14ac:dyDescent="0.25">
      <c r="A49">
        <v>1992</v>
      </c>
      <c r="B49" s="1">
        <v>0.37581885477886884</v>
      </c>
      <c r="C49" s="1">
        <v>0.18386706948640483</v>
      </c>
      <c r="D49" s="1">
        <v>6.9100711485927363E-2</v>
      </c>
      <c r="E49" s="1">
        <v>0.97564613819122303</v>
      </c>
      <c r="F49" s="3">
        <f t="shared" si="0"/>
        <v>0.38519996140773916</v>
      </c>
      <c r="G49" s="1">
        <v>0.19364253582802601</v>
      </c>
      <c r="H49" s="3">
        <f t="shared" si="1"/>
        <v>7.4591097327852365E-2</v>
      </c>
      <c r="I49" s="3">
        <f t="shared" si="4"/>
        <v>1.0490574591304203E-3</v>
      </c>
      <c r="J49" s="3">
        <f t="shared" si="5"/>
        <v>5.7226763151132509E-3</v>
      </c>
      <c r="K49" s="3">
        <f t="shared" si="6"/>
        <v>6.7777371905182182E-3</v>
      </c>
      <c r="L49" s="1">
        <v>7.4990776582276028E-2</v>
      </c>
      <c r="M49" s="1">
        <v>0.105405771616269</v>
      </c>
      <c r="N49" s="3">
        <f t="shared" si="11"/>
        <v>0.10043114827069401</v>
      </c>
      <c r="O49" s="1">
        <v>3.4500000000000003E-2</v>
      </c>
      <c r="P49" s="3">
        <f t="shared" si="3"/>
        <v>3.460071148592736E-2</v>
      </c>
      <c r="Q49" s="1">
        <v>5.9547202478470902E-2</v>
      </c>
      <c r="R49" s="3">
        <f t="shared" si="12"/>
        <v>5.5884084099511497E-2</v>
      </c>
      <c r="S49" s="3">
        <f t="shared" si="7"/>
        <v>4.0490776582276025E-2</v>
      </c>
      <c r="T49" s="1">
        <v>5.09027068707281E-2</v>
      </c>
      <c r="U49" s="3">
        <f t="shared" si="13"/>
        <v>4.2437899048378303E-2</v>
      </c>
      <c r="V49">
        <v>0</v>
      </c>
      <c r="W49">
        <v>2375.5</v>
      </c>
      <c r="X49" s="1">
        <v>1.0775995514019276</v>
      </c>
      <c r="Y49" s="2">
        <f t="shared" si="8"/>
        <v>2559.8377343552793</v>
      </c>
      <c r="Z49">
        <v>608.6</v>
      </c>
      <c r="AA49" s="3">
        <f t="shared" si="9"/>
        <v>424.26226564472063</v>
      </c>
      <c r="AB49" s="3">
        <f t="shared" si="10"/>
        <v>4.8170924108908497E-2</v>
      </c>
      <c r="AC49" s="3"/>
      <c r="AD49" s="1">
        <v>7.3962792466979468E-2</v>
      </c>
      <c r="AG49" s="1"/>
      <c r="AH49" s="1"/>
    </row>
    <row r="50" spans="1:34" x14ac:dyDescent="0.25">
      <c r="A50">
        <v>1993</v>
      </c>
      <c r="B50" s="1">
        <v>0.37690651424185428</v>
      </c>
      <c r="C50" s="1">
        <v>0.1847093391715158</v>
      </c>
      <c r="D50" s="1">
        <v>6.9618153175052405E-2</v>
      </c>
      <c r="E50" s="1">
        <v>0.97915554046630904</v>
      </c>
      <c r="F50" s="3">
        <f t="shared" si="0"/>
        <v>0.3849301757127962</v>
      </c>
      <c r="G50" s="1">
        <v>0.19487108293292299</v>
      </c>
      <c r="H50" s="3">
        <f t="shared" si="1"/>
        <v>7.5011760194712923E-2</v>
      </c>
      <c r="I50" s="3">
        <f t="shared" si="4"/>
        <v>-7.0037830210833985E-4</v>
      </c>
      <c r="J50" s="3">
        <f t="shared" si="5"/>
        <v>6.3444072328615597E-3</v>
      </c>
      <c r="K50" s="3">
        <f t="shared" si="6"/>
        <v>5.6395854455875138E-3</v>
      </c>
      <c r="L50" s="1">
        <v>9.0080624814904017E-2</v>
      </c>
      <c r="M50" s="1">
        <v>0.111011620996867</v>
      </c>
      <c r="N50" s="3">
        <f t="shared" si="11"/>
        <v>0.105405771616269</v>
      </c>
      <c r="O50" s="1">
        <v>3.0200000000000001E-2</v>
      </c>
      <c r="P50" s="3">
        <f t="shared" si="3"/>
        <v>3.9418153175052401E-2</v>
      </c>
      <c r="Q50" s="1">
        <v>6.3520506732741303E-2</v>
      </c>
      <c r="R50" s="3">
        <f t="shared" si="12"/>
        <v>5.9547202478470902E-2</v>
      </c>
      <c r="S50" s="3">
        <f t="shared" si="7"/>
        <v>5.9880624814904013E-2</v>
      </c>
      <c r="T50" s="1">
        <v>5.9359480602577799E-2</v>
      </c>
      <c r="U50" s="3">
        <f t="shared" si="13"/>
        <v>5.09027068707281E-2</v>
      </c>
      <c r="V50">
        <v>0</v>
      </c>
      <c r="W50">
        <v>2488.1999999999998</v>
      </c>
      <c r="X50" s="1">
        <v>1.0834885484570795</v>
      </c>
      <c r="Y50" s="2">
        <f t="shared" si="8"/>
        <v>2695.9362062709051</v>
      </c>
      <c r="Z50">
        <v>641.19999999999993</v>
      </c>
      <c r="AA50" s="3">
        <f t="shared" si="9"/>
        <v>433.4637937290945</v>
      </c>
      <c r="AB50" s="3">
        <f t="shared" si="10"/>
        <v>4.7063238907784508E-2</v>
      </c>
      <c r="AC50" s="3"/>
      <c r="AD50" s="1">
        <v>5.7132434192124756E-2</v>
      </c>
      <c r="AG50" s="1"/>
      <c r="AH50" s="1"/>
    </row>
    <row r="51" spans="1:34" x14ac:dyDescent="0.25">
      <c r="A51">
        <v>1994</v>
      </c>
      <c r="B51" s="1">
        <v>0.38506480161944967</v>
      </c>
      <c r="C51" s="1">
        <v>0.19531709927749535</v>
      </c>
      <c r="D51" s="1">
        <v>7.5209740086175092E-2</v>
      </c>
      <c r="E51" s="1">
        <v>1.0114442110061601</v>
      </c>
      <c r="F51" s="3">
        <f t="shared" si="0"/>
        <v>0.38070790007923083</v>
      </c>
      <c r="G51" s="1">
        <v>0.1961402630563</v>
      </c>
      <c r="H51" s="3">
        <f t="shared" si="1"/>
        <v>7.4672147669151909E-2</v>
      </c>
      <c r="I51" s="3">
        <f t="shared" si="4"/>
        <v>-1.0968939043936365E-2</v>
      </c>
      <c r="J51" s="3">
        <f t="shared" si="5"/>
        <v>6.5129217956565455E-3</v>
      </c>
      <c r="K51" s="3">
        <f t="shared" si="6"/>
        <v>-4.5274570904543232E-3</v>
      </c>
      <c r="L51" s="1">
        <v>0.1834304860350543</v>
      </c>
      <c r="M51" s="1">
        <v>0.116104450307964</v>
      </c>
      <c r="N51" s="3">
        <f t="shared" si="11"/>
        <v>0.111011620996867</v>
      </c>
      <c r="O51" s="1">
        <v>4.2900000000000001E-2</v>
      </c>
      <c r="P51" s="3">
        <f t="shared" si="3"/>
        <v>3.2309740086175091E-2</v>
      </c>
      <c r="Q51" s="1">
        <v>6.6605221913886695E-2</v>
      </c>
      <c r="R51" s="3">
        <f t="shared" si="12"/>
        <v>6.3520506732741303E-2</v>
      </c>
      <c r="S51" s="3">
        <f t="shared" si="7"/>
        <v>0.1405304860350543</v>
      </c>
      <c r="T51" s="1">
        <v>6.6652710276951299E-2</v>
      </c>
      <c r="U51" s="3">
        <f t="shared" si="13"/>
        <v>5.9359480602577799E-2</v>
      </c>
      <c r="V51">
        <v>0</v>
      </c>
      <c r="W51">
        <v>2634.8</v>
      </c>
      <c r="X51" s="1">
        <v>1.0997710317657223</v>
      </c>
      <c r="Y51" s="2">
        <f t="shared" si="8"/>
        <v>2897.6767144963255</v>
      </c>
      <c r="Z51">
        <v>729.90000000000009</v>
      </c>
      <c r="AA51" s="3">
        <f t="shared" si="9"/>
        <v>467.02328550367474</v>
      </c>
      <c r="AB51" s="3">
        <f t="shared" si="10"/>
        <v>4.8122619423103051E-2</v>
      </c>
      <c r="AC51" s="3"/>
      <c r="AD51" s="1">
        <v>5.7989423546240267E-2</v>
      </c>
      <c r="AG51" s="1"/>
      <c r="AH51" s="1"/>
    </row>
    <row r="52" spans="1:34" x14ac:dyDescent="0.25">
      <c r="A52">
        <v>1995</v>
      </c>
      <c r="B52" s="1">
        <v>0.37997680498951752</v>
      </c>
      <c r="C52" s="1">
        <v>0.20732105620179386</v>
      </c>
      <c r="D52" s="1">
        <v>7.8777192542609828E-2</v>
      </c>
      <c r="E52" s="1">
        <v>1.01938092708588</v>
      </c>
      <c r="F52" s="3">
        <f t="shared" si="0"/>
        <v>0.37275251566238649</v>
      </c>
      <c r="G52" s="1">
        <v>0.197262299316146</v>
      </c>
      <c r="H52" s="3">
        <f t="shared" si="1"/>
        <v>7.3530018315440079E-2</v>
      </c>
      <c r="I52" s="3">
        <f t="shared" si="4"/>
        <v>-2.0896294548100269E-2</v>
      </c>
      <c r="J52" s="3">
        <f t="shared" si="5"/>
        <v>5.7205809881264447E-3</v>
      </c>
      <c r="K52" s="3">
        <f t="shared" si="6"/>
        <v>-1.529525250528796E-2</v>
      </c>
      <c r="L52" s="1">
        <v>0.14505241942746389</v>
      </c>
      <c r="M52" s="1">
        <v>0.119330897235069</v>
      </c>
      <c r="N52" s="3">
        <f t="shared" si="11"/>
        <v>0.116104450307964</v>
      </c>
      <c r="O52" s="1">
        <v>5.5099999999999996E-2</v>
      </c>
      <c r="P52" s="3">
        <f t="shared" si="3"/>
        <v>2.3677192542609832E-2</v>
      </c>
      <c r="Q52" s="1">
        <v>6.7741368006143596E-2</v>
      </c>
      <c r="R52" s="3">
        <f t="shared" si="12"/>
        <v>6.6605221913886695E-2</v>
      </c>
      <c r="S52" s="3">
        <f t="shared" si="7"/>
        <v>8.9952419427463889E-2</v>
      </c>
      <c r="T52" s="1">
        <v>7.1632291120846597E-2</v>
      </c>
      <c r="U52" s="3">
        <f t="shared" si="13"/>
        <v>6.6652710276951299E-2</v>
      </c>
      <c r="V52">
        <v>0</v>
      </c>
      <c r="W52">
        <v>2776</v>
      </c>
      <c r="X52" s="1">
        <v>1.1047886520341375</v>
      </c>
      <c r="Y52" s="2">
        <f t="shared" si="8"/>
        <v>3066.8932980467657</v>
      </c>
      <c r="Z52">
        <v>825.2</v>
      </c>
      <c r="AA52" s="3">
        <f t="shared" si="9"/>
        <v>534.3067019532341</v>
      </c>
      <c r="AB52" s="3">
        <f t="shared" si="10"/>
        <v>5.100724907486278E-2</v>
      </c>
      <c r="AC52" s="3"/>
      <c r="AD52" s="1">
        <v>5.9400471566150283E-2</v>
      </c>
      <c r="AG52" s="1"/>
      <c r="AH52" s="1"/>
    </row>
    <row r="53" spans="1:34" x14ac:dyDescent="0.25">
      <c r="A53">
        <v>1996</v>
      </c>
      <c r="B53" s="1">
        <v>0.38545350876657952</v>
      </c>
      <c r="C53" s="1">
        <v>0.21532508842310155</v>
      </c>
      <c r="D53" s="1">
        <v>8.2997810858158494E-2</v>
      </c>
      <c r="E53" s="1">
        <v>1.0421992540359499</v>
      </c>
      <c r="F53" s="3">
        <f t="shared" si="0"/>
        <v>0.36984627198100412</v>
      </c>
      <c r="G53" s="1">
        <v>0.19804101219988701</v>
      </c>
      <c r="H53" s="3">
        <f t="shared" si="1"/>
        <v>7.3244730061472765E-2</v>
      </c>
      <c r="I53" s="3">
        <f t="shared" si="4"/>
        <v>-7.7967111133185885E-3</v>
      </c>
      <c r="J53" s="3">
        <f t="shared" si="5"/>
        <v>3.9476011708299286E-3</v>
      </c>
      <c r="K53" s="3">
        <f t="shared" si="6"/>
        <v>-3.8798882484081254E-3</v>
      </c>
      <c r="L53" s="1">
        <v>0.23496825570050367</v>
      </c>
      <c r="M53" s="1">
        <v>0.120010554960609</v>
      </c>
      <c r="N53" s="3">
        <f t="shared" si="11"/>
        <v>0.119330897235069</v>
      </c>
      <c r="O53" s="1">
        <v>5.0199999999999995E-2</v>
      </c>
      <c r="P53" s="3">
        <f t="shared" si="3"/>
        <v>3.2797810858158499E-2</v>
      </c>
      <c r="Q53" s="1">
        <v>6.6845912774609606E-2</v>
      </c>
      <c r="R53" s="3">
        <f t="shared" si="12"/>
        <v>6.7741368006143596E-2</v>
      </c>
      <c r="S53" s="3">
        <f t="shared" si="7"/>
        <v>0.18476825570050368</v>
      </c>
      <c r="T53" s="1">
        <v>7.3886591258492104E-2</v>
      </c>
      <c r="U53" s="3">
        <f t="shared" si="13"/>
        <v>7.1632291120846597E-2</v>
      </c>
      <c r="V53">
        <v>0</v>
      </c>
      <c r="W53">
        <v>2914.9</v>
      </c>
      <c r="X53" s="1">
        <v>1.1215398162853594</v>
      </c>
      <c r="Y53" s="2">
        <f t="shared" si="8"/>
        <v>3269.176410490194</v>
      </c>
      <c r="Z53">
        <v>907.09999999999991</v>
      </c>
      <c r="AA53" s="3">
        <f t="shared" si="9"/>
        <v>552.82358950980597</v>
      </c>
      <c r="AB53" s="3">
        <f t="shared" si="10"/>
        <v>5.0582237592396793E-2</v>
      </c>
      <c r="AC53" s="3"/>
      <c r="AD53" s="1">
        <v>4.7785455321685245E-2</v>
      </c>
      <c r="AG53" s="1"/>
      <c r="AH53" s="1"/>
    </row>
    <row r="54" spans="1:34" x14ac:dyDescent="0.25">
      <c r="A54">
        <v>1997</v>
      </c>
      <c r="B54" s="1">
        <v>0.39264159871689791</v>
      </c>
      <c r="C54" s="1">
        <v>0.21913081941833465</v>
      </c>
      <c r="D54" s="1">
        <v>8.6039875264558766E-2</v>
      </c>
      <c r="E54" s="1">
        <v>1.0718289613723799</v>
      </c>
      <c r="F54" s="3">
        <f t="shared" si="0"/>
        <v>0.36632859613548407</v>
      </c>
      <c r="G54" s="1">
        <v>0.19838059920178799</v>
      </c>
      <c r="H54" s="3">
        <f t="shared" si="1"/>
        <v>7.2672486406107129E-2</v>
      </c>
      <c r="I54" s="3">
        <f t="shared" si="4"/>
        <v>-9.5111837323067494E-3</v>
      </c>
      <c r="J54" s="3">
        <f t="shared" si="5"/>
        <v>1.7147306920357597E-3</v>
      </c>
      <c r="K54" s="3">
        <f t="shared" si="6"/>
        <v>-7.8127621589343388E-3</v>
      </c>
      <c r="L54" s="1">
        <v>0.17648785889732291</v>
      </c>
      <c r="M54" s="1">
        <v>0.117720707694663</v>
      </c>
      <c r="N54" s="3">
        <f t="shared" si="11"/>
        <v>0.120010554960609</v>
      </c>
      <c r="O54" s="1">
        <v>5.0700000000000002E-2</v>
      </c>
      <c r="P54" s="3">
        <f t="shared" si="3"/>
        <v>3.5339875264558764E-2</v>
      </c>
      <c r="Q54" s="1">
        <v>6.4655410304320801E-2</v>
      </c>
      <c r="R54" s="3">
        <f t="shared" si="12"/>
        <v>6.6845912774609606E-2</v>
      </c>
      <c r="S54" s="3">
        <f t="shared" si="7"/>
        <v>0.12578785889732291</v>
      </c>
      <c r="T54" s="1">
        <v>7.3187655902908003E-2</v>
      </c>
      <c r="U54" s="3">
        <f t="shared" si="13"/>
        <v>7.3886591258492104E-2</v>
      </c>
      <c r="V54">
        <v>0</v>
      </c>
      <c r="W54">
        <v>3123.9</v>
      </c>
      <c r="X54" s="1">
        <v>1.1266534782787281</v>
      </c>
      <c r="Y54" s="2">
        <f t="shared" si="8"/>
        <v>3519.5528007949188</v>
      </c>
      <c r="Z54">
        <v>990.80000000000007</v>
      </c>
      <c r="AA54" s="3">
        <f t="shared" si="9"/>
        <v>595.14719920508105</v>
      </c>
      <c r="AB54" s="3">
        <f t="shared" si="10"/>
        <v>5.1681863931829511E-2</v>
      </c>
      <c r="AC54" s="3"/>
      <c r="AD54" s="1">
        <v>4.4430146778104251E-2</v>
      </c>
      <c r="AG54" s="1"/>
      <c r="AH54" s="1"/>
    </row>
    <row r="55" spans="1:34" x14ac:dyDescent="0.25">
      <c r="A55">
        <v>1998</v>
      </c>
      <c r="B55" s="1">
        <v>0.39276562174392898</v>
      </c>
      <c r="C55" s="1">
        <v>0.20210385427776734</v>
      </c>
      <c r="D55" s="1">
        <v>7.9379445982251703E-2</v>
      </c>
      <c r="E55" s="1">
        <v>1.09457731246948</v>
      </c>
      <c r="F55" s="3">
        <f t="shared" si="0"/>
        <v>0.35882857909580546</v>
      </c>
      <c r="G55" s="1">
        <v>0.19835784769411399</v>
      </c>
      <c r="H55" s="3">
        <f t="shared" si="1"/>
        <v>7.1176464640581111E-2</v>
      </c>
      <c r="I55" s="3">
        <f t="shared" si="4"/>
        <v>-2.0473468680301421E-2</v>
      </c>
      <c r="J55" s="3">
        <f t="shared" si="5"/>
        <v>-1.1468615260534776E-4</v>
      </c>
      <c r="K55" s="3">
        <f t="shared" si="6"/>
        <v>-2.0585806809553464E-2</v>
      </c>
      <c r="L55" s="1">
        <v>6.0699689047568624E-2</v>
      </c>
      <c r="M55" s="1">
        <v>0.11318853409770301</v>
      </c>
      <c r="N55" s="3">
        <f t="shared" si="11"/>
        <v>0.117720707694663</v>
      </c>
      <c r="O55" s="1">
        <v>4.8099999999999997E-2</v>
      </c>
      <c r="P55" s="3">
        <f t="shared" si="3"/>
        <v>3.1279445982251707E-2</v>
      </c>
      <c r="Q55" s="1">
        <v>6.22559555525675E-2</v>
      </c>
      <c r="R55" s="3">
        <f t="shared" si="12"/>
        <v>6.4655410304320801E-2</v>
      </c>
      <c r="S55" s="3">
        <f t="shared" si="7"/>
        <v>1.2599689047568627E-2</v>
      </c>
      <c r="T55" s="1">
        <v>7.0416664354529396E-2</v>
      </c>
      <c r="U55" s="3">
        <f t="shared" si="13"/>
        <v>7.3187655902908003E-2</v>
      </c>
      <c r="V55">
        <v>0</v>
      </c>
      <c r="W55">
        <v>3396.8</v>
      </c>
      <c r="X55" s="1">
        <v>1.100586439828074</v>
      </c>
      <c r="Y55" s="2">
        <f t="shared" si="8"/>
        <v>3738.4720188080018</v>
      </c>
      <c r="Z55">
        <v>966.4</v>
      </c>
      <c r="AA55" s="3">
        <f t="shared" si="9"/>
        <v>624.72798119199797</v>
      </c>
      <c r="AB55" s="3">
        <f t="shared" si="10"/>
        <v>5.1314736172010933E-2</v>
      </c>
      <c r="AC55" s="3"/>
      <c r="AD55" s="1">
        <v>4.1352092186909661E-2</v>
      </c>
      <c r="AG55" s="1"/>
      <c r="AH55" s="1"/>
    </row>
    <row r="56" spans="1:34" x14ac:dyDescent="0.25">
      <c r="A56">
        <v>1999</v>
      </c>
      <c r="B56" s="1">
        <v>0.39532142643814377</v>
      </c>
      <c r="C56" s="1">
        <v>0.19922482145316472</v>
      </c>
      <c r="D56" s="1">
        <v>7.8757840598749601E-2</v>
      </c>
      <c r="E56" s="1">
        <v>1.1084233522415201</v>
      </c>
      <c r="F56" s="3">
        <f t="shared" si="0"/>
        <v>0.3566520189589123</v>
      </c>
      <c r="G56" s="1">
        <v>0.198256739057113</v>
      </c>
      <c r="H56" s="3">
        <f t="shared" si="1"/>
        <v>7.0708666256929592E-2</v>
      </c>
      <c r="I56" s="3">
        <f t="shared" si="4"/>
        <v>-6.0657379698623171E-3</v>
      </c>
      <c r="J56" s="3">
        <f t="shared" si="5"/>
        <v>-5.0972844370100745E-4</v>
      </c>
      <c r="K56" s="3">
        <f t="shared" si="6"/>
        <v>-6.5723745343879703E-3</v>
      </c>
      <c r="L56" s="1">
        <v>0.12254337168588664</v>
      </c>
      <c r="M56" s="1">
        <v>0.107729005753253</v>
      </c>
      <c r="N56" s="3">
        <f t="shared" si="11"/>
        <v>0.11318853409770301</v>
      </c>
      <c r="O56" s="1">
        <v>4.6600000000000003E-2</v>
      </c>
      <c r="P56" s="3">
        <f t="shared" si="3"/>
        <v>3.2157840598749599E-2</v>
      </c>
      <c r="Q56" s="1">
        <v>6.1313089373596599E-2</v>
      </c>
      <c r="R56" s="3">
        <f t="shared" si="12"/>
        <v>6.22559555525675E-2</v>
      </c>
      <c r="S56" s="3">
        <f t="shared" si="7"/>
        <v>7.5943371685886635E-2</v>
      </c>
      <c r="T56" s="1">
        <v>6.6980919354762497E-2</v>
      </c>
      <c r="U56" s="3">
        <f t="shared" si="13"/>
        <v>7.0416664354529396E-2</v>
      </c>
      <c r="V56">
        <v>0</v>
      </c>
      <c r="W56">
        <v>3628.6</v>
      </c>
      <c r="X56" s="1">
        <v>1.0967370203587168</v>
      </c>
      <c r="Y56" s="2">
        <f t="shared" si="8"/>
        <v>3979.6199520736395</v>
      </c>
      <c r="Z56">
        <v>1012.6000000000004</v>
      </c>
      <c r="AA56" s="3">
        <f t="shared" si="9"/>
        <v>661.5800479263612</v>
      </c>
      <c r="AB56" s="3">
        <f t="shared" si="10"/>
        <v>5.1456266993775882E-2</v>
      </c>
      <c r="AC56" s="3"/>
      <c r="AD56" s="1">
        <v>3.9510147219643993E-2</v>
      </c>
      <c r="AG56" s="1"/>
      <c r="AH56" s="1"/>
    </row>
    <row r="57" spans="1:34" x14ac:dyDescent="0.25">
      <c r="A57">
        <v>2000</v>
      </c>
      <c r="B57" s="1">
        <v>0.39718481449161236</v>
      </c>
      <c r="C57" s="1">
        <v>0.18569453405843855</v>
      </c>
      <c r="D57" s="1">
        <v>7.3755049062107308E-2</v>
      </c>
      <c r="E57" s="1">
        <v>1.1150987148284901</v>
      </c>
      <c r="F57" s="3">
        <f t="shared" si="0"/>
        <v>0.35618803000118437</v>
      </c>
      <c r="G57" s="1">
        <v>0.19839867619409299</v>
      </c>
      <c r="H57" s="3">
        <f t="shared" si="1"/>
        <v>7.0667233628416856E-2</v>
      </c>
      <c r="I57" s="3">
        <f t="shared" si="4"/>
        <v>-1.3009570479436405E-3</v>
      </c>
      <c r="J57" s="3">
        <f t="shared" si="5"/>
        <v>7.1592591331337552E-4</v>
      </c>
      <c r="K57" s="3">
        <f t="shared" si="6"/>
        <v>-5.8596252349296662E-4</v>
      </c>
      <c r="L57" s="1">
        <v>4.926210833552673E-2</v>
      </c>
      <c r="M57" s="1">
        <v>0.102132208903861</v>
      </c>
      <c r="N57" s="3">
        <f t="shared" si="11"/>
        <v>0.107729005753253</v>
      </c>
      <c r="O57" s="1">
        <v>5.8499999999999996E-2</v>
      </c>
      <c r="P57" s="3">
        <f t="shared" si="3"/>
        <v>1.5255049062107312E-2</v>
      </c>
      <c r="Q57" s="1">
        <v>6.2327793066129497E-2</v>
      </c>
      <c r="R57" s="3">
        <f t="shared" si="12"/>
        <v>6.1313089373596599E-2</v>
      </c>
      <c r="S57" s="3">
        <f t="shared" si="7"/>
        <v>-9.2378916644732662E-3</v>
      </c>
      <c r="T57" s="1">
        <v>6.3709557001468103E-2</v>
      </c>
      <c r="U57" s="3">
        <f t="shared" si="13"/>
        <v>6.6980919354762497E-2</v>
      </c>
      <c r="V57">
        <v>0</v>
      </c>
      <c r="W57">
        <v>3950.7</v>
      </c>
      <c r="X57" s="1">
        <v>1.0917620407608748</v>
      </c>
      <c r="Y57" s="2">
        <f t="shared" si="8"/>
        <v>4313.2242944339878</v>
      </c>
      <c r="Z57">
        <v>1007.2999999999998</v>
      </c>
      <c r="AA57" s="3">
        <f t="shared" si="9"/>
        <v>644.77570556601222</v>
      </c>
      <c r="AB57" s="3">
        <f t="shared" si="10"/>
        <v>4.7210824777202516E-2</v>
      </c>
      <c r="AC57" s="3"/>
      <c r="AD57" s="1">
        <v>4.8764782564484258E-2</v>
      </c>
      <c r="AG57" s="1"/>
      <c r="AH57" s="1"/>
    </row>
    <row r="58" spans="1:34" x14ac:dyDescent="0.25">
      <c r="A58">
        <v>2001</v>
      </c>
      <c r="B58" s="1">
        <v>0.36945784214122335</v>
      </c>
      <c r="C58" s="1">
        <v>0.17844875346260389</v>
      </c>
      <c r="D58" s="1">
        <v>6.5929291387084796E-2</v>
      </c>
      <c r="E58" s="1">
        <v>1.0632525682449301</v>
      </c>
      <c r="F58" s="3">
        <f t="shared" si="0"/>
        <v>0.34747890875173065</v>
      </c>
      <c r="G58" s="1">
        <v>0.19911449461778899</v>
      </c>
      <c r="H58" s="3">
        <f t="shared" si="1"/>
        <v>6.9188087306441659E-2</v>
      </c>
      <c r="I58" s="3">
        <f t="shared" si="4"/>
        <v>-2.4450909395873799E-2</v>
      </c>
      <c r="J58" s="3">
        <f t="shared" si="5"/>
        <v>3.6079798385131312E-3</v>
      </c>
      <c r="K58" s="3">
        <f t="shared" si="6"/>
        <v>-2.0931147945494222E-2</v>
      </c>
      <c r="L58" s="1">
        <v>8.1704566531175665E-3</v>
      </c>
      <c r="M58" s="1">
        <v>9.7335939734544505E-2</v>
      </c>
      <c r="N58" s="3">
        <f t="shared" si="11"/>
        <v>0.102132208903861</v>
      </c>
      <c r="O58" s="1">
        <v>3.4500000000000003E-2</v>
      </c>
      <c r="P58" s="3">
        <f t="shared" si="3"/>
        <v>3.1429291387084793E-2</v>
      </c>
      <c r="Q58" s="1">
        <v>6.5769917035151504E-2</v>
      </c>
      <c r="R58" s="3">
        <f t="shared" si="12"/>
        <v>6.2327793066129497E-2</v>
      </c>
      <c r="S58" s="3">
        <f t="shared" si="7"/>
        <v>-2.6329543346882436E-2</v>
      </c>
      <c r="T58" s="1">
        <v>6.1520904198959399E-2</v>
      </c>
      <c r="U58" s="3">
        <f t="shared" si="13"/>
        <v>6.3709557001468103E-2</v>
      </c>
      <c r="V58">
        <v>0</v>
      </c>
      <c r="W58">
        <v>3986.2</v>
      </c>
      <c r="X58" s="1">
        <v>1.0973629913609386</v>
      </c>
      <c r="Y58" s="2">
        <f t="shared" si="8"/>
        <v>4374.3083561629737</v>
      </c>
      <c r="Z58">
        <v>966.3</v>
      </c>
      <c r="AA58" s="3">
        <f t="shared" si="9"/>
        <v>578.19164383702628</v>
      </c>
      <c r="AB58" s="3">
        <f t="shared" si="10"/>
        <v>3.9449203522828172E-2</v>
      </c>
      <c r="AC58" s="3"/>
      <c r="AD58" s="1">
        <v>3.8688763607497109E-2</v>
      </c>
      <c r="AG58" s="1"/>
      <c r="AH58" s="1"/>
    </row>
    <row r="59" spans="1:34" x14ac:dyDescent="0.25">
      <c r="A59">
        <v>2002</v>
      </c>
      <c r="B59" s="1">
        <v>0.35583018319759485</v>
      </c>
      <c r="C59" s="1">
        <v>0.18413468553917992</v>
      </c>
      <c r="D59" s="1">
        <v>6.5520678888437919E-2</v>
      </c>
      <c r="E59" s="1">
        <v>1.0390701293945299</v>
      </c>
      <c r="F59" s="3">
        <f t="shared" si="0"/>
        <v>0.34245059417205886</v>
      </c>
      <c r="G59" s="1">
        <v>0.20060804307899699</v>
      </c>
      <c r="H59" s="3">
        <f t="shared" si="1"/>
        <v>6.8698343548096494E-2</v>
      </c>
      <c r="I59" s="3">
        <f t="shared" si="4"/>
        <v>-1.4470848310578877E-2</v>
      </c>
      <c r="J59" s="3">
        <f t="shared" si="5"/>
        <v>7.5009529772052108E-3</v>
      </c>
      <c r="K59" s="3">
        <f t="shared" si="6"/>
        <v>-7.0784404860917416E-3</v>
      </c>
      <c r="L59" s="1">
        <v>7.7220454033274086E-2</v>
      </c>
      <c r="M59" s="1">
        <v>9.3749672341278303E-2</v>
      </c>
      <c r="N59" s="3">
        <f t="shared" si="11"/>
        <v>9.7335939734544505E-2</v>
      </c>
      <c r="O59" s="1">
        <v>1.6200000000000003E-2</v>
      </c>
      <c r="P59" s="3">
        <f t="shared" si="3"/>
        <v>4.9320678888437913E-2</v>
      </c>
      <c r="Q59" s="1">
        <v>7.1219033754986699E-2</v>
      </c>
      <c r="R59" s="3">
        <f t="shared" si="12"/>
        <v>6.5769917035151504E-2</v>
      </c>
      <c r="S59" s="3">
        <f t="shared" si="7"/>
        <v>6.102045403327408E-2</v>
      </c>
      <c r="T59" s="1">
        <v>6.0604192281534998E-2</v>
      </c>
      <c r="U59" s="3">
        <f t="shared" si="13"/>
        <v>6.1520904198959399E-2</v>
      </c>
      <c r="V59">
        <v>0</v>
      </c>
      <c r="W59">
        <v>3980.7</v>
      </c>
      <c r="X59" s="1">
        <v>1.1199477829548072</v>
      </c>
      <c r="Y59" s="2">
        <f t="shared" si="8"/>
        <v>4458.1761396082011</v>
      </c>
      <c r="Z59">
        <v>1009.5000000000001</v>
      </c>
      <c r="AA59" s="3">
        <f t="shared" si="9"/>
        <v>532.02386039179873</v>
      </c>
      <c r="AB59" s="3">
        <f t="shared" si="10"/>
        <v>3.4530524534639097E-2</v>
      </c>
      <c r="AC59" s="3"/>
      <c r="AD59" s="1">
        <v>2.8962843053612804E-2</v>
      </c>
      <c r="AG59" s="1"/>
      <c r="AH59" s="1"/>
    </row>
    <row r="60" spans="1:34" x14ac:dyDescent="0.25">
      <c r="A60">
        <v>2003</v>
      </c>
      <c r="B60" s="1">
        <v>0.35327708964860338</v>
      </c>
      <c r="C60" s="1">
        <v>0.19001979920452752</v>
      </c>
      <c r="D60" s="1">
        <v>6.7129641638587478E-2</v>
      </c>
      <c r="E60" s="1">
        <v>1.04768621921539</v>
      </c>
      <c r="F60" s="3">
        <f t="shared" si="0"/>
        <v>0.3371974195796637</v>
      </c>
      <c r="G60" s="1">
        <v>0.20287602538233199</v>
      </c>
      <c r="H60" s="3">
        <f t="shared" si="1"/>
        <v>6.84092722535007E-2</v>
      </c>
      <c r="I60" s="3">
        <f t="shared" si="4"/>
        <v>-1.5339948832898798E-2</v>
      </c>
      <c r="J60" s="3">
        <f t="shared" si="5"/>
        <v>1.1305540239191281E-2</v>
      </c>
      <c r="K60" s="3">
        <f t="shared" si="6"/>
        <v>-4.2078350025049893E-3</v>
      </c>
      <c r="L60" s="1">
        <v>9.976838279811491E-2</v>
      </c>
      <c r="M60" s="1">
        <v>9.0891521422694702E-2</v>
      </c>
      <c r="N60" s="3">
        <f t="shared" si="11"/>
        <v>9.3749672341278303E-2</v>
      </c>
      <c r="O60" s="1">
        <v>1.0200000000000001E-2</v>
      </c>
      <c r="P60" s="3">
        <f t="shared" si="3"/>
        <v>5.6929641638587478E-2</v>
      </c>
      <c r="Q60" s="1">
        <v>7.7131016529607702E-2</v>
      </c>
      <c r="R60" s="3">
        <f t="shared" si="12"/>
        <v>7.1219033754986699E-2</v>
      </c>
      <c r="S60" s="3">
        <f t="shared" si="7"/>
        <v>8.9568382798114909E-2</v>
      </c>
      <c r="T60" s="1">
        <v>6.02704435415038E-2</v>
      </c>
      <c r="U60" s="3">
        <f t="shared" si="13"/>
        <v>6.0604192281534998E-2</v>
      </c>
      <c r="V60">
        <v>0</v>
      </c>
      <c r="W60">
        <v>4105.5</v>
      </c>
      <c r="X60" s="1">
        <v>1.1254055725077678</v>
      </c>
      <c r="Y60" s="2">
        <f t="shared" si="8"/>
        <v>4620.352577930641</v>
      </c>
      <c r="Z60">
        <v>1084.5</v>
      </c>
      <c r="AA60" s="3">
        <f t="shared" si="9"/>
        <v>569.64742206935898</v>
      </c>
      <c r="AB60" s="3">
        <f t="shared" si="10"/>
        <v>3.5260698297705166E-2</v>
      </c>
      <c r="AC60" s="3"/>
      <c r="AD60" s="1">
        <v>2.2565492448344052E-2</v>
      </c>
      <c r="AG60" s="1"/>
      <c r="AH60" s="1"/>
    </row>
    <row r="61" spans="1:34" x14ac:dyDescent="0.25">
      <c r="A61">
        <v>2004</v>
      </c>
      <c r="B61" s="1">
        <v>0.36318922096742573</v>
      </c>
      <c r="C61" s="1">
        <v>0.2134347357770017</v>
      </c>
      <c r="D61" s="1">
        <v>7.75171954142376E-2</v>
      </c>
      <c r="E61" s="1">
        <v>1.0378708839416499</v>
      </c>
      <c r="F61" s="3">
        <f t="shared" si="0"/>
        <v>0.34993680484425704</v>
      </c>
      <c r="G61" s="1">
        <v>0.20575006490162301</v>
      </c>
      <c r="H61" s="3">
        <f t="shared" si="1"/>
        <v>7.1999520308172471E-2</v>
      </c>
      <c r="I61" s="3">
        <f t="shared" si="4"/>
        <v>3.7780197963773743E-2</v>
      </c>
      <c r="J61" s="3">
        <f t="shared" si="5"/>
        <v>1.416648179041724E-2</v>
      </c>
      <c r="K61" s="3">
        <f t="shared" si="6"/>
        <v>5.2481892240683115E-2</v>
      </c>
      <c r="L61" s="1">
        <v>0.23399438615982346</v>
      </c>
      <c r="M61" s="1">
        <v>8.8114104954012507E-2</v>
      </c>
      <c r="N61" s="3">
        <f t="shared" si="11"/>
        <v>9.0891521422694702E-2</v>
      </c>
      <c r="O61" s="1">
        <v>1.38E-2</v>
      </c>
      <c r="P61" s="3">
        <f t="shared" si="3"/>
        <v>6.3717195414237593E-2</v>
      </c>
      <c r="Q61" s="1">
        <v>8.20195483254373E-2</v>
      </c>
      <c r="R61" s="3">
        <f t="shared" si="12"/>
        <v>7.7131016529607702E-2</v>
      </c>
      <c r="S61" s="3">
        <f t="shared" si="7"/>
        <v>0.22019438615982345</v>
      </c>
      <c r="T61" s="1">
        <v>5.9834638348359399E-2</v>
      </c>
      <c r="U61" s="3">
        <f t="shared" si="13"/>
        <v>6.02704435415038E-2</v>
      </c>
      <c r="V61">
        <v>0</v>
      </c>
      <c r="W61">
        <v>4265.8999999999996</v>
      </c>
      <c r="X61" s="1">
        <v>1.1425301726844495</v>
      </c>
      <c r="Y61" s="2">
        <f t="shared" si="8"/>
        <v>4873.9194636545926</v>
      </c>
      <c r="Z61">
        <v>1307.8000000000002</v>
      </c>
      <c r="AA61" s="3">
        <f t="shared" si="9"/>
        <v>699.7805363454072</v>
      </c>
      <c r="AB61" s="3">
        <f t="shared" si="10"/>
        <v>4.1478073545623891E-2</v>
      </c>
      <c r="AC61" s="3"/>
      <c r="AD61" s="1">
        <v>2.4097420018320066E-2</v>
      </c>
      <c r="AG61" s="1"/>
      <c r="AH61" s="1"/>
    </row>
    <row r="62" spans="1:34" x14ac:dyDescent="0.25">
      <c r="A62">
        <v>2005</v>
      </c>
      <c r="B62" s="1">
        <v>0.35930883983920453</v>
      </c>
      <c r="C62" s="1">
        <v>0.22875955498372819</v>
      </c>
      <c r="D62" s="1">
        <v>8.2195330303336089E-2</v>
      </c>
      <c r="E62" s="1">
        <v>1.03080022335052</v>
      </c>
      <c r="F62" s="3">
        <f t="shared" si="0"/>
        <v>0.34857272214329238</v>
      </c>
      <c r="G62" s="1">
        <v>0.208933024756873</v>
      </c>
      <c r="H62" s="3">
        <f t="shared" si="1"/>
        <v>7.2828353185135128E-2</v>
      </c>
      <c r="I62" s="3">
        <f t="shared" si="4"/>
        <v>-3.8980829740723477E-3</v>
      </c>
      <c r="J62" s="3">
        <f t="shared" si="5"/>
        <v>1.5470030868626417E-2</v>
      </c>
      <c r="K62" s="3">
        <f t="shared" si="6"/>
        <v>1.1511644430616919E-2</v>
      </c>
      <c r="L62" s="1">
        <v>0.16602402095016847</v>
      </c>
      <c r="M62" s="1">
        <v>8.4859125696223697E-2</v>
      </c>
      <c r="N62" s="3">
        <f t="shared" si="11"/>
        <v>8.8114104954012507E-2</v>
      </c>
      <c r="O62" s="1">
        <v>3.1600000000000003E-2</v>
      </c>
      <c r="P62" s="3">
        <f t="shared" si="3"/>
        <v>5.0595330303336086E-2</v>
      </c>
      <c r="Q62" s="1">
        <v>8.4699001943601901E-2</v>
      </c>
      <c r="R62" s="3">
        <f t="shared" si="12"/>
        <v>8.20195483254373E-2</v>
      </c>
      <c r="S62" s="3">
        <f t="shared" si="7"/>
        <v>0.13442402095016848</v>
      </c>
      <c r="T62" s="1">
        <v>5.8905052636180497E-2</v>
      </c>
      <c r="U62" s="3">
        <f t="shared" si="13"/>
        <v>5.9834638348359399E-2</v>
      </c>
      <c r="V62">
        <v>0</v>
      </c>
      <c r="W62">
        <v>4498.5</v>
      </c>
      <c r="X62" s="1">
        <v>1.1510415966903016</v>
      </c>
      <c r="Y62" s="2">
        <f t="shared" si="8"/>
        <v>5177.9606227113218</v>
      </c>
      <c r="Z62">
        <v>1511.3000000000002</v>
      </c>
      <c r="AA62" s="3">
        <f t="shared" si="9"/>
        <v>831.83937728867841</v>
      </c>
      <c r="AB62" s="3">
        <f t="shared" si="10"/>
        <v>4.5241389780694974E-2</v>
      </c>
      <c r="AC62" s="3"/>
      <c r="AD62" s="1">
        <v>2.7830400917681949E-2</v>
      </c>
      <c r="AG62" s="1"/>
      <c r="AH62" s="1"/>
    </row>
    <row r="63" spans="1:34" x14ac:dyDescent="0.25">
      <c r="A63">
        <v>2006</v>
      </c>
      <c r="B63" s="1">
        <v>0.34950581478599657</v>
      </c>
      <c r="C63" s="1">
        <v>0.23525145067698255</v>
      </c>
      <c r="D63" s="1">
        <v>8.2221749948446471E-2</v>
      </c>
      <c r="E63" s="1">
        <v>1.0236576795578001</v>
      </c>
      <c r="F63" s="3">
        <f t="shared" si="0"/>
        <v>0.34142841085017422</v>
      </c>
      <c r="G63" s="1">
        <v>0.212204267419069</v>
      </c>
      <c r="H63" s="3">
        <f t="shared" si="1"/>
        <v>7.2452565800518134E-2</v>
      </c>
      <c r="I63" s="3">
        <f t="shared" si="4"/>
        <v>-2.0495898959590031E-2</v>
      </c>
      <c r="J63" s="3">
        <f t="shared" si="5"/>
        <v>1.565689610822707E-2</v>
      </c>
      <c r="K63" s="3">
        <f t="shared" si="6"/>
        <v>-5.1599050120180179E-3</v>
      </c>
      <c r="L63" s="1">
        <v>9.608433635981628E-2</v>
      </c>
      <c r="M63" s="1">
        <v>8.2027145360779805E-2</v>
      </c>
      <c r="N63" s="3">
        <f t="shared" si="11"/>
        <v>8.4859125696223697E-2</v>
      </c>
      <c r="O63" s="1">
        <v>4.7300000000000002E-2</v>
      </c>
      <c r="P63" s="3">
        <f t="shared" si="3"/>
        <v>3.4921749948446469E-2</v>
      </c>
      <c r="Q63" s="1">
        <v>8.5859554701974095E-2</v>
      </c>
      <c r="R63" s="3">
        <f t="shared" si="12"/>
        <v>8.4699001943601901E-2</v>
      </c>
      <c r="S63" s="3">
        <f t="shared" si="7"/>
        <v>4.8784336359816279E-2</v>
      </c>
      <c r="T63" s="1">
        <v>5.8693615955562099E-2</v>
      </c>
      <c r="U63" s="3">
        <f t="shared" si="13"/>
        <v>5.8905052636180497E-2</v>
      </c>
      <c r="V63">
        <v>0</v>
      </c>
      <c r="W63">
        <v>4743.3999999999996</v>
      </c>
      <c r="X63" s="1">
        <v>1.1536728969972203</v>
      </c>
      <c r="Y63" s="2">
        <f t="shared" si="8"/>
        <v>5472.3320196166142</v>
      </c>
      <c r="Z63">
        <v>1654.1</v>
      </c>
      <c r="AA63" s="3">
        <f t="shared" si="9"/>
        <v>925.16798038338584</v>
      </c>
      <c r="AB63" s="3">
        <f t="shared" si="10"/>
        <v>4.5988108544460421E-2</v>
      </c>
      <c r="AC63" s="3"/>
      <c r="AD63" s="1">
        <v>3.657379469833752E-2</v>
      </c>
      <c r="AG63" s="1"/>
      <c r="AH63" s="1"/>
    </row>
    <row r="64" spans="1:34" x14ac:dyDescent="0.25">
      <c r="A64">
        <v>2007</v>
      </c>
      <c r="B64" s="1">
        <v>0.32719943149020247</v>
      </c>
      <c r="C64" s="1">
        <v>0.21706706216507396</v>
      </c>
      <c r="D64" s="1">
        <v>7.1024219335660638E-2</v>
      </c>
      <c r="E64" s="1">
        <v>0.98620384931564298</v>
      </c>
      <c r="F64" s="3">
        <f t="shared" si="0"/>
        <v>0.33177667245697345</v>
      </c>
      <c r="G64" s="1">
        <v>0.215541825111632</v>
      </c>
      <c r="H64" s="3">
        <f t="shared" si="1"/>
        <v>7.1511749510840189E-2</v>
      </c>
      <c r="I64" s="3">
        <f t="shared" si="4"/>
        <v>-2.8268703149709862E-2</v>
      </c>
      <c r="J64" s="3">
        <f t="shared" si="5"/>
        <v>1.5728042292249667E-2</v>
      </c>
      <c r="K64" s="3">
        <f t="shared" si="6"/>
        <v>-1.2985272216145871E-2</v>
      </c>
      <c r="L64" s="1">
        <v>-7.4286320232904074E-2</v>
      </c>
      <c r="M64" s="1">
        <v>8.1330134402170504E-2</v>
      </c>
      <c r="N64" s="3">
        <f t="shared" si="11"/>
        <v>8.2027145360779805E-2</v>
      </c>
      <c r="O64" s="1">
        <v>4.41E-2</v>
      </c>
      <c r="P64" s="3">
        <f t="shared" si="3"/>
        <v>2.6924219335660637E-2</v>
      </c>
      <c r="Q64" s="1">
        <v>8.7612393898989893E-2</v>
      </c>
      <c r="R64" s="3">
        <f t="shared" si="12"/>
        <v>8.5859554701974095E-2</v>
      </c>
      <c r="S64" s="3">
        <f t="shared" si="7"/>
        <v>-0.11838632023290407</v>
      </c>
      <c r="T64" s="1">
        <v>6.1167207330737203E-2</v>
      </c>
      <c r="U64" s="3">
        <f t="shared" si="13"/>
        <v>5.8693615955562099E-2</v>
      </c>
      <c r="V64">
        <v>0</v>
      </c>
      <c r="W64">
        <v>4944.1000000000004</v>
      </c>
      <c r="X64" s="1">
        <v>1.154711892675216</v>
      </c>
      <c r="Y64" s="2">
        <f t="shared" si="8"/>
        <v>5709.0110685755362</v>
      </c>
      <c r="Z64">
        <v>1551.4000000000003</v>
      </c>
      <c r="AA64" s="3">
        <f t="shared" si="9"/>
        <v>786.48893142446468</v>
      </c>
      <c r="AB64" s="3">
        <f t="shared" si="10"/>
        <v>3.6006034788294783E-2</v>
      </c>
      <c r="AC64" s="3"/>
      <c r="AD64" s="1">
        <v>4.2307966373964855E-2</v>
      </c>
      <c r="AG64" s="1"/>
      <c r="AH64" s="1"/>
    </row>
    <row r="65" spans="1:34" x14ac:dyDescent="0.25">
      <c r="A65">
        <v>2008</v>
      </c>
      <c r="B65" s="1">
        <v>0.30288184303017796</v>
      </c>
      <c r="C65" s="1">
        <v>0.18472323771020596</v>
      </c>
      <c r="D65" s="1">
        <v>5.5949314688168855E-2</v>
      </c>
      <c r="E65" s="1">
        <v>0.92536759376525901</v>
      </c>
      <c r="F65" s="3">
        <f t="shared" si="0"/>
        <v>0.32730975784203975</v>
      </c>
      <c r="G65" s="1">
        <v>0.21915468738378799</v>
      </c>
      <c r="H65" s="3">
        <f t="shared" si="1"/>
        <v>7.1731467657535575E-2</v>
      </c>
      <c r="I65" s="3">
        <f t="shared" si="4"/>
        <v>-1.3463618710302772E-2</v>
      </c>
      <c r="J65" s="3">
        <f t="shared" si="5"/>
        <v>1.6761768952660683E-2</v>
      </c>
      <c r="K65" s="3">
        <f t="shared" si="6"/>
        <v>3.0724761762692676E-3</v>
      </c>
      <c r="L65" s="1">
        <v>-0.19323625012382256</v>
      </c>
      <c r="M65" s="1">
        <v>8.4620791821277297E-2</v>
      </c>
      <c r="N65" s="3">
        <f t="shared" si="11"/>
        <v>8.1330134402170504E-2</v>
      </c>
      <c r="O65" s="1">
        <v>1.4800000000000001E-2</v>
      </c>
      <c r="P65" s="3">
        <f t="shared" si="3"/>
        <v>4.1149314688168855E-2</v>
      </c>
      <c r="Q65" s="1">
        <v>9.2779111286066099E-2</v>
      </c>
      <c r="R65" s="3">
        <f t="shared" si="12"/>
        <v>8.7612393898989893E-2</v>
      </c>
      <c r="S65" s="3">
        <f t="shared" si="7"/>
        <v>-0.20803625012382257</v>
      </c>
      <c r="T65" s="1">
        <v>6.8193769626383502E-2</v>
      </c>
      <c r="U65" s="3">
        <f t="shared" si="13"/>
        <v>6.1167207330737203E-2</v>
      </c>
      <c r="V65">
        <v>0</v>
      </c>
      <c r="W65">
        <v>5025.8999999999996</v>
      </c>
      <c r="X65" s="1">
        <v>1.1838969133090169</v>
      </c>
      <c r="Y65" s="2">
        <f t="shared" si="8"/>
        <v>5950.1474965997877</v>
      </c>
      <c r="Z65">
        <v>1288.4999999999998</v>
      </c>
      <c r="AA65" s="3">
        <f t="shared" si="9"/>
        <v>364.25250340021194</v>
      </c>
      <c r="AB65" s="3">
        <f t="shared" si="10"/>
        <v>1.5816591337750683E-2</v>
      </c>
      <c r="AC65" s="3"/>
      <c r="AD65" s="1">
        <v>3.6497181944516122E-2</v>
      </c>
      <c r="AG65" s="1"/>
      <c r="AH65" s="1"/>
    </row>
    <row r="66" spans="1:34" x14ac:dyDescent="0.25">
      <c r="A66">
        <v>2009</v>
      </c>
      <c r="B66" s="1">
        <v>0.27656979369546331</v>
      </c>
      <c r="C66" s="1">
        <v>0.20949592630380459</v>
      </c>
      <c r="D66" s="1">
        <v>5.7940245117883211E-2</v>
      </c>
      <c r="E66" s="1">
        <v>0.89943754673004195</v>
      </c>
      <c r="F66" s="3">
        <f t="shared" si="0"/>
        <v>0.3074919372678504</v>
      </c>
      <c r="G66" s="1">
        <v>0.22326742553365</v>
      </c>
      <c r="H66" s="3">
        <f t="shared" si="1"/>
        <v>6.8652933206147571E-2</v>
      </c>
      <c r="I66" s="3">
        <f t="shared" si="4"/>
        <v>-6.054760085629185E-2</v>
      </c>
      <c r="J66" s="3">
        <f t="shared" si="5"/>
        <v>1.8766370908871899E-2</v>
      </c>
      <c r="K66" s="3">
        <f t="shared" si="6"/>
        <v>-4.2917488682731486E-2</v>
      </c>
      <c r="L66" s="1">
        <v>0.13034514527972388</v>
      </c>
      <c r="M66" s="1">
        <v>9.2195515274960296E-2</v>
      </c>
      <c r="N66" s="3">
        <f t="shared" si="11"/>
        <v>8.4620791821277297E-2</v>
      </c>
      <c r="O66" s="1">
        <v>1.6000000000000001E-3</v>
      </c>
      <c r="P66" s="3">
        <f t="shared" si="3"/>
        <v>5.6340245117883214E-2</v>
      </c>
      <c r="Q66" s="1">
        <v>0.102281174675629</v>
      </c>
      <c r="R66" s="3">
        <f t="shared" si="12"/>
        <v>9.2779111286066099E-2</v>
      </c>
      <c r="S66" s="3">
        <f t="shared" si="7"/>
        <v>0.12874514527972389</v>
      </c>
      <c r="T66" s="1">
        <v>7.9845573633871195E-2</v>
      </c>
      <c r="U66" s="3">
        <f t="shared" si="13"/>
        <v>6.8193769626383502E-2</v>
      </c>
      <c r="V66">
        <v>0</v>
      </c>
      <c r="W66">
        <v>4709.6000000000004</v>
      </c>
      <c r="X66" s="1">
        <v>1.1934116387006501</v>
      </c>
      <c r="Y66" s="2">
        <f t="shared" si="8"/>
        <v>5620.4914536245824</v>
      </c>
      <c r="Z66">
        <v>1416.8</v>
      </c>
      <c r="AA66" s="3">
        <f t="shared" si="9"/>
        <v>505.90854637541815</v>
      </c>
      <c r="AB66" s="3">
        <f t="shared" si="10"/>
        <v>2.0689204675482579E-2</v>
      </c>
      <c r="AC66" s="3"/>
      <c r="AD66" s="1">
        <v>1.3606428754510924E-2</v>
      </c>
      <c r="AG66" s="1"/>
      <c r="AH66" s="1"/>
    </row>
    <row r="67" spans="1:34" x14ac:dyDescent="0.25">
      <c r="A67">
        <v>2010</v>
      </c>
      <c r="B67" s="1">
        <v>0.30203149936329021</v>
      </c>
      <c r="C67" s="1">
        <v>0.24128790507251405</v>
      </c>
      <c r="D67" s="1">
        <v>7.2876547747278655E-2</v>
      </c>
      <c r="E67" s="1">
        <v>0.92929506301879905</v>
      </c>
      <c r="F67" s="3">
        <f t="shared" si="0"/>
        <v>0.32501141067310318</v>
      </c>
      <c r="G67" s="1">
        <v>0.22776006398549201</v>
      </c>
      <c r="H67" s="3">
        <f t="shared" si="1"/>
        <v>7.4024619690921001E-2</v>
      </c>
      <c r="I67" s="3">
        <f t="shared" si="4"/>
        <v>5.6975391162832123E-2</v>
      </c>
      <c r="J67" s="3">
        <f t="shared" si="5"/>
        <v>2.0122229837620909E-2</v>
      </c>
      <c r="K67" s="3">
        <f t="shared" si="6"/>
        <v>7.8244092916519792E-2</v>
      </c>
      <c r="L67" s="1">
        <v>0.34151928004860438</v>
      </c>
      <c r="M67" s="1">
        <v>0.10157249450186601</v>
      </c>
      <c r="N67" s="3">
        <f t="shared" si="11"/>
        <v>9.2195515274960296E-2</v>
      </c>
      <c r="O67" s="1">
        <v>1.4000000000000002E-3</v>
      </c>
      <c r="P67" s="3">
        <f t="shared" si="3"/>
        <v>7.1476547747278657E-2</v>
      </c>
      <c r="Q67" s="1">
        <v>0.114075260767245</v>
      </c>
      <c r="R67" s="3">
        <f t="shared" si="12"/>
        <v>0.102281174675629</v>
      </c>
      <c r="S67" s="3">
        <f t="shared" si="7"/>
        <v>0.34011928004860437</v>
      </c>
      <c r="T67" s="1">
        <v>9.3432952448306697E-2</v>
      </c>
      <c r="U67" s="3">
        <f t="shared" si="13"/>
        <v>7.9845573633871195E-2</v>
      </c>
      <c r="V67">
        <v>0</v>
      </c>
      <c r="W67">
        <v>4807.8999999999996</v>
      </c>
      <c r="X67" s="1">
        <v>1.1971811191904973</v>
      </c>
      <c r="Y67" s="2">
        <f t="shared" si="8"/>
        <v>5755.9271029559914</v>
      </c>
      <c r="Z67">
        <v>1738.6</v>
      </c>
      <c r="AA67" s="3">
        <f t="shared" si="9"/>
        <v>790.57289704400864</v>
      </c>
      <c r="AB67" s="3">
        <f t="shared" si="10"/>
        <v>3.3138285677632641E-2</v>
      </c>
      <c r="AC67" s="3"/>
      <c r="AD67" s="1">
        <v>8.96033113101939E-3</v>
      </c>
      <c r="AG67" s="1"/>
      <c r="AH67" s="1"/>
    </row>
    <row r="68" spans="1:34" x14ac:dyDescent="0.25">
      <c r="A68">
        <v>2011</v>
      </c>
      <c r="B68" s="1">
        <v>0.30815798238376291</v>
      </c>
      <c r="C68" s="1">
        <v>0.24459241164650722</v>
      </c>
      <c r="D68" s="1">
        <v>7.5373104079366454E-2</v>
      </c>
      <c r="E68" s="1">
        <v>0.94152617454528797</v>
      </c>
      <c r="F68" s="3">
        <f t="shared" si="0"/>
        <v>0.32729624594089318</v>
      </c>
      <c r="G68" s="1">
        <v>0.232374952908252</v>
      </c>
      <c r="H68" s="3">
        <f t="shared" si="1"/>
        <v>7.6055449737562716E-2</v>
      </c>
      <c r="I68" s="3">
        <f t="shared" si="4"/>
        <v>7.0300155402485132E-3</v>
      </c>
      <c r="J68" s="3">
        <f t="shared" si="5"/>
        <v>2.0262063691086629E-2</v>
      </c>
      <c r="K68" s="3">
        <f t="shared" si="6"/>
        <v>2.7434521853960891E-2</v>
      </c>
      <c r="L68" s="1">
        <v>8.0805881312647154E-2</v>
      </c>
      <c r="M68" s="1">
        <v>0.110650964087894</v>
      </c>
      <c r="N68" s="3">
        <f t="shared" si="11"/>
        <v>0.10157249450186601</v>
      </c>
      <c r="O68" s="1">
        <v>5.9999999999999995E-4</v>
      </c>
      <c r="P68" s="3">
        <f t="shared" si="3"/>
        <v>7.4773104079366451E-2</v>
      </c>
      <c r="Q68" s="1">
        <v>0.126111234513724</v>
      </c>
      <c r="R68" s="3">
        <f t="shared" si="12"/>
        <v>0.114075260767245</v>
      </c>
      <c r="S68" s="3">
        <f t="shared" si="7"/>
        <v>8.0205881312647151E-2</v>
      </c>
      <c r="T68" s="1">
        <v>0.106754783428457</v>
      </c>
      <c r="U68" s="3">
        <f t="shared" si="13"/>
        <v>9.3432952448306697E-2</v>
      </c>
      <c r="V68">
        <v>0</v>
      </c>
      <c r="W68">
        <v>5057.8</v>
      </c>
      <c r="X68" s="1">
        <v>1.213824467466561</v>
      </c>
      <c r="Y68" s="2">
        <f t="shared" si="8"/>
        <v>6139.281391552373</v>
      </c>
      <c r="Z68">
        <v>1862.3999999999999</v>
      </c>
      <c r="AA68" s="3">
        <f t="shared" si="9"/>
        <v>780.91860844762687</v>
      </c>
      <c r="AB68" s="3">
        <f t="shared" si="10"/>
        <v>3.1604520807580007E-2</v>
      </c>
      <c r="AC68" s="3"/>
      <c r="AD68" s="1">
        <v>1.5376370706317224E-2</v>
      </c>
      <c r="AG68" s="1"/>
      <c r="AH68" s="1"/>
    </row>
    <row r="69" spans="1:34" x14ac:dyDescent="0.25">
      <c r="A69">
        <f>+A68+1</f>
        <v>2012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">
        <f t="shared" si="11"/>
        <v>0.110650964087894</v>
      </c>
      <c r="O69" s="1"/>
      <c r="P69" s="1"/>
      <c r="Q69" s="1"/>
      <c r="R69" s="3">
        <f t="shared" si="12"/>
        <v>0.126111234513724</v>
      </c>
      <c r="S69" s="1"/>
      <c r="T69" s="1"/>
      <c r="U69" s="3">
        <f t="shared" si="13"/>
        <v>0.106754783428457</v>
      </c>
      <c r="V69">
        <v>0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2025-10-01T19:06:53Z</dcterms:created>
  <dcterms:modified xsi:type="dcterms:W3CDTF">2025-10-02T20:31:14Z</dcterms:modified>
</cp:coreProperties>
</file>
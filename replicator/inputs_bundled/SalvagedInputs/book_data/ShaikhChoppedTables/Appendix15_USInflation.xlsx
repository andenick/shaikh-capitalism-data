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rbprod1-my.sharepoint.com/personal/nicholas_anderson_ny_frb_org/Documents/Desktop/ShaikhChopped/"/>
    </mc:Choice>
  </mc:AlternateContent>
  <xr:revisionPtr revIDLastSave="105" documentId="8_{CCA5A1A9-AF0D-4669-A87F-0B8515BD9626}" xr6:coauthVersionLast="47" xr6:coauthVersionMax="47" xr10:uidLastSave="{138D390A-1CED-47B9-9A16-C5C8651CB5B3}"/>
  <bookViews>
    <workbookView xWindow="2205" yWindow="1035" windowWidth="21600" windowHeight="13215" xr2:uid="{5FDE79C8-74A7-46D3-9BE0-26C446D261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66" i="1" l="1"/>
  <c r="X6" i="1"/>
  <c r="Y6" i="1"/>
  <c r="Z6" i="1"/>
  <c r="AA6" i="1"/>
  <c r="X7" i="1"/>
  <c r="Y7" i="1"/>
  <c r="Z7" i="1"/>
  <c r="AA7" i="1"/>
  <c r="X8" i="1"/>
  <c r="Y8" i="1"/>
  <c r="Z8" i="1"/>
  <c r="AA8" i="1"/>
  <c r="X9" i="1"/>
  <c r="Y9" i="1"/>
  <c r="Z9" i="1"/>
  <c r="AA9" i="1"/>
  <c r="X10" i="1"/>
  <c r="Y10" i="1"/>
  <c r="Z10" i="1"/>
  <c r="AA10" i="1"/>
  <c r="X11" i="1"/>
  <c r="Y11" i="1"/>
  <c r="Z11" i="1"/>
  <c r="AA11" i="1"/>
  <c r="X12" i="1"/>
  <c r="Y12" i="1"/>
  <c r="Z12" i="1"/>
  <c r="AA12" i="1"/>
  <c r="X13" i="1"/>
  <c r="Y13" i="1"/>
  <c r="Z13" i="1"/>
  <c r="AA13" i="1"/>
  <c r="X14" i="1"/>
  <c r="Y14" i="1"/>
  <c r="Z14" i="1"/>
  <c r="AA14" i="1"/>
  <c r="X15" i="1"/>
  <c r="Y15" i="1"/>
  <c r="Z15" i="1"/>
  <c r="AA15" i="1"/>
  <c r="X16" i="1"/>
  <c r="Y16" i="1"/>
  <c r="Z16" i="1"/>
  <c r="AA16" i="1"/>
  <c r="X17" i="1"/>
  <c r="Y17" i="1"/>
  <c r="Z17" i="1"/>
  <c r="AA17" i="1"/>
  <c r="X18" i="1"/>
  <c r="Y18" i="1"/>
  <c r="Z18" i="1"/>
  <c r="AA18" i="1"/>
  <c r="X19" i="1"/>
  <c r="Y19" i="1"/>
  <c r="Z19" i="1"/>
  <c r="AA19" i="1"/>
  <c r="X20" i="1"/>
  <c r="Y20" i="1"/>
  <c r="Z20" i="1"/>
  <c r="AA20" i="1"/>
  <c r="X21" i="1"/>
  <c r="Y21" i="1"/>
  <c r="Z21" i="1"/>
  <c r="AA21" i="1"/>
  <c r="X22" i="1"/>
  <c r="Y22" i="1"/>
  <c r="Z22" i="1"/>
  <c r="AA22" i="1"/>
  <c r="X23" i="1"/>
  <c r="Y23" i="1"/>
  <c r="Z23" i="1"/>
  <c r="AA23" i="1"/>
  <c r="X24" i="1"/>
  <c r="Y24" i="1"/>
  <c r="Z24" i="1"/>
  <c r="AA24" i="1"/>
  <c r="X25" i="1"/>
  <c r="Y25" i="1"/>
  <c r="Z25" i="1"/>
  <c r="AA25" i="1"/>
  <c r="X26" i="1"/>
  <c r="Y26" i="1"/>
  <c r="Z26" i="1"/>
  <c r="AA26" i="1"/>
  <c r="X27" i="1"/>
  <c r="Y27" i="1"/>
  <c r="Z27" i="1"/>
  <c r="AA27" i="1"/>
  <c r="X28" i="1"/>
  <c r="Y28" i="1"/>
  <c r="Z28" i="1"/>
  <c r="AA28" i="1"/>
  <c r="X29" i="1"/>
  <c r="Y29" i="1"/>
  <c r="Z29" i="1"/>
  <c r="AA29" i="1"/>
  <c r="X30" i="1"/>
  <c r="Y30" i="1"/>
  <c r="Z30" i="1"/>
  <c r="AA30" i="1"/>
  <c r="X31" i="1"/>
  <c r="Y31" i="1"/>
  <c r="Z31" i="1"/>
  <c r="AA31" i="1"/>
  <c r="X32" i="1"/>
  <c r="Y32" i="1"/>
  <c r="Z32" i="1"/>
  <c r="AA32" i="1"/>
  <c r="X33" i="1"/>
  <c r="Y33" i="1"/>
  <c r="Z33" i="1"/>
  <c r="AA33" i="1"/>
  <c r="X34" i="1"/>
  <c r="Y34" i="1"/>
  <c r="Z34" i="1"/>
  <c r="AA34" i="1"/>
  <c r="X35" i="1"/>
  <c r="Y35" i="1"/>
  <c r="Z35" i="1"/>
  <c r="AA35" i="1"/>
  <c r="X36" i="1"/>
  <c r="Y36" i="1"/>
  <c r="Z36" i="1"/>
  <c r="AA36" i="1"/>
  <c r="X37" i="1"/>
  <c r="Y37" i="1"/>
  <c r="Z37" i="1"/>
  <c r="AA37" i="1"/>
  <c r="X38" i="1"/>
  <c r="Y38" i="1"/>
  <c r="Z38" i="1"/>
  <c r="AA38" i="1"/>
  <c r="X39" i="1"/>
  <c r="Y39" i="1"/>
  <c r="Z39" i="1"/>
  <c r="AA39" i="1"/>
  <c r="X40" i="1"/>
  <c r="Y40" i="1"/>
  <c r="Z40" i="1"/>
  <c r="AA40" i="1"/>
  <c r="X41" i="1"/>
  <c r="Y41" i="1"/>
  <c r="Z41" i="1"/>
  <c r="AA41" i="1"/>
  <c r="X42" i="1"/>
  <c r="Y42" i="1"/>
  <c r="Z42" i="1"/>
  <c r="AA42" i="1"/>
  <c r="X43" i="1"/>
  <c r="Y43" i="1"/>
  <c r="Z43" i="1"/>
  <c r="AA43" i="1"/>
  <c r="X44" i="1"/>
  <c r="Y44" i="1"/>
  <c r="Z44" i="1"/>
  <c r="AA44" i="1"/>
  <c r="X45" i="1"/>
  <c r="Y45" i="1"/>
  <c r="Z45" i="1"/>
  <c r="AA45" i="1"/>
  <c r="X46" i="1"/>
  <c r="Y46" i="1"/>
  <c r="Z46" i="1"/>
  <c r="AA46" i="1"/>
  <c r="X47" i="1"/>
  <c r="Y47" i="1"/>
  <c r="Z47" i="1"/>
  <c r="AA47" i="1"/>
  <c r="X48" i="1"/>
  <c r="Y48" i="1"/>
  <c r="Z48" i="1"/>
  <c r="AA48" i="1"/>
  <c r="X49" i="1"/>
  <c r="Y49" i="1"/>
  <c r="Z49" i="1"/>
  <c r="AA49" i="1"/>
  <c r="X50" i="1"/>
  <c r="Y50" i="1"/>
  <c r="Z50" i="1"/>
  <c r="AA50" i="1"/>
  <c r="X51" i="1"/>
  <c r="Y51" i="1"/>
  <c r="Z51" i="1"/>
  <c r="AA51" i="1"/>
  <c r="X52" i="1"/>
  <c r="Y52" i="1"/>
  <c r="Z52" i="1"/>
  <c r="AA52" i="1"/>
  <c r="X53" i="1"/>
  <c r="Y53" i="1"/>
  <c r="Z53" i="1"/>
  <c r="AA53" i="1"/>
  <c r="X54" i="1"/>
  <c r="Y54" i="1"/>
  <c r="Z54" i="1"/>
  <c r="AA54" i="1"/>
  <c r="X55" i="1"/>
  <c r="Y55" i="1"/>
  <c r="Z55" i="1"/>
  <c r="AA55" i="1"/>
  <c r="X56" i="1"/>
  <c r="Y56" i="1"/>
  <c r="Z56" i="1"/>
  <c r="AA56" i="1"/>
  <c r="X57" i="1"/>
  <c r="Y57" i="1"/>
  <c r="Z57" i="1"/>
  <c r="AA57" i="1"/>
  <c r="X58" i="1"/>
  <c r="Y58" i="1"/>
  <c r="Z58" i="1"/>
  <c r="AA58" i="1"/>
  <c r="X59" i="1"/>
  <c r="Y59" i="1"/>
  <c r="Z59" i="1"/>
  <c r="AA59" i="1"/>
  <c r="X60" i="1"/>
  <c r="Y60" i="1"/>
  <c r="Z60" i="1"/>
  <c r="AA60" i="1"/>
  <c r="X61" i="1"/>
  <c r="Y61" i="1"/>
  <c r="Z61" i="1"/>
  <c r="AA61" i="1"/>
  <c r="X62" i="1"/>
  <c r="Y62" i="1"/>
  <c r="Z62" i="1"/>
  <c r="AA62" i="1"/>
  <c r="X63" i="1"/>
  <c r="Y63" i="1"/>
  <c r="Z63" i="1"/>
  <c r="AA63" i="1"/>
  <c r="X64" i="1"/>
  <c r="Y64" i="1"/>
  <c r="Z64" i="1"/>
  <c r="AA64" i="1"/>
  <c r="X65" i="1"/>
  <c r="Y65" i="1"/>
  <c r="Z65" i="1"/>
  <c r="AA65" i="1"/>
  <c r="AA5" i="1"/>
  <c r="Z5" i="1"/>
  <c r="AA4" i="1"/>
  <c r="Z4" i="1"/>
  <c r="Y5" i="1"/>
  <c r="Y4" i="1"/>
  <c r="X5" i="1"/>
  <c r="X4" i="1"/>
  <c r="V5" i="1"/>
  <c r="W5" i="1"/>
  <c r="V6" i="1"/>
  <c r="W6" i="1"/>
  <c r="V7" i="1"/>
  <c r="W7" i="1"/>
  <c r="V8" i="1"/>
  <c r="W8" i="1"/>
  <c r="V9" i="1"/>
  <c r="W9" i="1"/>
  <c r="V10" i="1"/>
  <c r="W10" i="1"/>
  <c r="V11" i="1"/>
  <c r="W11" i="1"/>
  <c r="V12" i="1"/>
  <c r="W12" i="1"/>
  <c r="V13" i="1"/>
  <c r="W13" i="1"/>
  <c r="V14" i="1"/>
  <c r="W14" i="1"/>
  <c r="V15" i="1"/>
  <c r="W15" i="1"/>
  <c r="V16" i="1"/>
  <c r="W16" i="1"/>
  <c r="V17" i="1"/>
  <c r="W17" i="1"/>
  <c r="V18" i="1"/>
  <c r="W18" i="1"/>
  <c r="V19" i="1"/>
  <c r="W19" i="1"/>
  <c r="V20" i="1"/>
  <c r="W20" i="1"/>
  <c r="V21" i="1"/>
  <c r="W21" i="1"/>
  <c r="V22" i="1"/>
  <c r="W22" i="1"/>
  <c r="V23" i="1"/>
  <c r="W23" i="1"/>
  <c r="V24" i="1"/>
  <c r="W24" i="1"/>
  <c r="V25" i="1"/>
  <c r="W25" i="1"/>
  <c r="V26" i="1"/>
  <c r="W26" i="1"/>
  <c r="V27" i="1"/>
  <c r="W27" i="1"/>
  <c r="V28" i="1"/>
  <c r="W28" i="1"/>
  <c r="V29" i="1"/>
  <c r="W29" i="1"/>
  <c r="V30" i="1"/>
  <c r="W30" i="1"/>
  <c r="V31" i="1"/>
  <c r="W31" i="1"/>
  <c r="V32" i="1"/>
  <c r="W32" i="1"/>
  <c r="V33" i="1"/>
  <c r="W33" i="1"/>
  <c r="V34" i="1"/>
  <c r="W34" i="1"/>
  <c r="V35" i="1"/>
  <c r="W35" i="1"/>
  <c r="V36" i="1"/>
  <c r="W36" i="1"/>
  <c r="V37" i="1"/>
  <c r="W37" i="1"/>
  <c r="V38" i="1"/>
  <c r="W38" i="1"/>
  <c r="V39" i="1"/>
  <c r="W39" i="1"/>
  <c r="V40" i="1"/>
  <c r="W40" i="1"/>
  <c r="V41" i="1"/>
  <c r="W41" i="1"/>
  <c r="V42" i="1"/>
  <c r="W42" i="1"/>
  <c r="V43" i="1"/>
  <c r="W43" i="1"/>
  <c r="V44" i="1"/>
  <c r="W44" i="1"/>
  <c r="V45" i="1"/>
  <c r="W45" i="1"/>
  <c r="V46" i="1"/>
  <c r="W46" i="1"/>
  <c r="V47" i="1"/>
  <c r="W47" i="1"/>
  <c r="V48" i="1"/>
  <c r="W48" i="1"/>
  <c r="V49" i="1"/>
  <c r="W49" i="1"/>
  <c r="V50" i="1"/>
  <c r="W50" i="1"/>
  <c r="V51" i="1"/>
  <c r="W51" i="1"/>
  <c r="V52" i="1"/>
  <c r="W52" i="1"/>
  <c r="V53" i="1"/>
  <c r="W53" i="1"/>
  <c r="V54" i="1"/>
  <c r="W54" i="1"/>
  <c r="V55" i="1"/>
  <c r="W55" i="1"/>
  <c r="V56" i="1"/>
  <c r="W56" i="1"/>
  <c r="V57" i="1"/>
  <c r="W57" i="1"/>
  <c r="V58" i="1"/>
  <c r="W58" i="1"/>
  <c r="V59" i="1"/>
  <c r="W59" i="1"/>
  <c r="V60" i="1"/>
  <c r="W60" i="1"/>
  <c r="V61" i="1"/>
  <c r="W61" i="1"/>
  <c r="V62" i="1"/>
  <c r="W62" i="1"/>
  <c r="V63" i="1"/>
  <c r="W63" i="1"/>
  <c r="V64" i="1"/>
  <c r="W64" i="1"/>
  <c r="V65" i="1"/>
  <c r="W65" i="1"/>
  <c r="W4" i="1"/>
  <c r="V4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3" i="1"/>
</calcChain>
</file>

<file path=xl/sharedStrings.xml><?xml version="1.0" encoding="utf-8"?>
<sst xmlns="http://schemas.openxmlformats.org/spreadsheetml/2006/main" count="54" uniqueCount="49">
  <si>
    <t>IMF, IFS</t>
  </si>
  <si>
    <t>IMF, IFS, 2005 = 100</t>
  </si>
  <si>
    <t>Inflation Rate</t>
  </si>
  <si>
    <t xml:space="preserve">Total Domestic Credit </t>
  </si>
  <si>
    <t>Current Account</t>
  </si>
  <si>
    <t>New purchasing power = ∆CR + CA</t>
  </si>
  <si>
    <t>New demand relative to GDP</t>
  </si>
  <si>
    <t xml:space="preserve">Growth utilization Rate </t>
  </si>
  <si>
    <t>Appendix 6.8.II.7</t>
  </si>
  <si>
    <t>Current Cost Investment, BEA, see Appendix 15.2</t>
  </si>
  <si>
    <t>T-bill 3 mo. Interest Rate</t>
  </si>
  <si>
    <t>GDP</t>
  </si>
  <si>
    <t>pgdp</t>
  </si>
  <si>
    <t>π</t>
  </si>
  <si>
    <t>CR</t>
  </si>
  <si>
    <t>CA</t>
  </si>
  <si>
    <t>∆PP</t>
  </si>
  <si>
    <t>pp</t>
  </si>
  <si>
    <t>σ</t>
  </si>
  <si>
    <t>PGRcorp</t>
  </si>
  <si>
    <t>Igcorpbea</t>
  </si>
  <si>
    <t>i</t>
  </si>
  <si>
    <t>iroprcorp</t>
  </si>
  <si>
    <t>netiroprcorp</t>
  </si>
  <si>
    <t>uL</t>
  </si>
  <si>
    <t>uLintensity</t>
  </si>
  <si>
    <t>Unemployment Rate (Appendix 14.2: Sources and Methods, and 14.3: Data Tables.xlsx)</t>
  </si>
  <si>
    <t>Unemploymnt Intensity (Appendix 14.2: Sources and Methods, and 14.3: Data Tables.xlsx)</t>
  </si>
  <si>
    <t>Year</t>
  </si>
  <si>
    <t>Growth rate of nominal GDP</t>
  </si>
  <si>
    <t>Growth rate of private and public credit</t>
  </si>
  <si>
    <t>Growth rate of real GDP</t>
  </si>
  <si>
    <t>Based on data from Appendix 6.8.II.7</t>
  </si>
  <si>
    <t xml:space="preserve"> Normalized growth utilization</t>
  </si>
  <si>
    <t xml:space="preserve">Normalized inflation </t>
  </si>
  <si>
    <t>GDP from NIPA T1.1.5</t>
  </si>
  <si>
    <t>GDPR</t>
  </si>
  <si>
    <t>gGDP</t>
  </si>
  <si>
    <t>gCR</t>
  </si>
  <si>
    <t>gGDPR</t>
  </si>
  <si>
    <t>netiroprcorpHP</t>
  </si>
  <si>
    <t>σ'</t>
  </si>
  <si>
    <t>π'</t>
  </si>
  <si>
    <t>ΔGDPR</t>
  </si>
  <si>
    <t>1 - σ</t>
  </si>
  <si>
    <t>∆PGRcorp</t>
  </si>
  <si>
    <t>Calculated</t>
  </si>
  <si>
    <t>Calculated_Appendix 6.8.II.7</t>
  </si>
  <si>
    <t>US Inflation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</si>
</sst>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#,##0.0000"/>
  </numFmts>
  <fonts count="2" x14ac:knownFonts="1">
    <font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27673-D37B-48BD-AA9C-1CCF932FBCEF}">
  <dimension ref="A1:AN66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RowHeight="15" x14ac:dyDescent="0.25"/>
  <sheetData>
    <row r="1" spans="1:40" x14ac:dyDescent="0.25">
      <c r="A1" t="s">
        <v>48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8</v>
      </c>
      <c r="N1" t="s">
        <v>47</v>
      </c>
      <c r="O1" t="s">
        <v>26</v>
      </c>
      <c r="P1" t="s">
        <v>27</v>
      </c>
      <c r="Q1" t="s">
        <v>46</v>
      </c>
      <c r="R1" t="s">
        <v>29</v>
      </c>
      <c r="S1" t="s">
        <v>30</v>
      </c>
      <c r="T1" t="s">
        <v>31</v>
      </c>
      <c r="U1" t="s">
        <v>32</v>
      </c>
      <c r="V1" t="s">
        <v>33</v>
      </c>
      <c r="W1" t="s">
        <v>34</v>
      </c>
      <c r="X1" t="s">
        <v>8</v>
      </c>
      <c r="Y1" t="s">
        <v>35</v>
      </c>
      <c r="Z1" t="s">
        <v>46</v>
      </c>
      <c r="AA1" t="s">
        <v>46</v>
      </c>
    </row>
    <row r="2" spans="1:40" x14ac:dyDescent="0.25">
      <c r="A2" t="s">
        <v>28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  <c r="N2" t="s">
        <v>23</v>
      </c>
      <c r="O2" t="s">
        <v>24</v>
      </c>
      <c r="P2" t="s">
        <v>25</v>
      </c>
      <c r="Q2" t="s">
        <v>36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  <c r="W2" t="s">
        <v>42</v>
      </c>
      <c r="X2" t="s">
        <v>45</v>
      </c>
      <c r="Y2" t="s">
        <v>43</v>
      </c>
      <c r="Z2" t="s">
        <v>44</v>
      </c>
      <c r="AA2" t="s">
        <v>13</v>
      </c>
    </row>
    <row r="3" spans="1:40" x14ac:dyDescent="0.25">
      <c r="A3">
        <v>1948</v>
      </c>
      <c r="B3">
        <v>269.125</v>
      </c>
      <c r="C3">
        <v>14.513954429014399</v>
      </c>
      <c r="D3">
        <v>5.568E-2</v>
      </c>
      <c r="E3">
        <v>135.33200000000002</v>
      </c>
      <c r="F3">
        <v>2.4</v>
      </c>
      <c r="I3">
        <v>0.33541927409261574</v>
      </c>
      <c r="J3">
        <v>157.81715955056183</v>
      </c>
      <c r="K3">
        <v>17.8</v>
      </c>
      <c r="L3">
        <v>1.04E-2</v>
      </c>
      <c r="M3">
        <v>0.31468453732815793</v>
      </c>
      <c r="N3" s="1">
        <f>+M3-L3</f>
        <v>0.30428453732815791</v>
      </c>
      <c r="O3">
        <v>3.7499999999999901E-2</v>
      </c>
      <c r="P3" s="3">
        <v>3.2085396039603899E-2</v>
      </c>
      <c r="Q3" s="1">
        <f>+B3*100/C3</f>
        <v>1854.2500000000034</v>
      </c>
      <c r="U3">
        <v>0.15210622652831399</v>
      </c>
    </row>
    <row r="4" spans="1:40" x14ac:dyDescent="0.25">
      <c r="A4">
        <v>1949</v>
      </c>
      <c r="B4">
        <v>267.22500000000002</v>
      </c>
      <c r="C4">
        <v>14.485898982233101</v>
      </c>
      <c r="D4">
        <v>-1.932998E-3</v>
      </c>
      <c r="E4">
        <v>136.48399999999998</v>
      </c>
      <c r="F4">
        <v>0.9</v>
      </c>
      <c r="H4">
        <v>7.6247097073850398E-3</v>
      </c>
      <c r="I4">
        <v>0.337398374</v>
      </c>
      <c r="J4">
        <v>148.68508720987654</v>
      </c>
      <c r="K4">
        <v>16.2</v>
      </c>
      <c r="L4">
        <v>1.102E-2</v>
      </c>
      <c r="M4">
        <v>-0.11933291420477785</v>
      </c>
      <c r="N4" s="1">
        <f t="shared" ref="N4:N66" si="0">+M4-L4</f>
        <v>-0.13035291420477785</v>
      </c>
      <c r="O4">
        <v>6.0500000002499998E-2</v>
      </c>
      <c r="P4" s="3">
        <v>6.0150577560241301E-2</v>
      </c>
      <c r="Q4" s="1">
        <f t="shared" ref="Q4:Q65" si="1">+B4*100/C4</f>
        <v>1844.7250000000033</v>
      </c>
      <c r="R4">
        <v>-7.0599163957267997E-3</v>
      </c>
      <c r="S4">
        <v>8.5123991369373004E-3</v>
      </c>
      <c r="T4">
        <v>-5.1406617815531004E-3</v>
      </c>
      <c r="U4">
        <v>0.13192995709819899</v>
      </c>
      <c r="V4" s="4">
        <f>+(I4-AVERAGE(I$4:I$65))/STDEV(I$3:I$65)</f>
        <v>-1.4704799772682833</v>
      </c>
      <c r="W4" s="4">
        <f>+(D4-AVERAGE(D$4:D$65))/STDEV(D$3:D$65)</f>
        <v>-1.5210784529126518</v>
      </c>
      <c r="X4" s="4">
        <f>+J4-J3</f>
        <v>-9.1320723406852835</v>
      </c>
      <c r="Y4" s="4">
        <f>+Q4-Q3</f>
        <v>-9.5250000000000909</v>
      </c>
      <c r="Z4" s="4">
        <f>1-I4</f>
        <v>0.66260162600000005</v>
      </c>
      <c r="AA4" s="4">
        <f>+D4</f>
        <v>-1.932998E-3</v>
      </c>
      <c r="AI4" s="2"/>
      <c r="AJ4" s="2"/>
      <c r="AK4" s="2"/>
      <c r="AL4" s="2"/>
      <c r="AM4" s="2"/>
      <c r="AN4" s="2"/>
    </row>
    <row r="5" spans="1:40" x14ac:dyDescent="0.25">
      <c r="A5">
        <v>1950</v>
      </c>
      <c r="B5">
        <v>293.72500000000002</v>
      </c>
      <c r="C5">
        <v>14.6426880031905</v>
      </c>
      <c r="D5">
        <v>1.0823562E-2</v>
      </c>
      <c r="E5">
        <v>145.67700000000002</v>
      </c>
      <c r="F5">
        <v>-1.8</v>
      </c>
      <c r="H5">
        <v>2.7665824679577102E-2</v>
      </c>
      <c r="I5">
        <v>0.32744405199999999</v>
      </c>
      <c r="J5">
        <v>173.54382022471907</v>
      </c>
      <c r="K5">
        <v>17.8</v>
      </c>
      <c r="L5">
        <v>1.218E-2</v>
      </c>
      <c r="M5">
        <v>0.43918643202486496</v>
      </c>
      <c r="N5" s="1">
        <f t="shared" si="0"/>
        <v>0.42700643202486493</v>
      </c>
      <c r="O5">
        <v>5.2083333332500002E-2</v>
      </c>
      <c r="P5" s="3">
        <v>6.2096053354341998E-2</v>
      </c>
      <c r="Q5" s="1">
        <f t="shared" si="1"/>
        <v>2005.9500000000014</v>
      </c>
      <c r="R5">
        <v>9.9167368322574598E-2</v>
      </c>
      <c r="S5">
        <v>6.7355880542774194E-2</v>
      </c>
      <c r="T5">
        <v>8.7382264393964001E-2</v>
      </c>
      <c r="U5">
        <v>0.11327562540280101</v>
      </c>
      <c r="V5" s="4">
        <f t="shared" ref="V5:V65" si="2">+(I5-AVERAGE(I$4:I$65))/STDEV(I$3:I$65)</f>
        <v>-1.5983344093826555</v>
      </c>
      <c r="W5" s="4">
        <f t="shared" ref="W5:W65" si="3">+(D5-AVERAGE(D$4:D$65))/STDEV(D$3:D$65)</f>
        <v>-0.9751902884257444</v>
      </c>
      <c r="X5" s="4">
        <f>+J5-J4</f>
        <v>24.858733014842528</v>
      </c>
      <c r="Y5" s="4">
        <f>+Q5-Q4</f>
        <v>161.22499999999809</v>
      </c>
      <c r="Z5" s="4">
        <f>1-I5</f>
        <v>0.67255594800000007</v>
      </c>
      <c r="AA5" s="4">
        <f>+D5</f>
        <v>1.0823562E-2</v>
      </c>
      <c r="AI5" s="2"/>
      <c r="AJ5" s="2"/>
      <c r="AK5" s="2"/>
      <c r="AL5" s="2"/>
      <c r="AM5" s="2"/>
      <c r="AN5" s="2"/>
    </row>
    <row r="6" spans="1:40" x14ac:dyDescent="0.25">
      <c r="A6">
        <v>1951</v>
      </c>
      <c r="B6">
        <v>339.25</v>
      </c>
      <c r="C6">
        <v>15.697660967540401</v>
      </c>
      <c r="D6">
        <v>7.2047765999999999E-2</v>
      </c>
      <c r="E6">
        <v>154.40100000000001</v>
      </c>
      <c r="F6">
        <v>0.9</v>
      </c>
      <c r="H6">
        <v>3.2765341731211102E-2</v>
      </c>
      <c r="I6">
        <v>0.32953367900000002</v>
      </c>
      <c r="J6">
        <v>179.19555257142858</v>
      </c>
      <c r="K6">
        <v>21.7</v>
      </c>
      <c r="L6">
        <v>1.5520000000000001E-2</v>
      </c>
      <c r="M6">
        <v>7.4239480264395474E-2</v>
      </c>
      <c r="N6" s="1">
        <f t="shared" si="0"/>
        <v>5.8719480264395475E-2</v>
      </c>
      <c r="O6">
        <v>3.2833333334999902E-2</v>
      </c>
      <c r="P6" s="3">
        <v>3.14246424658415E-2</v>
      </c>
      <c r="Q6" s="1">
        <f t="shared" si="1"/>
        <v>2161.1500000000042</v>
      </c>
      <c r="R6">
        <v>0.15499191420546399</v>
      </c>
      <c r="S6">
        <v>5.98859119833604E-2</v>
      </c>
      <c r="T6">
        <v>7.7369512021315395E-2</v>
      </c>
      <c r="U6">
        <v>9.5041869605855797E-2</v>
      </c>
      <c r="V6" s="4">
        <f t="shared" si="2"/>
        <v>-1.5714950050097747</v>
      </c>
      <c r="W6" s="4">
        <f t="shared" si="3"/>
        <v>1.6447611987880471</v>
      </c>
      <c r="X6" s="4">
        <f t="shared" ref="X6:X66" si="4">+J6-J5</f>
        <v>5.6517323467095082</v>
      </c>
      <c r="Y6" s="4">
        <f t="shared" ref="Y6:Y65" si="5">+Q6-Q5</f>
        <v>155.20000000000277</v>
      </c>
      <c r="Z6" s="4">
        <f t="shared" ref="Z6:Z65" si="6">1-I6</f>
        <v>0.67046632099999992</v>
      </c>
      <c r="AA6" s="4">
        <f t="shared" ref="AA6:AA65" si="7">+D6</f>
        <v>7.2047765999999999E-2</v>
      </c>
      <c r="AI6" s="2"/>
      <c r="AJ6" s="2"/>
      <c r="AK6" s="2"/>
      <c r="AL6" s="2"/>
      <c r="AM6" s="2"/>
      <c r="AN6" s="2"/>
    </row>
    <row r="7" spans="1:40" x14ac:dyDescent="0.25">
      <c r="A7">
        <v>1952</v>
      </c>
      <c r="B7">
        <v>358.3</v>
      </c>
      <c r="C7">
        <v>15.9679126511058</v>
      </c>
      <c r="D7">
        <v>1.7216048000000001E-2</v>
      </c>
      <c r="E7">
        <v>201.66200000000001</v>
      </c>
      <c r="F7">
        <v>0.6</v>
      </c>
      <c r="H7">
        <v>0.14107885040530499</v>
      </c>
      <c r="I7">
        <v>0.330912863</v>
      </c>
      <c r="J7">
        <v>171.50916590308373</v>
      </c>
      <c r="K7">
        <v>22.7</v>
      </c>
      <c r="L7">
        <v>1.7659999999999999E-2</v>
      </c>
      <c r="M7">
        <v>-8.6527611964125437E-2</v>
      </c>
      <c r="N7" s="1">
        <f t="shared" si="0"/>
        <v>-0.10418761196412543</v>
      </c>
      <c r="O7">
        <v>3.0249999999999999E-2</v>
      </c>
      <c r="P7" s="3">
        <v>2.5258250825082498E-2</v>
      </c>
      <c r="Q7" s="1">
        <f t="shared" si="1"/>
        <v>2243.8749999999982</v>
      </c>
      <c r="R7">
        <v>5.6153279292557097E-2</v>
      </c>
      <c r="S7">
        <v>0.306092577120614</v>
      </c>
      <c r="T7">
        <v>3.8294976098106399E-2</v>
      </c>
      <c r="U7">
        <v>7.9264571617068694E-2</v>
      </c>
      <c r="V7" s="4">
        <f t="shared" si="2"/>
        <v>-1.5537806104883571</v>
      </c>
      <c r="W7" s="4">
        <f t="shared" si="3"/>
        <v>-0.70163829250770293</v>
      </c>
      <c r="X7" s="4">
        <f t="shared" si="4"/>
        <v>-7.6863866683448521</v>
      </c>
      <c r="Y7" s="4">
        <f t="shared" si="5"/>
        <v>82.724999999993997</v>
      </c>
      <c r="Z7" s="4">
        <f t="shared" si="6"/>
        <v>0.669087137</v>
      </c>
      <c r="AA7" s="4">
        <f t="shared" si="7"/>
        <v>1.7216048000000001E-2</v>
      </c>
      <c r="AI7" s="2"/>
      <c r="AJ7" s="2"/>
      <c r="AK7" s="2"/>
      <c r="AL7" s="2"/>
      <c r="AM7" s="2"/>
      <c r="AN7" s="2"/>
    </row>
    <row r="8" spans="1:40" x14ac:dyDescent="0.25">
      <c r="A8">
        <v>1953</v>
      </c>
      <c r="B8">
        <v>379.35</v>
      </c>
      <c r="C8">
        <v>16.1616376785353</v>
      </c>
      <c r="D8">
        <v>1.2132145E-2</v>
      </c>
      <c r="E8">
        <v>211.50799999999998</v>
      </c>
      <c r="F8">
        <v>-1.3</v>
      </c>
      <c r="H8">
        <v>2.38515210717276E-2</v>
      </c>
      <c r="I8">
        <v>0.36</v>
      </c>
      <c r="J8">
        <v>172.39196799999999</v>
      </c>
      <c r="K8">
        <v>24.8</v>
      </c>
      <c r="L8">
        <v>1.9310000000000001E-2</v>
      </c>
      <c r="M8">
        <v>1.6692636395081967E-2</v>
      </c>
      <c r="N8" s="1">
        <f t="shared" si="0"/>
        <v>-2.6173636049180334E-3</v>
      </c>
      <c r="O8">
        <v>2.9250000000000002E-2</v>
      </c>
      <c r="P8" s="3">
        <v>2.32165841584158E-2</v>
      </c>
      <c r="Q8" s="1">
        <f t="shared" si="1"/>
        <v>2347.224999999999</v>
      </c>
      <c r="R8">
        <v>5.8749651130337699E-2</v>
      </c>
      <c r="S8">
        <v>4.8824270313693199E-2</v>
      </c>
      <c r="T8">
        <v>4.6040986836358801E-2</v>
      </c>
      <c r="U8">
        <v>6.7616194650088807E-2</v>
      </c>
      <c r="V8" s="4">
        <f t="shared" si="2"/>
        <v>-1.1801821491398157</v>
      </c>
      <c r="W8" s="4">
        <f t="shared" si="3"/>
        <v>-0.91919243540355267</v>
      </c>
      <c r="X8" s="4">
        <f t="shared" si="4"/>
        <v>0.8828020969162651</v>
      </c>
      <c r="Y8" s="4">
        <f t="shared" si="5"/>
        <v>103.35000000000082</v>
      </c>
      <c r="Z8" s="4">
        <f t="shared" si="6"/>
        <v>0.64</v>
      </c>
      <c r="AA8" s="4">
        <f t="shared" si="7"/>
        <v>1.2132145E-2</v>
      </c>
      <c r="AI8" s="2"/>
      <c r="AJ8" s="2"/>
      <c r="AK8" s="2"/>
      <c r="AL8" s="2"/>
      <c r="AM8" s="2"/>
      <c r="AN8" s="2"/>
    </row>
    <row r="9" spans="1:40" x14ac:dyDescent="0.25">
      <c r="A9">
        <v>1954</v>
      </c>
      <c r="B9">
        <v>380.35</v>
      </c>
      <c r="C9">
        <v>16.307411972774499</v>
      </c>
      <c r="D9">
        <v>9.0197720000000006E-3</v>
      </c>
      <c r="E9">
        <v>227.55600000000001</v>
      </c>
      <c r="F9">
        <v>0.2</v>
      </c>
      <c r="H9">
        <v>4.2831158560695901E-2</v>
      </c>
      <c r="I9">
        <v>0.35264227599999998</v>
      </c>
      <c r="J9">
        <v>171.01790419917009</v>
      </c>
      <c r="K9">
        <v>24.1</v>
      </c>
      <c r="L9">
        <v>9.5300000000000003E-3</v>
      </c>
      <c r="M9">
        <v>-1.3296796656494017E-2</v>
      </c>
      <c r="N9" s="1">
        <f t="shared" si="0"/>
        <v>-2.2826796656494015E-2</v>
      </c>
      <c r="O9">
        <v>5.5916666667499899E-2</v>
      </c>
      <c r="P9" s="3">
        <v>6.53745187028444E-2</v>
      </c>
      <c r="Q9" s="1">
        <f t="shared" si="1"/>
        <v>2332.3750000000045</v>
      </c>
      <c r="R9">
        <v>2.6360880453407099E-3</v>
      </c>
      <c r="S9">
        <v>7.5874198611872806E-2</v>
      </c>
      <c r="T9">
        <v>-6.2792386711964798E-3</v>
      </c>
      <c r="U9">
        <v>5.9934556202393803E-2</v>
      </c>
      <c r="V9" s="4">
        <f t="shared" si="2"/>
        <v>-1.2746855842983615</v>
      </c>
      <c r="W9" s="4">
        <f t="shared" si="3"/>
        <v>-1.0523794061988618</v>
      </c>
      <c r="X9" s="4">
        <f t="shared" si="4"/>
        <v>-1.3740638008299015</v>
      </c>
      <c r="Y9" s="4">
        <f t="shared" si="5"/>
        <v>-14.849999999994452</v>
      </c>
      <c r="Z9" s="4">
        <f t="shared" si="6"/>
        <v>0.64735772400000002</v>
      </c>
      <c r="AA9" s="4">
        <f t="shared" si="7"/>
        <v>9.0197720000000006E-3</v>
      </c>
      <c r="AI9" s="2"/>
      <c r="AJ9" s="2"/>
      <c r="AK9" s="2"/>
      <c r="AL9" s="2"/>
      <c r="AM9" s="2"/>
      <c r="AN9" s="2"/>
    </row>
    <row r="10" spans="1:40" x14ac:dyDescent="0.25">
      <c r="A10">
        <v>1955</v>
      </c>
      <c r="B10">
        <v>414.72500000000002</v>
      </c>
      <c r="C10">
        <v>16.587175410704798</v>
      </c>
      <c r="D10">
        <v>1.71556E-2</v>
      </c>
      <c r="E10">
        <v>242.07199999999997</v>
      </c>
      <c r="F10">
        <v>0.4</v>
      </c>
      <c r="H10">
        <v>3.92165111081898E-2</v>
      </c>
      <c r="I10">
        <v>0.34790365699999998</v>
      </c>
      <c r="J10">
        <v>204.75863063157891</v>
      </c>
      <c r="K10">
        <v>26.6</v>
      </c>
      <c r="L10">
        <v>1.753E-2</v>
      </c>
      <c r="M10">
        <v>0.46831152881907867</v>
      </c>
      <c r="N10" s="1">
        <f t="shared" si="0"/>
        <v>0.45078152881907868</v>
      </c>
      <c r="O10">
        <v>4.3666666664999999E-2</v>
      </c>
      <c r="P10" s="3">
        <v>5.6096534651324297E-2</v>
      </c>
      <c r="Q10" s="1">
        <f t="shared" si="1"/>
        <v>2500.2750000000037</v>
      </c>
      <c r="R10">
        <v>9.0377284080452203E-2</v>
      </c>
      <c r="S10">
        <v>6.3790891033415897E-2</v>
      </c>
      <c r="T10">
        <v>7.19709634955044E-2</v>
      </c>
      <c r="U10">
        <v>5.5355311824960597E-2</v>
      </c>
      <c r="V10" s="4">
        <f t="shared" si="2"/>
        <v>-1.3355489400599465</v>
      </c>
      <c r="W10" s="4">
        <f t="shared" si="3"/>
        <v>-0.70422502809840337</v>
      </c>
      <c r="X10" s="4">
        <f t="shared" si="4"/>
        <v>33.74072643240882</v>
      </c>
      <c r="Y10" s="4">
        <f t="shared" si="5"/>
        <v>167.89999999999918</v>
      </c>
      <c r="Z10" s="4">
        <f t="shared" si="6"/>
        <v>0.65209634299999997</v>
      </c>
      <c r="AA10" s="4">
        <f t="shared" si="7"/>
        <v>1.71556E-2</v>
      </c>
      <c r="AI10" s="2"/>
      <c r="AJ10" s="2"/>
      <c r="AK10" s="2"/>
      <c r="AL10" s="2"/>
      <c r="AM10" s="2"/>
      <c r="AN10" s="2"/>
    </row>
    <row r="11" spans="1:40" x14ac:dyDescent="0.25">
      <c r="A11">
        <v>1956</v>
      </c>
      <c r="B11">
        <v>437.45</v>
      </c>
      <c r="C11">
        <v>17.156583978821502</v>
      </c>
      <c r="D11">
        <v>3.4328242000000002E-2</v>
      </c>
      <c r="E11">
        <v>254.863</v>
      </c>
      <c r="F11">
        <v>2.7</v>
      </c>
      <c r="H11">
        <v>3.7352462475134102E-2</v>
      </c>
      <c r="I11">
        <v>0.39172535200000003</v>
      </c>
      <c r="J11">
        <v>192.20468800000003</v>
      </c>
      <c r="K11">
        <v>32.200000000000003</v>
      </c>
      <c r="L11">
        <v>2.6579999999999999E-2</v>
      </c>
      <c r="M11">
        <v>-0.11792891015619376</v>
      </c>
      <c r="N11" s="1">
        <f t="shared" si="0"/>
        <v>-0.14450891015619377</v>
      </c>
      <c r="O11">
        <v>4.1249999997500002E-2</v>
      </c>
      <c r="P11" s="3">
        <v>4.6116955442749602E-2</v>
      </c>
      <c r="Q11" s="1">
        <f t="shared" si="1"/>
        <v>2549.7499999999927</v>
      </c>
      <c r="R11">
        <v>5.4795346313822303E-2</v>
      </c>
      <c r="S11">
        <v>5.28396510129217E-2</v>
      </c>
      <c r="T11">
        <v>1.97523115525658E-2</v>
      </c>
      <c r="U11">
        <v>5.2186771506742197E-2</v>
      </c>
      <c r="V11" s="4">
        <f t="shared" si="2"/>
        <v>-0.77269815740350623</v>
      </c>
      <c r="W11" s="4">
        <f t="shared" si="3"/>
        <v>3.0639388387763266E-2</v>
      </c>
      <c r="X11" s="4">
        <f t="shared" si="4"/>
        <v>-12.553942631578877</v>
      </c>
      <c r="Y11" s="4">
        <f t="shared" si="5"/>
        <v>49.474999999988995</v>
      </c>
      <c r="Z11" s="4">
        <f t="shared" si="6"/>
        <v>0.60827464799999997</v>
      </c>
      <c r="AA11" s="4">
        <f t="shared" si="7"/>
        <v>3.4328242000000002E-2</v>
      </c>
      <c r="AI11" s="2"/>
      <c r="AJ11" s="2"/>
      <c r="AK11" s="2"/>
      <c r="AL11" s="2"/>
      <c r="AM11" s="2"/>
      <c r="AN11" s="2"/>
    </row>
    <row r="12" spans="1:40" x14ac:dyDescent="0.25">
      <c r="A12">
        <v>1957</v>
      </c>
      <c r="B12">
        <v>461.07499999999999</v>
      </c>
      <c r="C12">
        <v>17.726324692675099</v>
      </c>
      <c r="D12">
        <v>3.3208283999999998E-2</v>
      </c>
      <c r="E12">
        <v>264.322</v>
      </c>
      <c r="F12">
        <v>4.7</v>
      </c>
      <c r="H12">
        <v>3.23671276717339E-2</v>
      </c>
      <c r="I12">
        <v>0.40702656399999998</v>
      </c>
      <c r="J12">
        <v>185.88954755300861</v>
      </c>
      <c r="K12">
        <v>34.9</v>
      </c>
      <c r="L12">
        <v>3.2669999999999998E-2</v>
      </c>
      <c r="M12">
        <v>-4.4956258585891827E-2</v>
      </c>
      <c r="N12" s="1">
        <f t="shared" si="0"/>
        <v>-7.7626258585891825E-2</v>
      </c>
      <c r="O12">
        <v>4.2999999997500003E-2</v>
      </c>
      <c r="P12" s="3">
        <v>4.4490099007314397E-2</v>
      </c>
      <c r="Q12" s="1">
        <f t="shared" si="1"/>
        <v>2601.0750000000066</v>
      </c>
      <c r="R12">
        <v>5.40061721339581E-2</v>
      </c>
      <c r="S12">
        <v>3.7114057356305102E-2</v>
      </c>
      <c r="T12">
        <v>2.0172847529184301E-2</v>
      </c>
      <c r="U12">
        <v>5.2691692118441699E-2</v>
      </c>
      <c r="V12" s="4">
        <f t="shared" si="2"/>
        <v>-0.57616766834341671</v>
      </c>
      <c r="W12" s="4">
        <f t="shared" si="3"/>
        <v>-1.7286683917186501E-2</v>
      </c>
      <c r="X12" s="4">
        <f t="shared" si="4"/>
        <v>-6.3151404469914212</v>
      </c>
      <c r="Y12" s="4">
        <f t="shared" si="5"/>
        <v>51.325000000013915</v>
      </c>
      <c r="Z12" s="4">
        <f t="shared" si="6"/>
        <v>0.59297343600000008</v>
      </c>
      <c r="AA12" s="4">
        <f t="shared" si="7"/>
        <v>3.3208283999999998E-2</v>
      </c>
      <c r="AI12" s="2"/>
      <c r="AJ12" s="2"/>
      <c r="AK12" s="2"/>
      <c r="AL12" s="2"/>
      <c r="AM12" s="2"/>
      <c r="AN12" s="2"/>
    </row>
    <row r="13" spans="1:40" x14ac:dyDescent="0.25">
      <c r="A13">
        <v>1958</v>
      </c>
      <c r="B13">
        <v>467.15</v>
      </c>
      <c r="C13">
        <v>18.123272392221502</v>
      </c>
      <c r="D13">
        <v>2.2393119E-2</v>
      </c>
      <c r="E13">
        <v>289.04200000000003</v>
      </c>
      <c r="F13">
        <v>0.8</v>
      </c>
      <c r="H13">
        <v>5.5348912866670201E-2</v>
      </c>
      <c r="I13">
        <v>0.36480686699999998</v>
      </c>
      <c r="J13">
        <v>175.11626990728476</v>
      </c>
      <c r="K13">
        <v>30.2</v>
      </c>
      <c r="L13">
        <v>1.839E-2</v>
      </c>
      <c r="M13">
        <v>-9.8439768243135731E-2</v>
      </c>
      <c r="N13" s="1">
        <f t="shared" si="0"/>
        <v>-0.11682976824313573</v>
      </c>
      <c r="O13">
        <v>6.8416666667500001E-2</v>
      </c>
      <c r="P13" s="3">
        <v>9.4665635314684402E-2</v>
      </c>
      <c r="Q13" s="1">
        <f t="shared" si="1"/>
        <v>2577.6250000000027</v>
      </c>
      <c r="R13">
        <v>1.3175730629507099E-2</v>
      </c>
      <c r="S13">
        <v>9.3522294776825193E-2</v>
      </c>
      <c r="T13">
        <v>-9.0187606280063195E-3</v>
      </c>
      <c r="U13">
        <v>5.71659628156952E-2</v>
      </c>
      <c r="V13" s="4">
        <f t="shared" si="2"/>
        <v>-1.1184422083850043</v>
      </c>
      <c r="W13" s="4">
        <f t="shared" si="3"/>
        <v>-0.48009723554497968</v>
      </c>
      <c r="X13" s="4">
        <f t="shared" si="4"/>
        <v>-10.773277645723851</v>
      </c>
      <c r="Y13" s="4">
        <f t="shared" si="5"/>
        <v>-23.450000000003911</v>
      </c>
      <c r="Z13" s="4">
        <f t="shared" si="6"/>
        <v>0.63519313300000002</v>
      </c>
      <c r="AA13" s="4">
        <f t="shared" si="7"/>
        <v>2.2393119E-2</v>
      </c>
      <c r="AI13" s="2"/>
      <c r="AJ13" s="2"/>
      <c r="AK13" s="2"/>
      <c r="AL13" s="2"/>
      <c r="AM13" s="2"/>
      <c r="AN13" s="2"/>
    </row>
    <row r="14" spans="1:40" x14ac:dyDescent="0.25">
      <c r="A14">
        <v>1959</v>
      </c>
      <c r="B14">
        <v>506.625</v>
      </c>
      <c r="C14">
        <v>18.339698456080701</v>
      </c>
      <c r="D14">
        <v>1.1941887E-2</v>
      </c>
      <c r="E14">
        <v>304.7</v>
      </c>
      <c r="F14">
        <v>-1.3</v>
      </c>
      <c r="H14">
        <v>3.07353098576474E-2</v>
      </c>
      <c r="I14">
        <v>0.36130536099999999</v>
      </c>
      <c r="J14">
        <v>204.40673316207952</v>
      </c>
      <c r="K14">
        <v>32.700000000000003</v>
      </c>
      <c r="L14">
        <v>3.4049999999999997E-2</v>
      </c>
      <c r="M14">
        <v>0.32134547190682972</v>
      </c>
      <c r="N14" s="1">
        <f t="shared" si="0"/>
        <v>0.28729547190682969</v>
      </c>
      <c r="O14">
        <v>5.4499999999999903E-2</v>
      </c>
      <c r="P14" s="3">
        <v>7.7523102310231004E-2</v>
      </c>
      <c r="Q14" s="1">
        <f t="shared" si="1"/>
        <v>2762.449999999993</v>
      </c>
      <c r="R14">
        <v>8.4501766028042394E-2</v>
      </c>
      <c r="S14">
        <v>5.4172058040007999E-2</v>
      </c>
      <c r="T14">
        <v>7.1669874903283207E-2</v>
      </c>
      <c r="U14">
        <v>6.4602555832954003E-2</v>
      </c>
      <c r="V14" s="4">
        <f t="shared" si="2"/>
        <v>-1.1634159455390831</v>
      </c>
      <c r="W14" s="4">
        <f t="shared" si="3"/>
        <v>-0.92733409666638156</v>
      </c>
      <c r="X14" s="4">
        <f t="shared" si="4"/>
        <v>29.290463254794759</v>
      </c>
      <c r="Y14" s="4">
        <f t="shared" si="5"/>
        <v>184.82499999999027</v>
      </c>
      <c r="Z14" s="4">
        <f t="shared" si="6"/>
        <v>0.63869463900000001</v>
      </c>
      <c r="AA14" s="4">
        <f t="shared" si="7"/>
        <v>1.1941887E-2</v>
      </c>
      <c r="AI14" s="2"/>
      <c r="AJ14" s="2"/>
      <c r="AK14" s="2"/>
      <c r="AL14" s="2"/>
      <c r="AM14" s="2"/>
      <c r="AN14" s="2"/>
    </row>
    <row r="15" spans="1:40" x14ac:dyDescent="0.25">
      <c r="A15">
        <v>1960</v>
      </c>
      <c r="B15">
        <v>526.47500000000002</v>
      </c>
      <c r="C15">
        <v>18.597278274768801</v>
      </c>
      <c r="D15">
        <v>1.4044932E-2</v>
      </c>
      <c r="E15">
        <v>322.04300000000001</v>
      </c>
      <c r="F15">
        <v>3.2</v>
      </c>
      <c r="H15">
        <v>4.0548729336294102E-2</v>
      </c>
      <c r="I15">
        <v>0.38029253299999999</v>
      </c>
      <c r="J15">
        <v>202.22103887640452</v>
      </c>
      <c r="K15">
        <v>35.6</v>
      </c>
      <c r="L15">
        <v>2.928E-2</v>
      </c>
      <c r="M15">
        <v>-5.165949114381718E-3</v>
      </c>
      <c r="N15" s="1">
        <f t="shared" si="0"/>
        <v>-3.4445949114381716E-2</v>
      </c>
      <c r="O15">
        <v>5.5416666665000003E-2</v>
      </c>
      <c r="P15" s="3">
        <v>7.0185299777867097E-2</v>
      </c>
      <c r="Q15" s="1">
        <f t="shared" si="1"/>
        <v>2830.925000000007</v>
      </c>
      <c r="R15">
        <v>3.91808536886257E-2</v>
      </c>
      <c r="S15">
        <v>5.6918280275681001E-2</v>
      </c>
      <c r="T15">
        <v>2.4819963254793499E-2</v>
      </c>
      <c r="U15">
        <v>7.2254783776512704E-2</v>
      </c>
      <c r="V15" s="4">
        <f t="shared" si="2"/>
        <v>-0.91954257138884932</v>
      </c>
      <c r="W15" s="4">
        <f t="shared" si="3"/>
        <v>-0.83733903727079451</v>
      </c>
      <c r="X15" s="4">
        <f t="shared" si="4"/>
        <v>-2.1856942856749981</v>
      </c>
      <c r="Y15" s="4">
        <f t="shared" si="5"/>
        <v>68.475000000014006</v>
      </c>
      <c r="Z15" s="4">
        <f t="shared" si="6"/>
        <v>0.61970746700000001</v>
      </c>
      <c r="AA15" s="4">
        <f t="shared" si="7"/>
        <v>1.4044932E-2</v>
      </c>
      <c r="AI15" s="2"/>
      <c r="AJ15" s="2"/>
      <c r="AK15" s="2"/>
      <c r="AL15" s="2"/>
      <c r="AM15" s="2"/>
      <c r="AN15" s="2"/>
    </row>
    <row r="16" spans="1:40" x14ac:dyDescent="0.25">
      <c r="A16">
        <v>1961</v>
      </c>
      <c r="B16">
        <v>544.77499999999998</v>
      </c>
      <c r="C16">
        <v>18.805609492988101</v>
      </c>
      <c r="D16">
        <v>1.1202241999999999E-2</v>
      </c>
      <c r="E16">
        <v>350.65899999999999</v>
      </c>
      <c r="F16">
        <v>4.2</v>
      </c>
      <c r="H16">
        <v>6.2331544707725901E-2</v>
      </c>
      <c r="I16">
        <v>0.35908756400000003</v>
      </c>
      <c r="J16">
        <v>207.36248399999997</v>
      </c>
      <c r="K16">
        <v>35.200000000000003</v>
      </c>
      <c r="L16">
        <v>2.3780000000000003E-2</v>
      </c>
      <c r="M16">
        <v>6.9796687903433852E-2</v>
      </c>
      <c r="N16" s="1">
        <f t="shared" si="0"/>
        <v>4.6016687903433849E-2</v>
      </c>
      <c r="O16">
        <v>6.6916666667499999E-2</v>
      </c>
      <c r="P16" s="3">
        <v>0.10368770627191801</v>
      </c>
      <c r="Q16" s="1">
        <f t="shared" si="1"/>
        <v>2896.875000000005</v>
      </c>
      <c r="R16">
        <v>3.4759485255710001E-2</v>
      </c>
      <c r="S16">
        <v>8.8857699127135106E-2</v>
      </c>
      <c r="T16">
        <v>2.32597121823057E-2</v>
      </c>
      <c r="U16">
        <v>7.9602933694336103E-2</v>
      </c>
      <c r="V16" s="4">
        <f t="shared" si="2"/>
        <v>-1.1919015798173347</v>
      </c>
      <c r="W16" s="4">
        <f t="shared" si="3"/>
        <v>-0.95898553337203862</v>
      </c>
      <c r="X16" s="4">
        <f t="shared" si="4"/>
        <v>5.1414451235954459</v>
      </c>
      <c r="Y16" s="4">
        <f t="shared" si="5"/>
        <v>65.949999999997999</v>
      </c>
      <c r="Z16" s="4">
        <f t="shared" si="6"/>
        <v>0.64091243600000003</v>
      </c>
      <c r="AA16" s="4">
        <f t="shared" si="7"/>
        <v>1.1202241999999999E-2</v>
      </c>
      <c r="AI16" s="2"/>
      <c r="AJ16" s="2"/>
      <c r="AK16" s="2"/>
      <c r="AL16" s="2"/>
      <c r="AM16" s="2"/>
      <c r="AN16" s="2"/>
    </row>
    <row r="17" spans="1:40" x14ac:dyDescent="0.25">
      <c r="A17">
        <v>1962</v>
      </c>
      <c r="B17">
        <v>585.65</v>
      </c>
      <c r="C17">
        <v>19.0618007241955</v>
      </c>
      <c r="D17">
        <v>1.3623128E-2</v>
      </c>
      <c r="E17">
        <v>383.33300000000003</v>
      </c>
      <c r="F17">
        <v>3.8</v>
      </c>
      <c r="H17">
        <v>6.6952411546051097E-2</v>
      </c>
      <c r="I17">
        <v>0.35757575800000002</v>
      </c>
      <c r="J17">
        <v>231.46067325326371</v>
      </c>
      <c r="K17">
        <v>38.299999999999997</v>
      </c>
      <c r="L17">
        <v>2.7779999999999999E-2</v>
      </c>
      <c r="M17">
        <v>0.24580980440920561</v>
      </c>
      <c r="N17" s="1">
        <f t="shared" si="0"/>
        <v>0.21802980440920561</v>
      </c>
      <c r="O17">
        <v>5.5666666664999899E-2</v>
      </c>
      <c r="P17" s="3">
        <v>8.0836083605940495E-2</v>
      </c>
      <c r="Q17" s="1">
        <f t="shared" si="1"/>
        <v>3072.3749999999923</v>
      </c>
      <c r="R17">
        <v>7.5030976091046697E-2</v>
      </c>
      <c r="S17">
        <v>9.3178843263683503E-2</v>
      </c>
      <c r="T17">
        <v>6.0593460096958499E-2</v>
      </c>
      <c r="U17">
        <v>8.5060744796624302E-2</v>
      </c>
      <c r="V17" s="4">
        <f t="shared" si="2"/>
        <v>-1.2113193862331912</v>
      </c>
      <c r="W17" s="4">
        <f t="shared" si="3"/>
        <v>-0.85538918647506568</v>
      </c>
      <c r="X17" s="4">
        <f t="shared" si="4"/>
        <v>24.09818925326374</v>
      </c>
      <c r="Y17" s="4">
        <f t="shared" si="5"/>
        <v>175.49999999998727</v>
      </c>
      <c r="Z17" s="4">
        <f t="shared" si="6"/>
        <v>0.64242424199999992</v>
      </c>
      <c r="AA17" s="4">
        <f t="shared" si="7"/>
        <v>1.3623128E-2</v>
      </c>
      <c r="AI17" s="2"/>
      <c r="AJ17" s="2"/>
      <c r="AK17" s="2"/>
      <c r="AL17" s="2"/>
      <c r="AM17" s="2"/>
      <c r="AN17" s="2"/>
    </row>
    <row r="18" spans="1:40" x14ac:dyDescent="0.25">
      <c r="A18">
        <v>1963</v>
      </c>
      <c r="B18">
        <v>617.77499999999998</v>
      </c>
      <c r="C18">
        <v>19.265132379081301</v>
      </c>
      <c r="D18">
        <v>1.066697E-2</v>
      </c>
      <c r="E18">
        <v>422.34800000000007</v>
      </c>
      <c r="F18">
        <v>4.9000000000000004</v>
      </c>
      <c r="H18">
        <v>7.4985059335780702E-2</v>
      </c>
      <c r="I18">
        <v>0.35555555599999999</v>
      </c>
      <c r="J18">
        <v>249.74695019801985</v>
      </c>
      <c r="K18">
        <v>40.4</v>
      </c>
      <c r="L18">
        <v>3.1570000000000001E-2</v>
      </c>
      <c r="M18">
        <v>0.16852802621985055</v>
      </c>
      <c r="N18" s="1">
        <f t="shared" si="0"/>
        <v>0.13695802621985054</v>
      </c>
      <c r="O18">
        <v>5.6416666667499997E-2</v>
      </c>
      <c r="P18" s="3">
        <v>7.8201320133168301E-2</v>
      </c>
      <c r="Q18" s="1">
        <f t="shared" si="1"/>
        <v>3206.7</v>
      </c>
      <c r="R18">
        <v>5.48535814906514E-2</v>
      </c>
      <c r="S18">
        <v>0.101778349372477</v>
      </c>
      <c r="T18">
        <v>4.3738332228123497E-2</v>
      </c>
      <c r="U18">
        <v>8.6705926956633705E-2</v>
      </c>
      <c r="V18" s="4">
        <f t="shared" si="2"/>
        <v>-1.2372670880923757</v>
      </c>
      <c r="W18" s="4">
        <f t="shared" si="3"/>
        <v>-0.98189128927968439</v>
      </c>
      <c r="X18" s="4">
        <f t="shared" si="4"/>
        <v>18.286276944756139</v>
      </c>
      <c r="Y18" s="4">
        <f t="shared" si="5"/>
        <v>134.32500000000755</v>
      </c>
      <c r="Z18" s="4">
        <f t="shared" si="6"/>
        <v>0.64444444400000001</v>
      </c>
      <c r="AA18" s="4">
        <f t="shared" si="7"/>
        <v>1.066697E-2</v>
      </c>
      <c r="AI18" s="2"/>
      <c r="AJ18" s="2"/>
      <c r="AK18" s="2"/>
      <c r="AL18" s="2"/>
      <c r="AM18" s="2"/>
      <c r="AN18" s="2"/>
    </row>
    <row r="19" spans="1:40" x14ac:dyDescent="0.25">
      <c r="A19">
        <v>1964</v>
      </c>
      <c r="B19">
        <v>663.65</v>
      </c>
      <c r="C19">
        <v>19.563278872160001</v>
      </c>
      <c r="D19">
        <v>1.5475964E-2</v>
      </c>
      <c r="E19">
        <v>462.80499999999995</v>
      </c>
      <c r="F19">
        <v>7.5</v>
      </c>
      <c r="H19">
        <v>7.7628586459471405E-2</v>
      </c>
      <c r="I19">
        <v>0.37080635699999998</v>
      </c>
      <c r="J19">
        <v>270.79153941865508</v>
      </c>
      <c r="K19">
        <v>46.1</v>
      </c>
      <c r="L19">
        <v>3.5490000000000001E-2</v>
      </c>
      <c r="M19">
        <v>0.18526608515762</v>
      </c>
      <c r="N19" s="1">
        <f t="shared" si="0"/>
        <v>0.14977608515762</v>
      </c>
      <c r="O19">
        <v>5.1583333334999898E-2</v>
      </c>
      <c r="P19" s="3">
        <v>6.7884007152908293E-2</v>
      </c>
      <c r="Q19" s="1">
        <f t="shared" si="1"/>
        <v>3392.3249999999907</v>
      </c>
      <c r="R19">
        <v>7.4258427420986595E-2</v>
      </c>
      <c r="S19">
        <v>9.5790674988398106E-2</v>
      </c>
      <c r="T19">
        <v>5.78944233637637E-2</v>
      </c>
      <c r="U19">
        <v>8.3945582599654706E-2</v>
      </c>
      <c r="V19" s="4">
        <f t="shared" si="2"/>
        <v>-1.0413840835899804</v>
      </c>
      <c r="W19" s="4">
        <f t="shared" si="3"/>
        <v>-0.77610125594087265</v>
      </c>
      <c r="X19" s="4">
        <f t="shared" si="4"/>
        <v>21.044589220635231</v>
      </c>
      <c r="Y19" s="4">
        <f t="shared" si="5"/>
        <v>185.62499999999091</v>
      </c>
      <c r="Z19" s="4">
        <f t="shared" si="6"/>
        <v>0.62919364300000002</v>
      </c>
      <c r="AA19" s="4">
        <f t="shared" si="7"/>
        <v>1.5475964E-2</v>
      </c>
      <c r="AI19" s="2"/>
      <c r="AJ19" s="2"/>
      <c r="AK19" s="2"/>
      <c r="AL19" s="2"/>
      <c r="AM19" s="2"/>
      <c r="AN19" s="2"/>
    </row>
    <row r="20" spans="1:40" x14ac:dyDescent="0.25">
      <c r="A20">
        <v>1965</v>
      </c>
      <c r="B20">
        <v>719.125</v>
      </c>
      <c r="C20">
        <v>19.919532429400402</v>
      </c>
      <c r="D20">
        <v>1.8210318999999999E-2</v>
      </c>
      <c r="E20">
        <v>511.10199999999998</v>
      </c>
      <c r="F20">
        <v>6.2</v>
      </c>
      <c r="H20">
        <v>8.2117079786031694E-2</v>
      </c>
      <c r="I20">
        <v>0.39723844899999999</v>
      </c>
      <c r="J20">
        <v>303.28834504537213</v>
      </c>
      <c r="K20">
        <v>55.1</v>
      </c>
      <c r="L20">
        <v>3.9539999999999999E-2</v>
      </c>
      <c r="M20">
        <v>0.25778757374461897</v>
      </c>
      <c r="N20" s="1">
        <f t="shared" si="0"/>
        <v>0.21824757374461898</v>
      </c>
      <c r="O20">
        <v>4.5083333335000003E-2</v>
      </c>
      <c r="P20" s="3">
        <v>5.2634419693914997E-2</v>
      </c>
      <c r="Q20" s="1">
        <f t="shared" si="1"/>
        <v>3610.1500000000069</v>
      </c>
      <c r="R20">
        <v>8.3590748135312296E-2</v>
      </c>
      <c r="S20">
        <v>0.10435712665161299</v>
      </c>
      <c r="T20">
        <v>6.4170974185296506E-2</v>
      </c>
      <c r="U20">
        <v>7.6689754881411096E-2</v>
      </c>
      <c r="V20" s="4">
        <f t="shared" si="2"/>
        <v>-0.70188731904340063</v>
      </c>
      <c r="W20" s="4">
        <f t="shared" si="3"/>
        <v>-0.65909071140491648</v>
      </c>
      <c r="X20" s="4">
        <f t="shared" si="4"/>
        <v>32.496805626717048</v>
      </c>
      <c r="Y20" s="4">
        <f t="shared" si="5"/>
        <v>217.82500000001619</v>
      </c>
      <c r="Z20" s="4">
        <f t="shared" si="6"/>
        <v>0.60276155099999995</v>
      </c>
      <c r="AA20" s="4">
        <f t="shared" si="7"/>
        <v>1.8210318999999999E-2</v>
      </c>
      <c r="AI20" s="2"/>
      <c r="AJ20" s="2"/>
      <c r="AK20" s="2"/>
      <c r="AL20" s="2"/>
      <c r="AM20" s="2"/>
      <c r="AN20" s="2"/>
    </row>
    <row r="21" spans="1:40" x14ac:dyDescent="0.25">
      <c r="A21">
        <v>1966</v>
      </c>
      <c r="B21">
        <v>787.67499999999995</v>
      </c>
      <c r="C21">
        <v>20.483964294305402</v>
      </c>
      <c r="D21">
        <v>2.8335598E-2</v>
      </c>
      <c r="E21">
        <v>541.77</v>
      </c>
      <c r="F21">
        <v>3.8</v>
      </c>
      <c r="H21">
        <v>4.7930471058578103E-2</v>
      </c>
      <c r="I21">
        <v>0.42235410499999998</v>
      </c>
      <c r="J21">
        <v>323.75735548589347</v>
      </c>
      <c r="K21">
        <v>63.8</v>
      </c>
      <c r="L21">
        <v>4.8809999999999999E-2</v>
      </c>
      <c r="M21">
        <v>0.13306828610762145</v>
      </c>
      <c r="N21" s="1">
        <f t="shared" si="0"/>
        <v>8.4258286107621455E-2</v>
      </c>
      <c r="O21">
        <v>3.7916666667499897E-2</v>
      </c>
      <c r="P21" s="3">
        <v>3.8792629263778799E-2</v>
      </c>
      <c r="Q21" s="1">
        <f t="shared" si="1"/>
        <v>3845.3250000000039</v>
      </c>
      <c r="R21">
        <v>9.5324178689379396E-2</v>
      </c>
      <c r="S21">
        <v>6.0003678326439699E-2</v>
      </c>
      <c r="T21">
        <v>6.5165867969753793E-2</v>
      </c>
      <c r="U21">
        <v>6.55070311316302E-2</v>
      </c>
      <c r="V21" s="4">
        <f t="shared" si="2"/>
        <v>-0.37929900664403082</v>
      </c>
      <c r="W21" s="4">
        <f t="shared" si="3"/>
        <v>-0.22580227249757565</v>
      </c>
      <c r="X21" s="4">
        <f t="shared" si="4"/>
        <v>20.469010440521345</v>
      </c>
      <c r="Y21" s="4">
        <f t="shared" si="5"/>
        <v>235.174999999997</v>
      </c>
      <c r="Z21" s="4">
        <f t="shared" si="6"/>
        <v>0.57764589500000008</v>
      </c>
      <c r="AA21" s="4">
        <f t="shared" si="7"/>
        <v>2.8335598E-2</v>
      </c>
      <c r="AI21" s="2"/>
      <c r="AJ21" s="2"/>
      <c r="AK21" s="2"/>
      <c r="AL21" s="2"/>
      <c r="AM21" s="2"/>
      <c r="AN21" s="2"/>
    </row>
    <row r="22" spans="1:40" x14ac:dyDescent="0.25">
      <c r="A22">
        <v>1967</v>
      </c>
      <c r="B22">
        <v>832.45</v>
      </c>
      <c r="C22">
        <v>21.1146409978377</v>
      </c>
      <c r="D22">
        <v>3.0788801000000001E-2</v>
      </c>
      <c r="E22">
        <v>591.86799999999994</v>
      </c>
      <c r="F22">
        <v>3.5</v>
      </c>
      <c r="H22">
        <v>6.8045831085155606E-2</v>
      </c>
      <c r="I22">
        <v>0.42166910699999999</v>
      </c>
      <c r="J22">
        <v>318.65933975346695</v>
      </c>
      <c r="K22">
        <v>64.900000000000006</v>
      </c>
      <c r="L22">
        <v>4.3209999999999998E-2</v>
      </c>
      <c r="M22">
        <v>-2.2424706322610095E-3</v>
      </c>
      <c r="N22" s="1">
        <f t="shared" si="0"/>
        <v>-4.5452470632261009E-2</v>
      </c>
      <c r="O22">
        <v>3.8416666664999898E-2</v>
      </c>
      <c r="P22" s="3">
        <v>3.3281765675123698E-2</v>
      </c>
      <c r="Q22" s="1">
        <f t="shared" si="1"/>
        <v>3942.5249999999965</v>
      </c>
      <c r="R22">
        <v>5.68445107436443E-2</v>
      </c>
      <c r="S22">
        <v>9.2470974767890401E-2</v>
      </c>
      <c r="T22">
        <v>2.5261802418793299E-2</v>
      </c>
      <c r="U22">
        <v>5.2381101131225197E-2</v>
      </c>
      <c r="V22" s="4">
        <f t="shared" si="2"/>
        <v>-0.38809719805169074</v>
      </c>
      <c r="W22" s="4">
        <f t="shared" si="3"/>
        <v>-0.12082299259893722</v>
      </c>
      <c r="X22" s="4">
        <f t="shared" si="4"/>
        <v>-5.0980157324265178</v>
      </c>
      <c r="Y22" s="4">
        <f t="shared" si="5"/>
        <v>97.199999999992542</v>
      </c>
      <c r="Z22" s="4">
        <f t="shared" si="6"/>
        <v>0.57833089299999996</v>
      </c>
      <c r="AA22" s="4">
        <f t="shared" si="7"/>
        <v>3.0788801000000001E-2</v>
      </c>
      <c r="AI22" s="2"/>
      <c r="AJ22" s="2"/>
      <c r="AK22" s="2"/>
      <c r="AL22" s="2"/>
      <c r="AM22" s="2"/>
      <c r="AN22" s="2"/>
    </row>
    <row r="23" spans="1:40" x14ac:dyDescent="0.25">
      <c r="A23">
        <v>1968</v>
      </c>
      <c r="B23">
        <v>909.85</v>
      </c>
      <c r="C23">
        <v>22.012144965403799</v>
      </c>
      <c r="D23">
        <v>4.2506239000000001E-2</v>
      </c>
      <c r="E23">
        <v>648.85299999999995</v>
      </c>
      <c r="F23">
        <v>1.5</v>
      </c>
      <c r="H23">
        <v>7.0256471860171699E-2</v>
      </c>
      <c r="I23">
        <v>0.42962281499999999</v>
      </c>
      <c r="J23">
        <v>333.69679429859167</v>
      </c>
      <c r="K23">
        <v>71</v>
      </c>
      <c r="L23">
        <v>5.3390000000000007E-2</v>
      </c>
      <c r="M23">
        <v>0.10367347595546927</v>
      </c>
      <c r="N23" s="1">
        <f t="shared" si="0"/>
        <v>5.0283475955469267E-2</v>
      </c>
      <c r="O23">
        <v>3.5583333332499897E-2</v>
      </c>
      <c r="P23" s="3">
        <v>2.9652777777083299E-2</v>
      </c>
      <c r="Q23" s="1">
        <f t="shared" si="1"/>
        <v>4133.3999999999969</v>
      </c>
      <c r="R23">
        <v>9.2978557270706905E-2</v>
      </c>
      <c r="S23">
        <v>9.6279913764555594E-2</v>
      </c>
      <c r="T23">
        <v>4.8439134870569202E-2</v>
      </c>
      <c r="U23">
        <v>3.9483584349793197E-2</v>
      </c>
      <c r="V23" s="4">
        <f t="shared" si="2"/>
        <v>-0.2859388773198982</v>
      </c>
      <c r="W23" s="4">
        <f t="shared" si="3"/>
        <v>0.38059829357140479</v>
      </c>
      <c r="X23" s="4">
        <f t="shared" si="4"/>
        <v>15.037454545124717</v>
      </c>
      <c r="Y23" s="4">
        <f t="shared" si="5"/>
        <v>190.87500000000045</v>
      </c>
      <c r="Z23" s="4">
        <f t="shared" si="6"/>
        <v>0.57037718500000001</v>
      </c>
      <c r="AA23" s="4">
        <f t="shared" si="7"/>
        <v>4.2506239000000001E-2</v>
      </c>
      <c r="AI23" s="2"/>
      <c r="AJ23" s="2"/>
      <c r="AK23" s="2"/>
      <c r="AL23" s="2"/>
      <c r="AM23" s="2"/>
      <c r="AN23" s="2"/>
    </row>
    <row r="24" spans="1:40" x14ac:dyDescent="0.25">
      <c r="A24">
        <v>1969</v>
      </c>
      <c r="B24">
        <v>984.45</v>
      </c>
      <c r="C24">
        <v>23.099259120212601</v>
      </c>
      <c r="D24">
        <v>4.9387015999999999E-2</v>
      </c>
      <c r="E24">
        <v>684.83199999999999</v>
      </c>
      <c r="F24">
        <v>1.6</v>
      </c>
      <c r="H24">
        <v>4.1302412485574501E-2</v>
      </c>
      <c r="I24">
        <v>0.46657754000000001</v>
      </c>
      <c r="J24">
        <v>322.97485366666677</v>
      </c>
      <c r="K24">
        <v>79.2</v>
      </c>
      <c r="L24">
        <v>6.6769999999999996E-2</v>
      </c>
      <c r="M24">
        <v>-9.0829713397683354E-3</v>
      </c>
      <c r="N24" s="1">
        <f t="shared" si="0"/>
        <v>-7.585297133976833E-2</v>
      </c>
      <c r="O24">
        <v>3.4916666667499999E-2</v>
      </c>
      <c r="P24" s="3">
        <v>2.72822469753486E-2</v>
      </c>
      <c r="Q24" s="1">
        <f t="shared" si="1"/>
        <v>4261.8249999999971</v>
      </c>
      <c r="R24">
        <v>8.1991537066549394E-2</v>
      </c>
      <c r="S24">
        <v>5.5450155890471302E-2</v>
      </c>
      <c r="T24">
        <v>3.1074839339749898E-2</v>
      </c>
      <c r="U24">
        <v>2.80072892456187E-2</v>
      </c>
      <c r="V24" s="4">
        <f t="shared" si="2"/>
        <v>0.18871176978773904</v>
      </c>
      <c r="W24" s="4">
        <f t="shared" si="3"/>
        <v>0.67504559964559141</v>
      </c>
      <c r="X24" s="4">
        <f t="shared" si="4"/>
        <v>-10.721940631924895</v>
      </c>
      <c r="Y24" s="4">
        <f t="shared" si="5"/>
        <v>128.42500000000018</v>
      </c>
      <c r="Z24" s="4">
        <f t="shared" si="6"/>
        <v>0.53342245999999993</v>
      </c>
      <c r="AA24" s="4">
        <f t="shared" si="7"/>
        <v>4.9387015999999999E-2</v>
      </c>
      <c r="AI24" s="2"/>
      <c r="AJ24" s="2"/>
      <c r="AK24" s="2"/>
      <c r="AL24" s="2"/>
      <c r="AM24" s="2"/>
      <c r="AN24" s="2"/>
    </row>
    <row r="25" spans="1:40" x14ac:dyDescent="0.25">
      <c r="A25">
        <v>1970</v>
      </c>
      <c r="B25">
        <v>1038.3499999999999</v>
      </c>
      <c r="C25">
        <v>24.317614960362501</v>
      </c>
      <c r="D25">
        <v>5.2744368999999999E-2</v>
      </c>
      <c r="E25">
        <v>729.12099999999998</v>
      </c>
      <c r="F25">
        <v>3.7</v>
      </c>
      <c r="H25">
        <v>4.8747016100360599E-2</v>
      </c>
      <c r="I25">
        <v>0.49703602400000002</v>
      </c>
      <c r="J25">
        <v>290.88282692874691</v>
      </c>
      <c r="K25">
        <v>81.400000000000006</v>
      </c>
      <c r="L25">
        <v>6.4579999999999999E-2</v>
      </c>
      <c r="M25">
        <v>-0.11060145594467521</v>
      </c>
      <c r="N25" s="1">
        <f t="shared" si="0"/>
        <v>-0.17518145594467521</v>
      </c>
      <c r="O25">
        <v>4.9833333334999903E-2</v>
      </c>
      <c r="P25" s="3">
        <v>4.2761276129042798E-2</v>
      </c>
      <c r="Q25" s="1">
        <f t="shared" si="1"/>
        <v>4269.9500000000053</v>
      </c>
      <c r="R25">
        <v>5.4751384021534698E-2</v>
      </c>
      <c r="S25">
        <v>6.4671335451614395E-2</v>
      </c>
      <c r="T25">
        <v>1.8793576574319801E-3</v>
      </c>
      <c r="U25">
        <v>1.92531884334885E-2</v>
      </c>
      <c r="V25" s="4">
        <f t="shared" si="2"/>
        <v>0.5799239663476542</v>
      </c>
      <c r="W25" s="4">
        <f t="shared" si="3"/>
        <v>0.81871593606109938</v>
      </c>
      <c r="X25" s="4">
        <f t="shared" si="4"/>
        <v>-32.092026737919866</v>
      </c>
      <c r="Y25" s="4">
        <f t="shared" si="5"/>
        <v>8.1250000000081855</v>
      </c>
      <c r="Z25" s="4">
        <f t="shared" si="6"/>
        <v>0.50296397599999998</v>
      </c>
      <c r="AA25" s="4">
        <f t="shared" si="7"/>
        <v>5.2744368999999999E-2</v>
      </c>
      <c r="AI25" s="2"/>
      <c r="AJ25" s="2"/>
      <c r="AK25" s="2"/>
      <c r="AL25" s="2"/>
      <c r="AM25" s="2"/>
      <c r="AN25" s="2"/>
    </row>
    <row r="26" spans="1:40" x14ac:dyDescent="0.25">
      <c r="A26">
        <v>1971</v>
      </c>
      <c r="B26">
        <v>1126.8499999999999</v>
      </c>
      <c r="C26">
        <v>25.5333371098397</v>
      </c>
      <c r="D26">
        <v>4.9993478000000001E-2</v>
      </c>
      <c r="E26">
        <v>808.61899999999991</v>
      </c>
      <c r="F26">
        <v>0.3</v>
      </c>
      <c r="H26">
        <v>7.6850772860788702E-2</v>
      </c>
      <c r="I26">
        <v>0.46839080500000002</v>
      </c>
      <c r="J26">
        <v>317.40059029787227</v>
      </c>
      <c r="K26">
        <v>84.6</v>
      </c>
      <c r="L26">
        <v>4.3479999999999998E-2</v>
      </c>
      <c r="M26">
        <v>0.13102393909408358</v>
      </c>
      <c r="N26" s="1">
        <f t="shared" si="0"/>
        <v>8.7543939094083589E-2</v>
      </c>
      <c r="O26">
        <v>5.9499999997499997E-2</v>
      </c>
      <c r="P26" s="3">
        <v>6.6863861383329198E-2</v>
      </c>
      <c r="Q26" s="1">
        <f t="shared" si="1"/>
        <v>4413.2499999999973</v>
      </c>
      <c r="R26">
        <v>8.5231376703423706E-2</v>
      </c>
      <c r="S26">
        <v>0.10903265713098299</v>
      </c>
      <c r="T26">
        <v>3.3590123317818299E-2</v>
      </c>
      <c r="U26">
        <v>1.3483181635733201E-2</v>
      </c>
      <c r="V26" s="4">
        <f t="shared" si="2"/>
        <v>0.21200154952842534</v>
      </c>
      <c r="W26" s="4">
        <f t="shared" si="3"/>
        <v>0.70099777076469094</v>
      </c>
      <c r="X26" s="4">
        <f t="shared" si="4"/>
        <v>26.517763369125362</v>
      </c>
      <c r="Y26" s="4">
        <f t="shared" si="5"/>
        <v>143.299999999992</v>
      </c>
      <c r="Z26" s="4">
        <f t="shared" si="6"/>
        <v>0.53160919499999992</v>
      </c>
      <c r="AA26" s="4">
        <f t="shared" si="7"/>
        <v>4.9993478000000001E-2</v>
      </c>
      <c r="AI26" s="2"/>
      <c r="AJ26" s="2"/>
      <c r="AK26" s="2"/>
      <c r="AL26" s="2"/>
      <c r="AM26" s="2"/>
      <c r="AN26" s="2"/>
    </row>
    <row r="27" spans="1:40" x14ac:dyDescent="0.25">
      <c r="A27">
        <v>1972</v>
      </c>
      <c r="B27">
        <v>1237.9000000000001</v>
      </c>
      <c r="C27">
        <v>26.634536251606999</v>
      </c>
      <c r="D27">
        <v>4.3127896999999998E-2</v>
      </c>
      <c r="E27">
        <v>916.54500000000007</v>
      </c>
      <c r="F27">
        <v>-4</v>
      </c>
      <c r="H27">
        <v>9.2227004481519201E-2</v>
      </c>
      <c r="I27">
        <v>0.468534012</v>
      </c>
      <c r="J27">
        <v>347.86966095218287</v>
      </c>
      <c r="K27">
        <v>96.2</v>
      </c>
      <c r="L27">
        <v>4.0709999999999996E-2</v>
      </c>
      <c r="M27">
        <v>0.16809635773610299</v>
      </c>
      <c r="N27" s="1">
        <f t="shared" si="0"/>
        <v>0.12738635773610299</v>
      </c>
      <c r="O27">
        <v>5.6000000002500001E-2</v>
      </c>
      <c r="P27" s="3">
        <v>6.6580858088781003E-2</v>
      </c>
      <c r="Q27" s="1">
        <f t="shared" si="1"/>
        <v>4647.7249999999949</v>
      </c>
      <c r="R27">
        <v>9.8549052668944495E-2</v>
      </c>
      <c r="S27">
        <v>0.13346953262290401</v>
      </c>
      <c r="T27">
        <v>5.3097539395388201E-2</v>
      </c>
      <c r="U27">
        <v>9.0146366903484498E-3</v>
      </c>
      <c r="V27" s="4">
        <f t="shared" si="2"/>
        <v>0.21384091635419208</v>
      </c>
      <c r="W27" s="4">
        <f t="shared" si="3"/>
        <v>0.40720074317839916</v>
      </c>
      <c r="X27" s="4">
        <f t="shared" si="4"/>
        <v>30.469070654310599</v>
      </c>
      <c r="Y27" s="4">
        <f t="shared" si="5"/>
        <v>234.47499999999764</v>
      </c>
      <c r="Z27" s="4">
        <f t="shared" si="6"/>
        <v>0.531465988</v>
      </c>
      <c r="AA27" s="4">
        <f t="shared" si="7"/>
        <v>4.3127896999999998E-2</v>
      </c>
      <c r="AI27" s="2"/>
      <c r="AJ27" s="2"/>
      <c r="AK27" s="2"/>
      <c r="AL27" s="2"/>
      <c r="AM27" s="2"/>
      <c r="AN27" s="2"/>
    </row>
    <row r="28" spans="1:40" x14ac:dyDescent="0.25">
      <c r="A28">
        <v>1973</v>
      </c>
      <c r="B28">
        <v>1382.2750000000001</v>
      </c>
      <c r="C28">
        <v>28.1118760232253</v>
      </c>
      <c r="D28">
        <v>5.5467072999999999E-2</v>
      </c>
      <c r="E28">
        <v>1037.451</v>
      </c>
      <c r="F28">
        <v>8.9</v>
      </c>
      <c r="H28">
        <v>0.104859843282979</v>
      </c>
      <c r="I28">
        <v>0.49356085</v>
      </c>
      <c r="J28">
        <v>365.00404860627174</v>
      </c>
      <c r="K28">
        <v>114.8</v>
      </c>
      <c r="L28">
        <v>7.041E-2</v>
      </c>
      <c r="M28">
        <v>0.10700337043676085</v>
      </c>
      <c r="N28" s="1">
        <f t="shared" si="0"/>
        <v>3.659337043676085E-2</v>
      </c>
      <c r="O28">
        <v>4.8583333332499902E-2</v>
      </c>
      <c r="P28" s="3">
        <v>4.8182480747248298E-2</v>
      </c>
      <c r="Q28" s="1">
        <f t="shared" si="1"/>
        <v>4917.0500000000011</v>
      </c>
      <c r="R28">
        <v>0.116628968414249</v>
      </c>
      <c r="S28">
        <v>0.13191496325875901</v>
      </c>
      <c r="T28">
        <v>5.7961460362605001E-2</v>
      </c>
      <c r="U28">
        <v>4.9050896189725404E-3</v>
      </c>
      <c r="V28" s="4">
        <f t="shared" si="2"/>
        <v>0.53528844036520817</v>
      </c>
      <c r="W28" s="4">
        <f t="shared" si="3"/>
        <v>0.93522790237499276</v>
      </c>
      <c r="X28" s="4">
        <f t="shared" si="4"/>
        <v>17.134387654088869</v>
      </c>
      <c r="Y28" s="4">
        <f t="shared" si="5"/>
        <v>269.32500000000618</v>
      </c>
      <c r="Z28" s="4">
        <f t="shared" si="6"/>
        <v>0.50643915000000006</v>
      </c>
      <c r="AA28" s="4">
        <f t="shared" si="7"/>
        <v>5.5467072999999999E-2</v>
      </c>
      <c r="AI28" s="2"/>
      <c r="AJ28" s="2"/>
      <c r="AK28" s="2"/>
      <c r="AL28" s="2"/>
      <c r="AM28" s="2"/>
      <c r="AN28" s="2"/>
    </row>
    <row r="29" spans="1:40" x14ac:dyDescent="0.25">
      <c r="A29">
        <v>1974</v>
      </c>
      <c r="B29">
        <v>1499.45</v>
      </c>
      <c r="C29">
        <v>30.664226262295799</v>
      </c>
      <c r="D29">
        <v>9.0792597000000003E-2</v>
      </c>
      <c r="E29">
        <v>1126.1369999999999</v>
      </c>
      <c r="F29">
        <v>6</v>
      </c>
      <c r="H29">
        <v>6.8500117559819801E-2</v>
      </c>
      <c r="I29">
        <v>0.53809523800000003</v>
      </c>
      <c r="J29">
        <v>331.82391065243917</v>
      </c>
      <c r="K29">
        <v>131.19999999999999</v>
      </c>
      <c r="L29">
        <v>7.886E-2</v>
      </c>
      <c r="M29">
        <v>-7.6671436144077884E-2</v>
      </c>
      <c r="N29" s="1">
        <f t="shared" si="0"/>
        <v>-0.15553143614407788</v>
      </c>
      <c r="O29">
        <v>5.6416666664999997E-2</v>
      </c>
      <c r="P29" s="3">
        <v>5.4368536852079201E-2</v>
      </c>
      <c r="Q29" s="1">
        <f t="shared" si="1"/>
        <v>4889.8999999999924</v>
      </c>
      <c r="R29">
        <v>8.4769673183700697E-2</v>
      </c>
      <c r="S29">
        <v>8.5484519268861803E-2</v>
      </c>
      <c r="T29">
        <v>-5.5098795806096199E-3</v>
      </c>
      <c r="U29">
        <v>1.39593007634034E-3</v>
      </c>
      <c r="V29" s="4">
        <f t="shared" si="2"/>
        <v>1.1072931321263457</v>
      </c>
      <c r="W29" s="4">
        <f t="shared" si="3"/>
        <v>2.4469038915051495</v>
      </c>
      <c r="X29" s="4">
        <f t="shared" si="4"/>
        <v>-33.18013795383257</v>
      </c>
      <c r="Y29" s="4">
        <f t="shared" si="5"/>
        <v>-27.150000000008731</v>
      </c>
      <c r="Z29" s="4">
        <f t="shared" si="6"/>
        <v>0.46190476199999997</v>
      </c>
      <c r="AA29" s="4">
        <f t="shared" si="7"/>
        <v>9.0792597000000003E-2</v>
      </c>
      <c r="AI29" s="2"/>
      <c r="AJ29" s="2"/>
      <c r="AK29" s="2"/>
      <c r="AL29" s="2"/>
      <c r="AM29" s="2"/>
      <c r="AN29" s="2"/>
    </row>
    <row r="30" spans="1:40" x14ac:dyDescent="0.25">
      <c r="A30">
        <v>1975</v>
      </c>
      <c r="B30">
        <v>1637.675</v>
      </c>
      <c r="C30">
        <v>33.562352700071699</v>
      </c>
      <c r="D30">
        <v>9.4511644000000006E-2</v>
      </c>
      <c r="E30">
        <v>1198.8809999999999</v>
      </c>
      <c r="F30">
        <v>19.8</v>
      </c>
      <c r="H30">
        <v>6.1718630164393599E-2</v>
      </c>
      <c r="I30">
        <v>0.49026248900000002</v>
      </c>
      <c r="J30">
        <v>352.46358284179109</v>
      </c>
      <c r="K30">
        <v>134</v>
      </c>
      <c r="L30">
        <v>5.8380000000000001E-2</v>
      </c>
      <c r="M30">
        <v>5.1206658271717657E-2</v>
      </c>
      <c r="N30" s="1">
        <f t="shared" si="0"/>
        <v>-7.1733417282823439E-3</v>
      </c>
      <c r="O30">
        <v>8.4750000002499895E-2</v>
      </c>
      <c r="P30" s="3">
        <v>0.119573019805507</v>
      </c>
      <c r="Q30" s="1">
        <f t="shared" si="1"/>
        <v>4879.5000000000045</v>
      </c>
      <c r="R30">
        <v>9.2183800726933093E-2</v>
      </c>
      <c r="S30">
        <v>6.4596048260557995E-2</v>
      </c>
      <c r="T30">
        <v>-2.1237093888717799E-3</v>
      </c>
      <c r="U30">
        <v>-9.5450317900302702E-4</v>
      </c>
      <c r="V30" s="4">
        <f t="shared" si="2"/>
        <v>0.49292392045484273</v>
      </c>
      <c r="W30" s="4">
        <f t="shared" si="3"/>
        <v>2.6060521054805896</v>
      </c>
      <c r="X30" s="4">
        <f t="shared" si="4"/>
        <v>20.639672189351927</v>
      </c>
      <c r="Y30" s="4">
        <f t="shared" si="5"/>
        <v>-10.399999999987813</v>
      </c>
      <c r="Z30" s="4">
        <f t="shared" si="6"/>
        <v>0.50973751099999998</v>
      </c>
      <c r="AA30" s="4">
        <f t="shared" si="7"/>
        <v>9.4511644000000006E-2</v>
      </c>
      <c r="AI30" s="2"/>
      <c r="AJ30" s="2"/>
      <c r="AK30" s="2"/>
      <c r="AL30" s="2"/>
      <c r="AM30" s="2"/>
      <c r="AN30" s="2"/>
    </row>
    <row r="31" spans="1:40" x14ac:dyDescent="0.25">
      <c r="A31">
        <v>1976</v>
      </c>
      <c r="B31">
        <v>1824.575</v>
      </c>
      <c r="C31">
        <v>35.488592379359297</v>
      </c>
      <c r="D31">
        <v>5.7392868E-2</v>
      </c>
      <c r="E31">
        <v>1327.23</v>
      </c>
      <c r="F31">
        <v>7.1</v>
      </c>
      <c r="H31">
        <v>8.2708107530492903E-2</v>
      </c>
      <c r="I31">
        <v>0.48820096400000002</v>
      </c>
      <c r="J31">
        <v>390.78612483445499</v>
      </c>
      <c r="K31">
        <v>148.6</v>
      </c>
      <c r="L31">
        <v>4.9889999999999997E-2</v>
      </c>
      <c r="M31">
        <v>0.1788507473506982</v>
      </c>
      <c r="N31" s="1">
        <f t="shared" si="0"/>
        <v>0.12896074735069821</v>
      </c>
      <c r="O31">
        <v>7.6999999999999902E-2</v>
      </c>
      <c r="P31" s="3">
        <v>0.120264851485148</v>
      </c>
      <c r="Q31" s="1">
        <f t="shared" si="1"/>
        <v>5141.3000000000011</v>
      </c>
      <c r="R31">
        <v>0.114125207993039</v>
      </c>
      <c r="S31">
        <v>0.10705733096112099</v>
      </c>
      <c r="T31">
        <v>5.3629863638377198E-2</v>
      </c>
      <c r="U31">
        <v>-3.1568306892758502E-3</v>
      </c>
      <c r="V31" s="4">
        <f t="shared" si="2"/>
        <v>0.46644546133280695</v>
      </c>
      <c r="W31" s="4">
        <f t="shared" si="3"/>
        <v>1.0176379484789631</v>
      </c>
      <c r="X31" s="4">
        <f t="shared" si="4"/>
        <v>38.322541992663901</v>
      </c>
      <c r="Y31" s="4">
        <f t="shared" si="5"/>
        <v>261.79999999999654</v>
      </c>
      <c r="Z31" s="4">
        <f t="shared" si="6"/>
        <v>0.51179903599999998</v>
      </c>
      <c r="AA31" s="4">
        <f t="shared" si="7"/>
        <v>5.7392868E-2</v>
      </c>
      <c r="AI31" s="2"/>
      <c r="AJ31" s="2"/>
      <c r="AK31" s="2"/>
      <c r="AL31" s="2"/>
      <c r="AM31" s="2"/>
      <c r="AN31" s="2"/>
    </row>
    <row r="32" spans="1:40" x14ac:dyDescent="0.25">
      <c r="A32">
        <v>1977</v>
      </c>
      <c r="B32">
        <v>2030.125</v>
      </c>
      <c r="C32">
        <v>37.7511552443911</v>
      </c>
      <c r="D32">
        <v>6.3754651999999995E-2</v>
      </c>
      <c r="E32">
        <v>1491.2529999999999</v>
      </c>
      <c r="F32">
        <v>-10.9</v>
      </c>
      <c r="H32">
        <v>8.39225573078662E-2</v>
      </c>
      <c r="I32">
        <v>0.511976718</v>
      </c>
      <c r="J32">
        <v>426.95915627508452</v>
      </c>
      <c r="K32">
        <v>177.4</v>
      </c>
      <c r="L32">
        <v>5.2649999999999995E-2</v>
      </c>
      <c r="M32">
        <v>0.134696972032776</v>
      </c>
      <c r="N32" s="1">
        <f t="shared" si="0"/>
        <v>8.2046972032776E-2</v>
      </c>
      <c r="O32">
        <v>7.0499999999999993E-2</v>
      </c>
      <c r="P32" s="3">
        <v>9.9584158415841506E-2</v>
      </c>
      <c r="Q32" s="1">
        <f t="shared" si="1"/>
        <v>5377.6500000000051</v>
      </c>
      <c r="R32">
        <v>0.11265637203184301</v>
      </c>
      <c r="S32">
        <v>0.12358295095801</v>
      </c>
      <c r="T32">
        <v>4.5987178804219202E-2</v>
      </c>
      <c r="U32">
        <v>-6.2841279649063801E-3</v>
      </c>
      <c r="V32" s="4">
        <f t="shared" si="2"/>
        <v>0.77182392163989832</v>
      </c>
      <c r="W32" s="4">
        <f t="shared" si="3"/>
        <v>1.2898761216715928</v>
      </c>
      <c r="X32" s="4">
        <f t="shared" si="4"/>
        <v>36.173031440629529</v>
      </c>
      <c r="Y32" s="4">
        <f t="shared" si="5"/>
        <v>236.350000000004</v>
      </c>
      <c r="Z32" s="4">
        <f t="shared" si="6"/>
        <v>0.488023282</v>
      </c>
      <c r="AA32" s="4">
        <f t="shared" si="7"/>
        <v>6.3754651999999995E-2</v>
      </c>
      <c r="AI32" s="2"/>
      <c r="AJ32" s="2"/>
      <c r="AK32" s="2"/>
      <c r="AL32" s="2"/>
      <c r="AM32" s="2"/>
      <c r="AN32" s="2"/>
    </row>
    <row r="33" spans="1:40" x14ac:dyDescent="0.25">
      <c r="A33">
        <v>1978</v>
      </c>
      <c r="B33">
        <v>2293.75</v>
      </c>
      <c r="C33">
        <v>40.399815063516897</v>
      </c>
      <c r="D33">
        <v>7.0161027000000001E-2</v>
      </c>
      <c r="E33">
        <v>1668.289</v>
      </c>
      <c r="F33">
        <v>-12.6</v>
      </c>
      <c r="H33">
        <v>8.0997968105412196E-2</v>
      </c>
      <c r="I33">
        <v>0.54911937399999999</v>
      </c>
      <c r="J33">
        <v>456.5197253895509</v>
      </c>
      <c r="K33">
        <v>218.2</v>
      </c>
      <c r="L33">
        <v>7.2209999999999996E-2</v>
      </c>
      <c r="M33">
        <v>0.13130832605576967</v>
      </c>
      <c r="N33" s="1">
        <f t="shared" si="0"/>
        <v>5.9098326055769673E-2</v>
      </c>
      <c r="O33">
        <v>6.0666666664999903E-2</v>
      </c>
      <c r="P33" s="3">
        <v>7.13283828363242E-2</v>
      </c>
      <c r="Q33" s="1">
        <f t="shared" si="1"/>
        <v>5677.6249999999973</v>
      </c>
      <c r="R33">
        <v>0.12985653592759</v>
      </c>
      <c r="S33">
        <v>0.11871627416675699</v>
      </c>
      <c r="T33">
        <v>5.5772625935704701E-2</v>
      </c>
      <c r="U33">
        <v>-1.0087902209430099E-2</v>
      </c>
      <c r="V33" s="4">
        <f t="shared" si="2"/>
        <v>1.2488883756629321</v>
      </c>
      <c r="W33" s="4">
        <f t="shared" si="3"/>
        <v>1.5640224659654161</v>
      </c>
      <c r="X33" s="4">
        <f t="shared" si="4"/>
        <v>29.560569114466375</v>
      </c>
      <c r="Y33" s="4">
        <f t="shared" si="5"/>
        <v>299.97499999999218</v>
      </c>
      <c r="Z33" s="4">
        <f t="shared" si="6"/>
        <v>0.45088062600000001</v>
      </c>
      <c r="AA33" s="4">
        <f t="shared" si="7"/>
        <v>7.0161027000000001E-2</v>
      </c>
      <c r="AI33" s="2"/>
      <c r="AJ33" s="2"/>
      <c r="AK33" s="2"/>
      <c r="AL33" s="2"/>
      <c r="AM33" s="2"/>
      <c r="AN33" s="2"/>
    </row>
    <row r="34" spans="1:40" x14ac:dyDescent="0.25">
      <c r="A34">
        <v>1979</v>
      </c>
      <c r="B34">
        <v>2562.1999999999998</v>
      </c>
      <c r="C34">
        <v>43.760701277962099</v>
      </c>
      <c r="D34">
        <v>8.3190633999999999E-2</v>
      </c>
      <c r="E34">
        <v>1838.6089999999999</v>
      </c>
      <c r="F34">
        <v>-1.2</v>
      </c>
      <c r="H34">
        <v>7.3730790190735696E-2</v>
      </c>
      <c r="I34">
        <v>0.60786455500000003</v>
      </c>
      <c r="J34">
        <v>443.62029333333334</v>
      </c>
      <c r="K34">
        <v>259.5</v>
      </c>
      <c r="L34">
        <v>0.10041</v>
      </c>
      <c r="M34">
        <v>1.1555534987356892E-3</v>
      </c>
      <c r="N34" s="1">
        <f t="shared" si="0"/>
        <v>-9.9254446501264304E-2</v>
      </c>
      <c r="O34">
        <v>5.8500000002499997E-2</v>
      </c>
      <c r="P34" s="3">
        <v>6.2650990101687204E-2</v>
      </c>
      <c r="Q34" s="1">
        <f t="shared" si="1"/>
        <v>5855.0249999999987</v>
      </c>
      <c r="R34">
        <v>0.11703542234332399</v>
      </c>
      <c r="S34">
        <v>0.10209262304073199</v>
      </c>
      <c r="T34">
        <v>3.1243140300045401E-2</v>
      </c>
      <c r="U34">
        <v>-1.34368193467335E-2</v>
      </c>
      <c r="V34" s="4">
        <f t="shared" si="2"/>
        <v>2.0034180921228781</v>
      </c>
      <c r="W34" s="4">
        <f t="shared" si="3"/>
        <v>2.1215950599261513</v>
      </c>
      <c r="X34" s="4">
        <f t="shared" si="4"/>
        <v>-12.899432056217563</v>
      </c>
      <c r="Y34" s="4">
        <f t="shared" si="5"/>
        <v>177.40000000000146</v>
      </c>
      <c r="Z34" s="4">
        <f t="shared" si="6"/>
        <v>0.39213544499999997</v>
      </c>
      <c r="AA34" s="4">
        <f t="shared" si="7"/>
        <v>8.3190633999999999E-2</v>
      </c>
      <c r="AI34" s="2"/>
      <c r="AJ34" s="2"/>
      <c r="AK34" s="2"/>
      <c r="AL34" s="2"/>
      <c r="AM34" s="2"/>
      <c r="AN34" s="2"/>
    </row>
    <row r="35" spans="1:40" x14ac:dyDescent="0.25">
      <c r="A35">
        <v>1980</v>
      </c>
      <c r="B35">
        <v>2788.15</v>
      </c>
      <c r="C35">
        <v>47.7504709710567</v>
      </c>
      <c r="D35">
        <v>9.1172434999999996E-2</v>
      </c>
      <c r="E35">
        <v>1964.4749999999999</v>
      </c>
      <c r="F35">
        <v>8.5</v>
      </c>
      <c r="H35">
        <v>5.2441651705565501E-2</v>
      </c>
      <c r="I35">
        <v>0.64062223799999995</v>
      </c>
      <c r="J35">
        <v>409.11884210822205</v>
      </c>
      <c r="K35">
        <v>284.60000000000002</v>
      </c>
      <c r="L35">
        <v>0.11506</v>
      </c>
      <c r="M35">
        <v>-5.7693773752115082E-2</v>
      </c>
      <c r="N35" s="1">
        <f t="shared" si="0"/>
        <v>-0.17275377375211509</v>
      </c>
      <c r="O35">
        <v>7.1749999999999897E-2</v>
      </c>
      <c r="P35" s="3">
        <v>8.4714727722772207E-2</v>
      </c>
      <c r="Q35" s="1">
        <f t="shared" si="1"/>
        <v>5838.9999999999982</v>
      </c>
      <c r="R35">
        <v>8.8185933963000604E-2</v>
      </c>
      <c r="S35">
        <v>6.8457186927726302E-2</v>
      </c>
      <c r="T35">
        <v>-2.7203213370707402E-3</v>
      </c>
      <c r="U35">
        <v>-1.45076662786086E-2</v>
      </c>
      <c r="V35" s="4">
        <f t="shared" si="2"/>
        <v>2.4241614594107364</v>
      </c>
      <c r="W35" s="4">
        <f t="shared" si="3"/>
        <v>2.4631582005526025</v>
      </c>
      <c r="X35" s="4">
        <f t="shared" si="4"/>
        <v>-34.501451225111282</v>
      </c>
      <c r="Y35" s="4">
        <f t="shared" si="5"/>
        <v>-16.025000000000546</v>
      </c>
      <c r="Z35" s="4">
        <f t="shared" si="6"/>
        <v>0.35937776200000005</v>
      </c>
      <c r="AA35" s="4">
        <f t="shared" si="7"/>
        <v>9.1172434999999996E-2</v>
      </c>
      <c r="AI35" s="2"/>
      <c r="AJ35" s="2"/>
      <c r="AK35" s="2"/>
      <c r="AL35" s="2"/>
      <c r="AM35" s="2"/>
      <c r="AN35" s="2"/>
    </row>
    <row r="36" spans="1:40" x14ac:dyDescent="0.25">
      <c r="A36">
        <v>1981</v>
      </c>
      <c r="B36">
        <v>3126.85</v>
      </c>
      <c r="C36">
        <v>52.225581239978602</v>
      </c>
      <c r="D36">
        <v>9.3718661999999994E-2</v>
      </c>
      <c r="E36">
        <v>2104.5140000000001</v>
      </c>
      <c r="F36">
        <v>3.4</v>
      </c>
      <c r="H36">
        <v>5.1445940856840497E-2</v>
      </c>
      <c r="I36">
        <v>0.63781321199999996</v>
      </c>
      <c r="J36">
        <v>433.88407418742304</v>
      </c>
      <c r="K36">
        <v>324.39999999999998</v>
      </c>
      <c r="L36">
        <v>0.14029</v>
      </c>
      <c r="M36">
        <v>0.11016305866131283</v>
      </c>
      <c r="N36" s="1">
        <f t="shared" si="0"/>
        <v>-3.0126941338687166E-2</v>
      </c>
      <c r="O36">
        <v>7.6166666664999993E-2</v>
      </c>
      <c r="P36" s="3">
        <v>0.10375508800652999</v>
      </c>
      <c r="Q36" s="1">
        <f t="shared" si="1"/>
        <v>5987.2000000000025</v>
      </c>
      <c r="R36">
        <v>0.12147839965568499</v>
      </c>
      <c r="S36">
        <v>7.1285712467707596E-2</v>
      </c>
      <c r="T36">
        <v>2.5362723232853199E-2</v>
      </c>
      <c r="U36">
        <v>-1.2335861713380299E-2</v>
      </c>
      <c r="V36" s="4">
        <f t="shared" si="2"/>
        <v>2.3880820133144072</v>
      </c>
      <c r="W36" s="4">
        <f t="shared" si="3"/>
        <v>2.5721182323634513</v>
      </c>
      <c r="X36" s="4">
        <f t="shared" si="4"/>
        <v>24.765232079200985</v>
      </c>
      <c r="Y36" s="4">
        <f t="shared" si="5"/>
        <v>148.20000000000437</v>
      </c>
      <c r="Z36" s="4">
        <f t="shared" si="6"/>
        <v>0.36218678800000004</v>
      </c>
      <c r="AA36" s="4">
        <f t="shared" si="7"/>
        <v>9.3718661999999994E-2</v>
      </c>
      <c r="AI36" s="2"/>
      <c r="AJ36" s="2"/>
      <c r="AK36" s="2"/>
      <c r="AL36" s="2"/>
      <c r="AM36" s="2"/>
      <c r="AN36" s="2"/>
    </row>
    <row r="37" spans="1:40" x14ac:dyDescent="0.25">
      <c r="A37">
        <v>1982</v>
      </c>
      <c r="B37">
        <v>3253.1750000000002</v>
      </c>
      <c r="C37">
        <v>55.411389979475203</v>
      </c>
      <c r="D37">
        <v>6.1000924999999998E-2</v>
      </c>
      <c r="E37">
        <v>2204.7710000000002</v>
      </c>
      <c r="F37">
        <v>-3.3</v>
      </c>
      <c r="H37">
        <v>3.10078833330668E-2</v>
      </c>
      <c r="I37">
        <v>0.63316508299999996</v>
      </c>
      <c r="J37">
        <v>414.33587854356466</v>
      </c>
      <c r="K37">
        <v>327.10000000000002</v>
      </c>
      <c r="L37">
        <v>0.10686</v>
      </c>
      <c r="M37">
        <v>-3.3414013114430263E-2</v>
      </c>
      <c r="N37" s="1">
        <f t="shared" si="0"/>
        <v>-0.14027401311443027</v>
      </c>
      <c r="O37">
        <v>9.7083333339999994E-2</v>
      </c>
      <c r="P37" s="3">
        <v>0.15003059681998299</v>
      </c>
      <c r="Q37" s="1">
        <f t="shared" si="1"/>
        <v>5870.9500000000007</v>
      </c>
      <c r="R37">
        <v>4.0400083150774799E-2</v>
      </c>
      <c r="S37">
        <v>4.7639027347881703E-2</v>
      </c>
      <c r="T37">
        <v>-1.9401657746072699E-2</v>
      </c>
      <c r="U37">
        <v>-7.5397476965874E-3</v>
      </c>
      <c r="V37" s="4">
        <f t="shared" si="2"/>
        <v>2.3283809212973572</v>
      </c>
      <c r="W37" s="4">
        <f t="shared" si="3"/>
        <v>1.1720365961625185</v>
      </c>
      <c r="X37" s="4">
        <f t="shared" si="4"/>
        <v>-19.548195643858378</v>
      </c>
      <c r="Y37" s="4">
        <f t="shared" si="5"/>
        <v>-116.25000000000182</v>
      </c>
      <c r="Z37" s="4">
        <f t="shared" si="6"/>
        <v>0.36683491700000004</v>
      </c>
      <c r="AA37" s="4">
        <f t="shared" si="7"/>
        <v>6.1000924999999998E-2</v>
      </c>
      <c r="AI37" s="2"/>
      <c r="AJ37" s="2"/>
      <c r="AK37" s="2"/>
      <c r="AL37" s="2"/>
      <c r="AM37" s="2"/>
      <c r="AN37" s="2"/>
    </row>
    <row r="38" spans="1:40" x14ac:dyDescent="0.25">
      <c r="A38">
        <v>1983</v>
      </c>
      <c r="B38">
        <v>3534.6</v>
      </c>
      <c r="C38">
        <v>57.602659637314801</v>
      </c>
      <c r="D38">
        <v>3.9545473999999997E-2</v>
      </c>
      <c r="E38">
        <v>2434.3789999999999</v>
      </c>
      <c r="F38">
        <v>-35.1</v>
      </c>
      <c r="H38">
        <v>5.9790204953622202E-2</v>
      </c>
      <c r="I38">
        <v>0.54945344399999896</v>
      </c>
      <c r="J38">
        <v>481.86507025641032</v>
      </c>
      <c r="K38">
        <v>323.7</v>
      </c>
      <c r="L38">
        <v>8.6300000000000002E-2</v>
      </c>
      <c r="M38">
        <v>0.20666415066877158</v>
      </c>
      <c r="N38" s="1">
        <f t="shared" si="0"/>
        <v>0.12036415066877158</v>
      </c>
      <c r="O38">
        <v>9.5999999999999905E-2</v>
      </c>
      <c r="P38" s="3">
        <v>0.18954455445544499</v>
      </c>
      <c r="Q38" s="1">
        <f t="shared" si="1"/>
        <v>6136.1749999999975</v>
      </c>
      <c r="R38">
        <v>8.6507796229836897E-2</v>
      </c>
      <c r="S38">
        <v>0.10414142783989799</v>
      </c>
      <c r="T38">
        <v>4.5162291840555001E-2</v>
      </c>
      <c r="U38">
        <v>-9.1530765663465005E-4</v>
      </c>
      <c r="V38" s="4">
        <f t="shared" si="2"/>
        <v>1.2531792083420754</v>
      </c>
      <c r="W38" s="4">
        <f t="shared" si="3"/>
        <v>0.25389904461031493</v>
      </c>
      <c r="X38" s="4">
        <f t="shared" si="4"/>
        <v>67.529191712845659</v>
      </c>
      <c r="Y38" s="4">
        <f t="shared" si="5"/>
        <v>265.22499999999673</v>
      </c>
      <c r="Z38" s="4">
        <f t="shared" si="6"/>
        <v>0.45054655600000104</v>
      </c>
      <c r="AA38" s="4">
        <f t="shared" si="7"/>
        <v>3.9545473999999997E-2</v>
      </c>
      <c r="AI38" s="2"/>
      <c r="AJ38" s="2"/>
      <c r="AK38" s="2"/>
      <c r="AL38" s="2"/>
      <c r="AM38" s="2"/>
      <c r="AN38" s="2"/>
    </row>
    <row r="39" spans="1:40" x14ac:dyDescent="0.25">
      <c r="A39">
        <v>1984</v>
      </c>
      <c r="B39">
        <v>3930.9250000000002</v>
      </c>
      <c r="C39">
        <v>59.766615352452597</v>
      </c>
      <c r="D39">
        <v>3.7566941E-2</v>
      </c>
      <c r="E39">
        <v>2756.0750000000003</v>
      </c>
      <c r="F39">
        <v>-90.1</v>
      </c>
      <c r="H39">
        <v>6.55225485203417E-2</v>
      </c>
      <c r="I39">
        <v>0.53648915200000002</v>
      </c>
      <c r="J39">
        <v>556.79381318039634</v>
      </c>
      <c r="K39">
        <v>383.6</v>
      </c>
      <c r="L39">
        <v>9.5799999999999996E-2</v>
      </c>
      <c r="M39">
        <v>0.25708339108277573</v>
      </c>
      <c r="N39" s="1">
        <f t="shared" si="0"/>
        <v>0.16128339108277573</v>
      </c>
      <c r="O39">
        <v>7.5083333332500002E-2</v>
      </c>
      <c r="P39" s="3">
        <v>0.13449333058156501</v>
      </c>
      <c r="Q39" s="1">
        <f t="shared" si="1"/>
        <v>6577.1250000000036</v>
      </c>
      <c r="R39">
        <v>0.112127256266621</v>
      </c>
      <c r="S39">
        <v>0.132147048590215</v>
      </c>
      <c r="T39">
        <v>7.1860162677166203E-2</v>
      </c>
      <c r="U39">
        <v>5.4138724550388401E-3</v>
      </c>
      <c r="V39" s="4">
        <f t="shared" si="2"/>
        <v>1.0866643827793943</v>
      </c>
      <c r="W39" s="4">
        <f t="shared" si="3"/>
        <v>0.16923219494655189</v>
      </c>
      <c r="X39" s="4">
        <f t="shared" si="4"/>
        <v>74.928742923986022</v>
      </c>
      <c r="Y39" s="4">
        <f t="shared" si="5"/>
        <v>440.95000000000618</v>
      </c>
      <c r="Z39" s="4">
        <f t="shared" si="6"/>
        <v>0.46351084799999998</v>
      </c>
      <c r="AA39" s="4">
        <f t="shared" si="7"/>
        <v>3.7566941E-2</v>
      </c>
      <c r="AI39" s="2"/>
      <c r="AJ39" s="2"/>
      <c r="AK39" s="2"/>
      <c r="AL39" s="2"/>
      <c r="AM39" s="2"/>
      <c r="AN39" s="2"/>
    </row>
    <row r="40" spans="1:40" x14ac:dyDescent="0.25">
      <c r="A40">
        <v>1985</v>
      </c>
      <c r="B40">
        <v>4217.4750000000004</v>
      </c>
      <c r="C40">
        <v>61.575719969339701</v>
      </c>
      <c r="D40">
        <v>3.0269483999999999E-2</v>
      </c>
      <c r="E40">
        <v>3066.6979999999999</v>
      </c>
      <c r="F40">
        <v>-114.3</v>
      </c>
      <c r="H40">
        <v>4.9943206751591501E-2</v>
      </c>
      <c r="I40">
        <v>0.54225061799999896</v>
      </c>
      <c r="J40">
        <v>587.22587303563637</v>
      </c>
      <c r="K40">
        <v>412.5</v>
      </c>
      <c r="L40">
        <v>7.4800000000000005E-2</v>
      </c>
      <c r="M40">
        <v>8.2613775561874422E-2</v>
      </c>
      <c r="N40" s="1">
        <f t="shared" si="0"/>
        <v>7.813775561874417E-3</v>
      </c>
      <c r="O40">
        <v>7.1916666664999906E-2</v>
      </c>
      <c r="P40" s="3">
        <v>0.11113854510193399</v>
      </c>
      <c r="Q40" s="1">
        <f t="shared" si="1"/>
        <v>6849.2500000000018</v>
      </c>
      <c r="R40">
        <v>7.2896328472306093E-2</v>
      </c>
      <c r="S40">
        <v>0.112704842937873</v>
      </c>
      <c r="T40">
        <v>4.1376426916401303E-2</v>
      </c>
      <c r="U40">
        <v>1.05373597635603E-2</v>
      </c>
      <c r="V40" s="4">
        <f t="shared" si="2"/>
        <v>1.1606653005291041</v>
      </c>
      <c r="W40" s="4">
        <f t="shared" si="3"/>
        <v>-0.14304599032848564</v>
      </c>
      <c r="X40" s="4">
        <f t="shared" si="4"/>
        <v>30.432059855240027</v>
      </c>
      <c r="Y40" s="4">
        <f t="shared" si="5"/>
        <v>272.12499999999818</v>
      </c>
      <c r="Z40" s="4">
        <f t="shared" si="6"/>
        <v>0.45774938200000104</v>
      </c>
      <c r="AA40" s="4">
        <f t="shared" si="7"/>
        <v>3.0269483999999999E-2</v>
      </c>
      <c r="AI40" s="2"/>
      <c r="AJ40" s="2"/>
      <c r="AK40" s="2"/>
      <c r="AL40" s="2"/>
      <c r="AM40" s="2"/>
      <c r="AN40" s="2"/>
    </row>
    <row r="41" spans="1:40" x14ac:dyDescent="0.25">
      <c r="A41">
        <v>1986</v>
      </c>
      <c r="B41">
        <v>4460.05</v>
      </c>
      <c r="C41">
        <v>62.936831039081099</v>
      </c>
      <c r="D41">
        <v>2.2104671999999999E-2</v>
      </c>
      <c r="E41">
        <v>3309.8090000000002</v>
      </c>
      <c r="F41">
        <v>-142.69999999999999</v>
      </c>
      <c r="H41">
        <v>2.3808321329705499E-2</v>
      </c>
      <c r="I41">
        <v>0.522359562</v>
      </c>
      <c r="J41">
        <v>580.13514972110363</v>
      </c>
      <c r="K41">
        <v>402.3</v>
      </c>
      <c r="L41">
        <v>5.9800000000000006E-2</v>
      </c>
      <c r="M41">
        <v>-3.1225928221011914E-3</v>
      </c>
      <c r="N41" s="1">
        <f t="shared" si="0"/>
        <v>-6.2922592822101192E-2</v>
      </c>
      <c r="O41">
        <v>7.0000000000000007E-2</v>
      </c>
      <c r="P41" s="3">
        <v>0.104249174917491</v>
      </c>
      <c r="Q41" s="1">
        <f t="shared" si="1"/>
        <v>7086.5499999999975</v>
      </c>
      <c r="R41">
        <v>5.7516642066639298E-2</v>
      </c>
      <c r="S41">
        <v>7.9274516108204907E-2</v>
      </c>
      <c r="T41">
        <v>3.4648056817061103E-2</v>
      </c>
      <c r="U41">
        <v>1.51035826695068E-2</v>
      </c>
      <c r="V41" s="4">
        <f t="shared" si="2"/>
        <v>0.90518233855188046</v>
      </c>
      <c r="W41" s="4">
        <f t="shared" si="3"/>
        <v>-0.49244067322580864</v>
      </c>
      <c r="X41" s="4">
        <f t="shared" si="4"/>
        <v>-7.0907233145327382</v>
      </c>
      <c r="Y41" s="4">
        <f t="shared" si="5"/>
        <v>237.29999999999563</v>
      </c>
      <c r="Z41" s="4">
        <f t="shared" si="6"/>
        <v>0.477640438</v>
      </c>
      <c r="AA41" s="4">
        <f t="shared" si="7"/>
        <v>2.2104671999999999E-2</v>
      </c>
      <c r="AI41" s="2"/>
      <c r="AJ41" s="2"/>
      <c r="AK41" s="2"/>
      <c r="AL41" s="2"/>
      <c r="AM41" s="2"/>
      <c r="AN41" s="2"/>
    </row>
    <row r="42" spans="1:40" x14ac:dyDescent="0.25">
      <c r="A42">
        <v>1987</v>
      </c>
      <c r="B42">
        <v>4736.3500000000004</v>
      </c>
      <c r="C42">
        <v>64.763734441819906</v>
      </c>
      <c r="D42">
        <v>2.9027572000000001E-2</v>
      </c>
      <c r="E42">
        <v>3464.2599999999998</v>
      </c>
      <c r="F42">
        <v>-154.1</v>
      </c>
      <c r="H42">
        <v>7.8698669297429298E-5</v>
      </c>
      <c r="I42">
        <v>0.486178108</v>
      </c>
      <c r="J42">
        <v>639.74710249442091</v>
      </c>
      <c r="K42">
        <v>403.3</v>
      </c>
      <c r="L42">
        <v>5.8200000000000002E-2</v>
      </c>
      <c r="M42">
        <v>0.13243243643085692</v>
      </c>
      <c r="N42" s="1">
        <f t="shared" si="0"/>
        <v>7.4232436430856918E-2</v>
      </c>
      <c r="O42">
        <v>6.1749999999999902E-2</v>
      </c>
      <c r="P42" s="3">
        <v>8.8701938943894304E-2</v>
      </c>
      <c r="Q42" s="1">
        <f t="shared" si="1"/>
        <v>7313.2749999999933</v>
      </c>
      <c r="R42">
        <v>6.1949978139258503E-2</v>
      </c>
      <c r="S42">
        <v>4.6664626266953703E-2</v>
      </c>
      <c r="T42">
        <v>3.1992245292917797E-2</v>
      </c>
      <c r="U42">
        <v>1.9733595975819501E-2</v>
      </c>
      <c r="V42" s="4">
        <f t="shared" si="2"/>
        <v>0.44046367119891811</v>
      </c>
      <c r="W42" s="4">
        <f t="shared" si="3"/>
        <v>-0.19619080853451162</v>
      </c>
      <c r="X42" s="4">
        <f t="shared" si="4"/>
        <v>59.611952773317284</v>
      </c>
      <c r="Y42" s="4">
        <f t="shared" si="5"/>
        <v>226.72499999999582</v>
      </c>
      <c r="Z42" s="4">
        <f t="shared" si="6"/>
        <v>0.51382189199999995</v>
      </c>
      <c r="AA42" s="4">
        <f t="shared" si="7"/>
        <v>2.9027572000000001E-2</v>
      </c>
      <c r="AI42" s="2"/>
      <c r="AJ42" s="2"/>
      <c r="AK42" s="2"/>
      <c r="AL42" s="2"/>
      <c r="AM42" s="2"/>
      <c r="AN42" s="2"/>
    </row>
    <row r="43" spans="1:40" x14ac:dyDescent="0.25">
      <c r="A43">
        <v>1988</v>
      </c>
      <c r="B43">
        <v>5100.4250000000002</v>
      </c>
      <c r="C43">
        <v>66.988337120266905</v>
      </c>
      <c r="D43">
        <v>3.4349511999999999E-2</v>
      </c>
      <c r="E43">
        <v>3673.5129999999999</v>
      </c>
      <c r="F43">
        <v>-115.7</v>
      </c>
      <c r="H43">
        <v>1.97521298045963E-2</v>
      </c>
      <c r="I43">
        <v>0.47124707500000002</v>
      </c>
      <c r="J43">
        <v>696.69987286426601</v>
      </c>
      <c r="K43">
        <v>433.2</v>
      </c>
      <c r="L43">
        <v>6.6900000000000001E-2</v>
      </c>
      <c r="M43">
        <v>0.13325542097379225</v>
      </c>
      <c r="N43" s="1">
        <f t="shared" si="0"/>
        <v>6.6355420973792253E-2</v>
      </c>
      <c r="O43">
        <v>5.4916666667500003E-2</v>
      </c>
      <c r="P43" s="3">
        <v>7.3403465347648494E-2</v>
      </c>
      <c r="Q43" s="1">
        <f t="shared" si="1"/>
        <v>7613.8999999999969</v>
      </c>
      <c r="R43">
        <v>7.6868263536267301E-2</v>
      </c>
      <c r="S43">
        <v>6.0403376190008802E-2</v>
      </c>
      <c r="T43">
        <v>4.1116262907726797E-2</v>
      </c>
      <c r="U43">
        <v>2.4268418658744802E-2</v>
      </c>
      <c r="V43" s="4">
        <f t="shared" si="2"/>
        <v>0.24868780287800721</v>
      </c>
      <c r="W43" s="4">
        <f t="shared" si="3"/>
        <v>3.1549589982757122E-2</v>
      </c>
      <c r="X43" s="4">
        <f t="shared" si="4"/>
        <v>56.952770369845098</v>
      </c>
      <c r="Y43" s="4">
        <f t="shared" si="5"/>
        <v>300.62500000000364</v>
      </c>
      <c r="Z43" s="4">
        <f t="shared" si="6"/>
        <v>0.52875292500000004</v>
      </c>
      <c r="AA43" s="4">
        <f t="shared" si="7"/>
        <v>3.4349511999999999E-2</v>
      </c>
      <c r="AI43" s="2"/>
      <c r="AJ43" s="2"/>
      <c r="AK43" s="2"/>
      <c r="AL43" s="2"/>
      <c r="AM43" s="2"/>
      <c r="AN43" s="2"/>
    </row>
    <row r="44" spans="1:40" x14ac:dyDescent="0.25">
      <c r="A44">
        <v>1989</v>
      </c>
      <c r="B44">
        <v>5482.125</v>
      </c>
      <c r="C44">
        <v>69.517843499652898</v>
      </c>
      <c r="D44">
        <v>3.77604E-2</v>
      </c>
      <c r="E44">
        <v>3792.634</v>
      </c>
      <c r="F44">
        <v>-92.4</v>
      </c>
      <c r="H44">
        <v>5.2389751834405899E-3</v>
      </c>
      <c r="I44">
        <v>0.48016750899999999</v>
      </c>
      <c r="J44">
        <v>694.3689757794275</v>
      </c>
      <c r="K44">
        <v>471.5</v>
      </c>
      <c r="L44">
        <v>8.1199999999999994E-2</v>
      </c>
      <c r="M44">
        <v>6.974879910377059E-2</v>
      </c>
      <c r="N44" s="1">
        <f t="shared" si="0"/>
        <v>-1.1451200896229405E-2</v>
      </c>
      <c r="O44">
        <v>5.2583333332499899E-2</v>
      </c>
      <c r="P44" s="3">
        <v>6.19546204610643E-2</v>
      </c>
      <c r="Q44" s="1">
        <f t="shared" si="1"/>
        <v>7885.9249999999956</v>
      </c>
      <c r="R44">
        <v>7.4836900846497995E-2</v>
      </c>
      <c r="S44">
        <v>3.2426998352802799E-2</v>
      </c>
      <c r="T44">
        <v>3.5719875627969903E-2</v>
      </c>
      <c r="U44">
        <v>2.9093733734770501E-2</v>
      </c>
      <c r="V44" s="4">
        <f t="shared" si="2"/>
        <v>0.36326286115759004</v>
      </c>
      <c r="W44" s="4">
        <f t="shared" si="3"/>
        <v>0.1775108357724072</v>
      </c>
      <c r="X44" s="4">
        <f t="shared" si="4"/>
        <v>-2.3308970848385115</v>
      </c>
      <c r="Y44" s="4">
        <f t="shared" si="5"/>
        <v>272.02499999999873</v>
      </c>
      <c r="Z44" s="4">
        <f t="shared" si="6"/>
        <v>0.51983249100000006</v>
      </c>
      <c r="AA44" s="4">
        <f t="shared" si="7"/>
        <v>3.77604E-2</v>
      </c>
      <c r="AI44" s="2"/>
      <c r="AJ44" s="2"/>
      <c r="AK44" s="2"/>
      <c r="AL44" s="2"/>
      <c r="AM44" s="2"/>
      <c r="AN44" s="2"/>
    </row>
    <row r="45" spans="1:40" x14ac:dyDescent="0.25">
      <c r="A45">
        <v>1990</v>
      </c>
      <c r="B45">
        <v>5800.5249999999996</v>
      </c>
      <c r="C45">
        <v>72.200387730779198</v>
      </c>
      <c r="D45">
        <v>3.8587851999999999E-2</v>
      </c>
      <c r="E45">
        <v>3803.7309999999998</v>
      </c>
      <c r="F45">
        <v>-74.900000000000006</v>
      </c>
      <c r="H45">
        <v>-1.16383701575575E-2</v>
      </c>
      <c r="I45">
        <v>0.47987663800000002</v>
      </c>
      <c r="J45">
        <v>704.68256144991039</v>
      </c>
      <c r="K45">
        <v>502.1</v>
      </c>
      <c r="L45">
        <v>7.51E-2</v>
      </c>
      <c r="M45">
        <v>2.4543904586603178E-2</v>
      </c>
      <c r="N45" s="1">
        <f t="shared" si="0"/>
        <v>-5.0556095413396826E-2</v>
      </c>
      <c r="O45">
        <v>5.6166666664999997E-2</v>
      </c>
      <c r="P45" s="3">
        <v>6.6639988996922403E-2</v>
      </c>
      <c r="Q45" s="1">
        <f t="shared" si="1"/>
        <v>8033.9249999999965</v>
      </c>
      <c r="R45">
        <v>5.8079668011947798E-2</v>
      </c>
      <c r="S45">
        <v>2.9259348516097201E-3</v>
      </c>
      <c r="T45">
        <v>1.8775378959204801E-2</v>
      </c>
      <c r="U45">
        <v>3.5016540033797401E-2</v>
      </c>
      <c r="V45" s="4">
        <f t="shared" si="2"/>
        <v>0.35952688129642663</v>
      </c>
      <c r="W45" s="4">
        <f t="shared" si="3"/>
        <v>0.21291977466196835</v>
      </c>
      <c r="X45" s="4">
        <f t="shared" si="4"/>
        <v>10.313585670482894</v>
      </c>
      <c r="Y45" s="4">
        <f t="shared" si="5"/>
        <v>148.00000000000091</v>
      </c>
      <c r="Z45" s="4">
        <f t="shared" si="6"/>
        <v>0.52012336199999998</v>
      </c>
      <c r="AA45" s="4">
        <f t="shared" si="7"/>
        <v>3.8587851999999999E-2</v>
      </c>
      <c r="AI45" s="2"/>
      <c r="AJ45" s="2"/>
      <c r="AK45" s="2"/>
      <c r="AL45" s="2"/>
      <c r="AM45" s="2"/>
      <c r="AN45" s="2"/>
    </row>
    <row r="46" spans="1:40" x14ac:dyDescent="0.25">
      <c r="A46">
        <v>1991</v>
      </c>
      <c r="B46">
        <v>5992.1</v>
      </c>
      <c r="C46">
        <v>74.759907050732195</v>
      </c>
      <c r="D46">
        <v>3.5450216E-2</v>
      </c>
      <c r="E46">
        <v>3798.875</v>
      </c>
      <c r="F46">
        <v>7.9</v>
      </c>
      <c r="H46">
        <v>5.2478008456131105E-4</v>
      </c>
      <c r="I46">
        <v>0.45608417200000001</v>
      </c>
      <c r="J46">
        <v>735.34403824212279</v>
      </c>
      <c r="K46">
        <v>482.4</v>
      </c>
      <c r="L46">
        <v>5.4199999999999998E-2</v>
      </c>
      <c r="M46">
        <v>3.7014024297708101E-2</v>
      </c>
      <c r="N46" s="1">
        <f t="shared" si="0"/>
        <v>-1.7185975702291897E-2</v>
      </c>
      <c r="O46">
        <v>6.8500000000000005E-2</v>
      </c>
      <c r="P46" s="3">
        <v>9.2802805280528006E-2</v>
      </c>
      <c r="Q46" s="1">
        <f t="shared" si="1"/>
        <v>8015.1250000000018</v>
      </c>
      <c r="R46">
        <v>3.3027182884307997E-2</v>
      </c>
      <c r="S46">
        <v>-1.2766412766833401E-3</v>
      </c>
      <c r="T46">
        <v>-2.3466746355399999E-3</v>
      </c>
      <c r="U46">
        <v>4.2437899048378303E-2</v>
      </c>
      <c r="V46" s="4">
        <f t="shared" si="2"/>
        <v>5.393377018042031E-2</v>
      </c>
      <c r="W46" s="4">
        <f t="shared" si="3"/>
        <v>7.865173085799286E-2</v>
      </c>
      <c r="X46" s="4">
        <f t="shared" si="4"/>
        <v>30.661476792212397</v>
      </c>
      <c r="Y46" s="4">
        <f t="shared" si="5"/>
        <v>-18.799999999994725</v>
      </c>
      <c r="Z46" s="4">
        <f t="shared" si="6"/>
        <v>0.54391582800000005</v>
      </c>
      <c r="AA46" s="4">
        <f t="shared" si="7"/>
        <v>3.5450216E-2</v>
      </c>
      <c r="AI46" s="2"/>
      <c r="AJ46" s="2"/>
      <c r="AK46" s="2"/>
      <c r="AL46" s="2"/>
      <c r="AM46" s="2"/>
      <c r="AN46" s="2"/>
    </row>
    <row r="47" spans="1:40" x14ac:dyDescent="0.25">
      <c r="A47">
        <v>1992</v>
      </c>
      <c r="B47">
        <v>6342.3</v>
      </c>
      <c r="C47">
        <v>76.532431527408605</v>
      </c>
      <c r="D47">
        <v>2.3709560000000001E-2</v>
      </c>
      <c r="E47">
        <v>3862.7880000000005</v>
      </c>
      <c r="F47">
        <v>-45.6</v>
      </c>
      <c r="H47">
        <v>3.0561906510238402E-3</v>
      </c>
      <c r="I47">
        <v>0.439727011</v>
      </c>
      <c r="J47">
        <v>792.85657607914402</v>
      </c>
      <c r="K47">
        <v>495.3</v>
      </c>
      <c r="L47">
        <v>3.4500000000000003E-2</v>
      </c>
      <c r="M47">
        <v>7.4990776582276028E-2</v>
      </c>
      <c r="N47" s="1">
        <f t="shared" si="0"/>
        <v>4.0490776582276025E-2</v>
      </c>
      <c r="O47">
        <v>7.4916666667499895E-2</v>
      </c>
      <c r="P47" s="3">
        <v>0.13184591584305</v>
      </c>
      <c r="Q47" s="1">
        <f t="shared" si="1"/>
        <v>8287.0750000000044</v>
      </c>
      <c r="R47">
        <v>5.8443617429615603E-2</v>
      </c>
      <c r="S47">
        <v>1.6824191372445702E-2</v>
      </c>
      <c r="T47">
        <v>3.3936717177626002E-2</v>
      </c>
      <c r="U47">
        <v>5.09027068707281E-2</v>
      </c>
      <c r="V47" s="4">
        <f t="shared" si="2"/>
        <v>-0.15615944668139659</v>
      </c>
      <c r="W47" s="4">
        <f t="shared" si="3"/>
        <v>-0.42376311716625459</v>
      </c>
      <c r="X47" s="4">
        <f t="shared" si="4"/>
        <v>57.512537837021227</v>
      </c>
      <c r="Y47" s="4">
        <f t="shared" si="5"/>
        <v>271.95000000000255</v>
      </c>
      <c r="Z47" s="4">
        <f t="shared" si="6"/>
        <v>0.560272989</v>
      </c>
      <c r="AA47" s="4">
        <f t="shared" si="7"/>
        <v>2.3709560000000001E-2</v>
      </c>
      <c r="AI47" s="2"/>
      <c r="AJ47" s="2"/>
      <c r="AK47" s="2"/>
      <c r="AL47" s="2"/>
      <c r="AM47" s="2"/>
      <c r="AN47" s="2"/>
    </row>
    <row r="48" spans="1:40" x14ac:dyDescent="0.25">
      <c r="A48">
        <v>1993</v>
      </c>
      <c r="B48">
        <v>6667.3249999999998</v>
      </c>
      <c r="C48">
        <v>78.223313329696296</v>
      </c>
      <c r="D48">
        <v>2.2093663999999999E-2</v>
      </c>
      <c r="E48">
        <v>3991.5230000000001</v>
      </c>
      <c r="F48">
        <v>-78.599999999999994</v>
      </c>
      <c r="H48">
        <v>7.9048610125664106E-3</v>
      </c>
      <c r="I48">
        <v>0.45101488499999998</v>
      </c>
      <c r="J48">
        <v>852.53356606967361</v>
      </c>
      <c r="K48">
        <v>545.4</v>
      </c>
      <c r="L48">
        <v>3.0200000000000001E-2</v>
      </c>
      <c r="M48">
        <v>9.0080624814904017E-2</v>
      </c>
      <c r="N48" s="1">
        <f t="shared" si="0"/>
        <v>5.9880624814904013E-2</v>
      </c>
      <c r="O48">
        <v>6.9083333332499997E-2</v>
      </c>
      <c r="P48" s="3">
        <v>0.123004812979814</v>
      </c>
      <c r="Q48" s="1">
        <f t="shared" si="1"/>
        <v>8523.4500000000007</v>
      </c>
      <c r="R48">
        <v>5.1247181621809003E-2</v>
      </c>
      <c r="S48">
        <v>3.3326964876146399E-2</v>
      </c>
      <c r="T48">
        <v>2.8521653527482701E-2</v>
      </c>
      <c r="U48">
        <v>5.9359480602577799E-2</v>
      </c>
      <c r="V48" s="4">
        <f t="shared" si="2"/>
        <v>-1.1176722589431113E-2</v>
      </c>
      <c r="W48" s="4">
        <f t="shared" si="3"/>
        <v>-0.49291173571559205</v>
      </c>
      <c r="X48" s="4">
        <f t="shared" si="4"/>
        <v>59.676989990529592</v>
      </c>
      <c r="Y48" s="4">
        <f t="shared" si="5"/>
        <v>236.37499999999636</v>
      </c>
      <c r="Z48" s="4">
        <f t="shared" si="6"/>
        <v>0.54898511500000002</v>
      </c>
      <c r="AA48" s="4">
        <f t="shared" si="7"/>
        <v>2.2093663999999999E-2</v>
      </c>
      <c r="AI48" s="2"/>
      <c r="AJ48" s="2"/>
      <c r="AK48" s="2"/>
      <c r="AL48" s="2"/>
      <c r="AM48" s="2"/>
      <c r="AN48" s="2"/>
    </row>
    <row r="49" spans="1:40" x14ac:dyDescent="0.25">
      <c r="A49">
        <v>1994</v>
      </c>
      <c r="B49">
        <v>7085.15</v>
      </c>
      <c r="C49">
        <v>79.871599399143804</v>
      </c>
      <c r="D49">
        <v>2.1071545000000001E-2</v>
      </c>
      <c r="E49">
        <v>4200.4090000000006</v>
      </c>
      <c r="F49">
        <v>-114.7</v>
      </c>
      <c r="H49">
        <v>1.41265050076305E-2</v>
      </c>
      <c r="I49">
        <v>0.44807939699999999</v>
      </c>
      <c r="J49">
        <v>953.3244219477275</v>
      </c>
      <c r="K49">
        <v>600.70000000000005</v>
      </c>
      <c r="L49">
        <v>4.2900000000000001E-2</v>
      </c>
      <c r="M49">
        <v>0.1834304860350543</v>
      </c>
      <c r="N49" s="1">
        <f t="shared" si="0"/>
        <v>0.1405304860350543</v>
      </c>
      <c r="O49">
        <v>6.0999999999999999E-2</v>
      </c>
      <c r="P49" s="3">
        <v>0.113494224422442</v>
      </c>
      <c r="Q49" s="1">
        <f t="shared" si="1"/>
        <v>8870.6750000000011</v>
      </c>
      <c r="R49">
        <v>6.2667561578294104E-2</v>
      </c>
      <c r="S49">
        <v>5.2332405450250398E-2</v>
      </c>
      <c r="T49">
        <v>4.0728223524375398E-2</v>
      </c>
      <c r="U49">
        <v>6.6652710276951299E-2</v>
      </c>
      <c r="V49" s="4">
        <f t="shared" si="2"/>
        <v>-4.8880460846898767E-2</v>
      </c>
      <c r="W49" s="4">
        <f t="shared" si="3"/>
        <v>-0.53665100906179142</v>
      </c>
      <c r="X49" s="4">
        <f t="shared" si="4"/>
        <v>100.79085587805389</v>
      </c>
      <c r="Y49" s="4">
        <f t="shared" si="5"/>
        <v>347.22500000000036</v>
      </c>
      <c r="Z49" s="4">
        <f t="shared" si="6"/>
        <v>0.55192060300000001</v>
      </c>
      <c r="AA49" s="4">
        <f t="shared" si="7"/>
        <v>2.1071545000000001E-2</v>
      </c>
      <c r="AI49" s="2"/>
      <c r="AJ49" s="2"/>
      <c r="AK49" s="2"/>
      <c r="AL49" s="2"/>
      <c r="AM49" s="2"/>
      <c r="AN49" s="2"/>
    </row>
    <row r="50" spans="1:40" x14ac:dyDescent="0.25">
      <c r="A50">
        <v>1995</v>
      </c>
      <c r="B50">
        <v>7414.625</v>
      </c>
      <c r="C50">
        <v>81.535395189003395</v>
      </c>
      <c r="D50">
        <v>2.0830880999999999E-2</v>
      </c>
      <c r="E50">
        <v>4469.3159999999998</v>
      </c>
      <c r="F50">
        <v>-105.1</v>
      </c>
      <c r="H50">
        <v>2.3119764578025798E-2</v>
      </c>
      <c r="I50">
        <v>0.46096061900000002</v>
      </c>
      <c r="J50">
        <v>1050.0156844979253</v>
      </c>
      <c r="K50">
        <v>674.8</v>
      </c>
      <c r="L50">
        <v>5.5099999999999996E-2</v>
      </c>
      <c r="M50">
        <v>0.14505241942746389</v>
      </c>
      <c r="N50" s="1">
        <f t="shared" si="0"/>
        <v>8.9952419427463889E-2</v>
      </c>
      <c r="O50">
        <v>5.59166666699999E-2</v>
      </c>
      <c r="P50" s="3">
        <v>9.2041047860272202E-2</v>
      </c>
      <c r="Q50" s="1">
        <f t="shared" si="1"/>
        <v>9093.7500000000055</v>
      </c>
      <c r="R50">
        <v>4.6502191202726799E-2</v>
      </c>
      <c r="S50">
        <v>6.4019241935725696E-2</v>
      </c>
      <c r="T50">
        <v>2.5157576693986501E-2</v>
      </c>
      <c r="U50">
        <v>7.1632291120846597E-2</v>
      </c>
      <c r="V50" s="4">
        <f t="shared" si="2"/>
        <v>0.11656740428637287</v>
      </c>
      <c r="W50" s="4">
        <f t="shared" si="3"/>
        <v>-0.54694968121306708</v>
      </c>
      <c r="X50" s="4">
        <f t="shared" si="4"/>
        <v>96.691262550197848</v>
      </c>
      <c r="Y50" s="4">
        <f t="shared" si="5"/>
        <v>223.07500000000437</v>
      </c>
      <c r="Z50" s="4">
        <f t="shared" si="6"/>
        <v>0.53903938100000004</v>
      </c>
      <c r="AA50" s="4">
        <f t="shared" si="7"/>
        <v>2.0830880999999999E-2</v>
      </c>
      <c r="AI50" s="2"/>
      <c r="AJ50" s="2"/>
      <c r="AK50" s="2"/>
      <c r="AL50" s="2"/>
      <c r="AM50" s="2"/>
      <c r="AN50" s="2"/>
    </row>
    <row r="51" spans="1:40" x14ac:dyDescent="0.25">
      <c r="A51">
        <v>1996</v>
      </c>
      <c r="B51">
        <v>7838.4750000000004</v>
      </c>
      <c r="C51">
        <v>83.088163198244601</v>
      </c>
      <c r="D51">
        <v>1.9044096999999999E-2</v>
      </c>
      <c r="E51">
        <v>4725.2730000000001</v>
      </c>
      <c r="F51">
        <v>-114.1</v>
      </c>
      <c r="H51">
        <v>1.9132053205657699E-2</v>
      </c>
      <c r="I51">
        <v>0.45014655199999998</v>
      </c>
      <c r="J51">
        <v>1169.4284928465722</v>
      </c>
      <c r="K51">
        <v>735.2</v>
      </c>
      <c r="L51">
        <v>5.0199999999999995E-2</v>
      </c>
      <c r="M51">
        <v>0.23496825570050367</v>
      </c>
      <c r="N51" s="1">
        <f t="shared" si="0"/>
        <v>0.18476825570050368</v>
      </c>
      <c r="O51">
        <v>5.4083333332499997E-2</v>
      </c>
      <c r="P51" s="3">
        <v>8.9514163915012407E-2</v>
      </c>
      <c r="Q51" s="1">
        <f t="shared" si="1"/>
        <v>9433.9250000000029</v>
      </c>
      <c r="R51">
        <v>5.7164050778023202E-2</v>
      </c>
      <c r="S51">
        <v>5.7269837263688603E-2</v>
      </c>
      <c r="T51">
        <v>3.74045696151806E-2</v>
      </c>
      <c r="U51">
        <v>7.3886591258492104E-2</v>
      </c>
      <c r="V51" s="4">
        <f t="shared" si="2"/>
        <v>-2.2329689371213827E-2</v>
      </c>
      <c r="W51" s="4">
        <f t="shared" si="3"/>
        <v>-0.62341106563759641</v>
      </c>
      <c r="X51" s="4">
        <f t="shared" si="4"/>
        <v>119.41280834864688</v>
      </c>
      <c r="Y51" s="4">
        <f t="shared" si="5"/>
        <v>340.17499999999745</v>
      </c>
      <c r="Z51" s="4">
        <f t="shared" si="6"/>
        <v>0.54985344800000002</v>
      </c>
      <c r="AA51" s="4">
        <f t="shared" si="7"/>
        <v>1.9044096999999999E-2</v>
      </c>
      <c r="AI51" s="2"/>
      <c r="AJ51" s="2"/>
      <c r="AK51" s="2"/>
      <c r="AL51" s="2"/>
      <c r="AM51" s="2"/>
      <c r="AN51" s="2"/>
    </row>
    <row r="52" spans="1:40" x14ac:dyDescent="0.25">
      <c r="A52">
        <v>1997</v>
      </c>
      <c r="B52">
        <v>8332.35</v>
      </c>
      <c r="C52">
        <v>84.555044219050501</v>
      </c>
      <c r="D52">
        <v>1.7654513E-2</v>
      </c>
      <c r="E52">
        <v>5050.6110000000008</v>
      </c>
      <c r="F52">
        <v>-129.30000000000001</v>
      </c>
      <c r="H52">
        <v>2.5009711710504898E-2</v>
      </c>
      <c r="I52">
        <v>0.456757521</v>
      </c>
      <c r="J52">
        <v>1300.6937036474999</v>
      </c>
      <c r="K52">
        <v>800</v>
      </c>
      <c r="L52">
        <v>5.0700000000000002E-2</v>
      </c>
      <c r="M52">
        <v>0.17648785889732291</v>
      </c>
      <c r="N52" s="1">
        <f t="shared" si="0"/>
        <v>0.12578785889732291</v>
      </c>
      <c r="O52">
        <v>4.9416666667499998E-2</v>
      </c>
      <c r="P52" s="3">
        <v>7.7264507702072993E-2</v>
      </c>
      <c r="Q52" s="1">
        <f t="shared" si="1"/>
        <v>9854.3499999999967</v>
      </c>
      <c r="R52">
        <v>6.3006515935816507E-2</v>
      </c>
      <c r="S52">
        <v>6.8850625138484001E-2</v>
      </c>
      <c r="T52">
        <v>4.4563720608776503E-2</v>
      </c>
      <c r="U52">
        <v>7.3187655902908003E-2</v>
      </c>
      <c r="V52" s="4">
        <f t="shared" si="2"/>
        <v>6.258234052099991E-2</v>
      </c>
      <c r="W52" s="4">
        <f t="shared" si="3"/>
        <v>-0.68287517345039039</v>
      </c>
      <c r="X52" s="4">
        <f t="shared" si="4"/>
        <v>131.26521080092766</v>
      </c>
      <c r="Y52" s="4">
        <f t="shared" si="5"/>
        <v>420.42499999999382</v>
      </c>
      <c r="Z52" s="4">
        <f t="shared" si="6"/>
        <v>0.543242479</v>
      </c>
      <c r="AA52" s="4">
        <f t="shared" si="7"/>
        <v>1.7654513E-2</v>
      </c>
      <c r="AI52" s="2"/>
      <c r="AJ52" s="2"/>
      <c r="AK52" s="2"/>
      <c r="AL52" s="2"/>
      <c r="AM52" s="2"/>
      <c r="AN52" s="2"/>
    </row>
    <row r="53" spans="1:40" x14ac:dyDescent="0.25">
      <c r="A53">
        <v>1998</v>
      </c>
      <c r="B53">
        <v>8793.4750000000004</v>
      </c>
      <c r="C53">
        <v>85.510318689359906</v>
      </c>
      <c r="D53">
        <v>1.1297664000000001E-2</v>
      </c>
      <c r="E53">
        <v>5366.76</v>
      </c>
      <c r="F53">
        <v>-204.5</v>
      </c>
      <c r="H53">
        <v>1.33994611364141E-2</v>
      </c>
      <c r="I53">
        <v>0.479246646</v>
      </c>
      <c r="J53">
        <v>1304.7221597791049</v>
      </c>
      <c r="K53">
        <v>871</v>
      </c>
      <c r="L53">
        <v>4.8099999999999997E-2</v>
      </c>
      <c r="M53">
        <v>6.0699689047568624E-2</v>
      </c>
      <c r="N53" s="1">
        <f t="shared" si="0"/>
        <v>1.2599689047568627E-2</v>
      </c>
      <c r="O53">
        <v>4.4999999997499998E-2</v>
      </c>
      <c r="P53" s="3">
        <v>6.4529702966711996E-2</v>
      </c>
      <c r="Q53" s="1">
        <f t="shared" si="1"/>
        <v>10283.525000000001</v>
      </c>
      <c r="R53">
        <v>5.5341530300575398E-2</v>
      </c>
      <c r="S53">
        <v>6.2596188857150098E-2</v>
      </c>
      <c r="T53">
        <v>4.3555175939248902E-2</v>
      </c>
      <c r="U53">
        <v>7.0416664354529396E-2</v>
      </c>
      <c r="V53" s="4">
        <f t="shared" si="2"/>
        <v>0.3514351931436222</v>
      </c>
      <c r="W53" s="4">
        <f t="shared" si="3"/>
        <v>-0.95490216446759502</v>
      </c>
      <c r="X53" s="4">
        <f t="shared" si="4"/>
        <v>4.0284561316050258</v>
      </c>
      <c r="Y53" s="4">
        <f t="shared" si="5"/>
        <v>429.17500000000473</v>
      </c>
      <c r="Z53" s="4">
        <f t="shared" si="6"/>
        <v>0.520753354</v>
      </c>
      <c r="AA53" s="4">
        <f t="shared" si="7"/>
        <v>1.1297664000000001E-2</v>
      </c>
      <c r="AI53" s="2"/>
      <c r="AJ53" s="2"/>
      <c r="AK53" s="2"/>
      <c r="AL53" s="2"/>
      <c r="AM53" s="2"/>
      <c r="AN53" s="2"/>
    </row>
    <row r="54" spans="1:40" x14ac:dyDescent="0.25">
      <c r="A54">
        <v>1999</v>
      </c>
      <c r="B54">
        <v>9353.5</v>
      </c>
      <c r="C54">
        <v>86.7683687620885</v>
      </c>
      <c r="D54">
        <v>1.471226E-2</v>
      </c>
      <c r="E54">
        <v>5661.1100000000006</v>
      </c>
      <c r="F54">
        <v>-291.89999999999998</v>
      </c>
      <c r="H54">
        <v>2.7861567810222901E-4</v>
      </c>
      <c r="I54">
        <v>0.495984539</v>
      </c>
      <c r="J54">
        <v>1398.7628605262601</v>
      </c>
      <c r="K54">
        <v>946.3</v>
      </c>
      <c r="L54">
        <v>4.6600000000000003E-2</v>
      </c>
      <c r="M54">
        <v>0.12254337168588664</v>
      </c>
      <c r="N54" s="1">
        <f t="shared" si="0"/>
        <v>7.5943371685886635E-2</v>
      </c>
      <c r="O54">
        <v>4.2166666667499998E-2</v>
      </c>
      <c r="P54" s="3">
        <v>5.5839521453248699E-2</v>
      </c>
      <c r="Q54" s="1">
        <f t="shared" si="1"/>
        <v>10779.850000000004</v>
      </c>
      <c r="R54">
        <v>6.3686426583347194E-2</v>
      </c>
      <c r="S54">
        <v>5.4846872228309002E-2</v>
      </c>
      <c r="T54">
        <v>4.8264640617993002E-2</v>
      </c>
      <c r="U54">
        <v>6.6980919354762497E-2</v>
      </c>
      <c r="V54" s="4">
        <f t="shared" si="2"/>
        <v>0.56641857466434486</v>
      </c>
      <c r="W54" s="4">
        <f t="shared" si="3"/>
        <v>-0.80878224319537628</v>
      </c>
      <c r="X54" s="4">
        <f t="shared" si="4"/>
        <v>94.040700747155142</v>
      </c>
      <c r="Y54" s="4">
        <f t="shared" si="5"/>
        <v>496.32500000000255</v>
      </c>
      <c r="Z54" s="4">
        <f t="shared" si="6"/>
        <v>0.50401546100000005</v>
      </c>
      <c r="AA54" s="4">
        <f t="shared" si="7"/>
        <v>1.471226E-2</v>
      </c>
      <c r="AI54" s="2"/>
      <c r="AJ54" s="2"/>
      <c r="AK54" s="2"/>
      <c r="AL54" s="2"/>
      <c r="AM54" s="2"/>
      <c r="AN54" s="2"/>
    </row>
    <row r="55" spans="1:40" x14ac:dyDescent="0.25">
      <c r="A55">
        <v>2000</v>
      </c>
      <c r="B55">
        <v>9951.4750000000004</v>
      </c>
      <c r="C55">
        <v>88.646865862430701</v>
      </c>
      <c r="D55">
        <v>2.1649561000000001E-2</v>
      </c>
      <c r="E55">
        <v>6168.5689999999995</v>
      </c>
      <c r="F55">
        <v>-410.4</v>
      </c>
      <c r="H55">
        <v>1.03767573635537E-2</v>
      </c>
      <c r="I55">
        <v>0.52087695499999997</v>
      </c>
      <c r="J55">
        <v>1395.5841871474272</v>
      </c>
      <c r="K55">
        <v>1037.8</v>
      </c>
      <c r="L55">
        <v>5.8499999999999996E-2</v>
      </c>
      <c r="M55">
        <v>4.926210833552673E-2</v>
      </c>
      <c r="N55" s="1">
        <f t="shared" si="0"/>
        <v>-9.2378916644732662E-3</v>
      </c>
      <c r="O55">
        <v>0.04</v>
      </c>
      <c r="P55" s="3">
        <v>5.0099009900990102E-2</v>
      </c>
      <c r="Q55" s="1">
        <f t="shared" si="1"/>
        <v>11225.974999999995</v>
      </c>
      <c r="R55">
        <v>6.3930614208584993E-2</v>
      </c>
      <c r="S55">
        <v>8.96394876623135E-2</v>
      </c>
      <c r="T55">
        <v>4.1379082582044598E-2</v>
      </c>
      <c r="U55">
        <v>6.3709557001468103E-2</v>
      </c>
      <c r="V55" s="4">
        <f t="shared" si="2"/>
        <v>0.88613956737833433</v>
      </c>
      <c r="W55" s="4">
        <f t="shared" si="3"/>
        <v>-0.51191612024505206</v>
      </c>
      <c r="X55" s="4">
        <f t="shared" si="4"/>
        <v>-3.1786733788328547</v>
      </c>
      <c r="Y55" s="4">
        <f t="shared" si="5"/>
        <v>446.12499999999091</v>
      </c>
      <c r="Z55" s="4">
        <f t="shared" si="6"/>
        <v>0.47912304500000003</v>
      </c>
      <c r="AA55" s="4">
        <f t="shared" si="7"/>
        <v>2.1649561000000001E-2</v>
      </c>
      <c r="AI55" s="2"/>
      <c r="AJ55" s="2"/>
      <c r="AK55" s="2"/>
      <c r="AL55" s="2"/>
      <c r="AM55" s="2"/>
      <c r="AN55" s="2"/>
    </row>
    <row r="56" spans="1:40" x14ac:dyDescent="0.25">
      <c r="A56">
        <v>2001</v>
      </c>
      <c r="B56">
        <v>10286.174999999999</v>
      </c>
      <c r="C56">
        <v>90.649655090363893</v>
      </c>
      <c r="D56">
        <v>2.2592893999999999E-2</v>
      </c>
      <c r="E56">
        <v>6430.5584451321074</v>
      </c>
      <c r="F56">
        <v>-391.6</v>
      </c>
      <c r="H56">
        <v>-1.3024300417777201E-2</v>
      </c>
      <c r="I56">
        <v>0.49594054199999998</v>
      </c>
      <c r="J56">
        <v>1385.142320548553</v>
      </c>
      <c r="K56">
        <v>991.7</v>
      </c>
      <c r="L56">
        <v>3.4500000000000003E-2</v>
      </c>
      <c r="M56">
        <v>8.1704566531175665E-3</v>
      </c>
      <c r="N56" s="1">
        <f t="shared" si="0"/>
        <v>-2.6329543346882436E-2</v>
      </c>
      <c r="O56">
        <v>4.7666666667499899E-2</v>
      </c>
      <c r="P56" s="3">
        <v>6.1746424643543699E-2</v>
      </c>
      <c r="Q56" s="1">
        <f t="shared" si="1"/>
        <v>11347.174999999999</v>
      </c>
      <c r="R56">
        <v>3.3633205127882697E-2</v>
      </c>
      <c r="S56">
        <v>4.2471600787800198E-2</v>
      </c>
      <c r="T56">
        <v>1.0794073193286499E-2</v>
      </c>
      <c r="U56">
        <v>6.1520904198959399E-2</v>
      </c>
      <c r="V56" s="4">
        <f t="shared" si="2"/>
        <v>0.56585347224453786</v>
      </c>
      <c r="W56" s="4">
        <f t="shared" si="3"/>
        <v>-0.47154831576877265</v>
      </c>
      <c r="X56" s="4">
        <f t="shared" si="4"/>
        <v>-10.441866598874185</v>
      </c>
      <c r="Y56" s="4">
        <f t="shared" si="5"/>
        <v>121.20000000000437</v>
      </c>
      <c r="Z56" s="4">
        <f t="shared" si="6"/>
        <v>0.50405945799999996</v>
      </c>
      <c r="AA56" s="4">
        <f t="shared" si="7"/>
        <v>2.2592893999999999E-2</v>
      </c>
      <c r="AI56" s="2"/>
      <c r="AJ56" s="2"/>
      <c r="AK56" s="2"/>
      <c r="AL56" s="2"/>
      <c r="AM56" s="2"/>
      <c r="AN56" s="2"/>
    </row>
    <row r="57" spans="1:40" x14ac:dyDescent="0.25">
      <c r="A57">
        <v>2002</v>
      </c>
      <c r="B57">
        <v>10642.3</v>
      </c>
      <c r="C57">
        <v>92.117398332464106</v>
      </c>
      <c r="D57">
        <v>1.6191383E-2</v>
      </c>
      <c r="E57">
        <v>6744.3974026465949</v>
      </c>
      <c r="F57">
        <v>-451.6</v>
      </c>
      <c r="H57">
        <v>-1.3392830668348499E-2</v>
      </c>
      <c r="I57">
        <v>0.44742177900000002</v>
      </c>
      <c r="J57">
        <v>1519.8352788972998</v>
      </c>
      <c r="K57">
        <v>885.1</v>
      </c>
      <c r="L57">
        <v>1.6200000000000003E-2</v>
      </c>
      <c r="M57">
        <v>7.7220454033274086E-2</v>
      </c>
      <c r="N57" s="1">
        <f t="shared" si="0"/>
        <v>6.102045403327408E-2</v>
      </c>
      <c r="O57">
        <v>5.78333333325E-2</v>
      </c>
      <c r="P57" s="3">
        <v>9.5434543452970394E-2</v>
      </c>
      <c r="Q57" s="1">
        <f t="shared" si="1"/>
        <v>11552.975000000006</v>
      </c>
      <c r="R57">
        <v>3.4621713124655097E-2</v>
      </c>
      <c r="S57">
        <v>4.8804318381079799E-2</v>
      </c>
      <c r="T57">
        <v>1.8144949300889002E-2</v>
      </c>
      <c r="U57">
        <v>6.0604192281534998E-2</v>
      </c>
      <c r="V57" s="4">
        <f t="shared" si="2"/>
        <v>-5.7326980452973936E-2</v>
      </c>
      <c r="W57" s="4">
        <f t="shared" si="3"/>
        <v>-0.74548651617176109</v>
      </c>
      <c r="X57" s="4">
        <f t="shared" si="4"/>
        <v>134.69295834874674</v>
      </c>
      <c r="Y57" s="4">
        <f t="shared" si="5"/>
        <v>205.80000000000655</v>
      </c>
      <c r="Z57" s="4">
        <f t="shared" si="6"/>
        <v>0.55257822099999998</v>
      </c>
      <c r="AA57" s="4">
        <f t="shared" si="7"/>
        <v>1.6191383E-2</v>
      </c>
      <c r="AI57" s="2"/>
      <c r="AJ57" s="2"/>
      <c r="AK57" s="2"/>
      <c r="AL57" s="2"/>
      <c r="AM57" s="2"/>
      <c r="AN57" s="2"/>
    </row>
    <row r="58" spans="1:40" x14ac:dyDescent="0.25">
      <c r="A58">
        <v>2003</v>
      </c>
      <c r="B58">
        <v>11142.174999999999</v>
      </c>
      <c r="C58">
        <v>94.100644387578399</v>
      </c>
      <c r="D58">
        <v>2.1529548999999999E-2</v>
      </c>
      <c r="E58">
        <v>7143.315151728315</v>
      </c>
      <c r="F58">
        <v>-516.1</v>
      </c>
      <c r="H58">
        <v>-1.1010965674713101E-2</v>
      </c>
      <c r="I58">
        <v>0.43372159599999999</v>
      </c>
      <c r="J58">
        <v>1644.3761005265756</v>
      </c>
      <c r="K58">
        <v>891.8</v>
      </c>
      <c r="L58">
        <v>1.0200000000000001E-2</v>
      </c>
      <c r="M58">
        <v>9.976838279811491E-2</v>
      </c>
      <c r="N58" s="1">
        <f t="shared" si="0"/>
        <v>8.9568382798114909E-2</v>
      </c>
      <c r="O58">
        <v>0.06</v>
      </c>
      <c r="P58" s="3">
        <v>0.114257425742574</v>
      </c>
      <c r="Q58" s="1">
        <f t="shared" si="1"/>
        <v>11840.700000000004</v>
      </c>
      <c r="R58">
        <v>4.6970579667928898E-2</v>
      </c>
      <c r="S58">
        <v>5.9148060234295197E-2</v>
      </c>
      <c r="T58">
        <v>2.4896535501967201E-2</v>
      </c>
      <c r="U58">
        <v>6.02704435415038E-2</v>
      </c>
      <c r="V58" s="4">
        <f t="shared" si="2"/>
        <v>-0.23329367284327213</v>
      </c>
      <c r="W58" s="4">
        <f t="shared" si="3"/>
        <v>-0.51705176264366137</v>
      </c>
      <c r="X58" s="4">
        <f t="shared" si="4"/>
        <v>124.5408216292758</v>
      </c>
      <c r="Y58" s="4">
        <f t="shared" si="5"/>
        <v>287.72499999999854</v>
      </c>
      <c r="Z58" s="4">
        <f t="shared" si="6"/>
        <v>0.56627840399999996</v>
      </c>
      <c r="AA58" s="4">
        <f t="shared" si="7"/>
        <v>2.1529548999999999E-2</v>
      </c>
      <c r="AI58" s="2"/>
      <c r="AJ58" s="2"/>
      <c r="AK58" s="2"/>
      <c r="AL58" s="2"/>
      <c r="AM58" s="2"/>
      <c r="AN58" s="2"/>
    </row>
    <row r="59" spans="1:40" x14ac:dyDescent="0.25">
      <c r="A59">
        <v>2004</v>
      </c>
      <c r="B59">
        <v>11867.75</v>
      </c>
      <c r="C59">
        <v>96.7705768195828</v>
      </c>
      <c r="D59">
        <v>2.8373157999999999E-2</v>
      </c>
      <c r="E59">
        <v>7803.1843986449376</v>
      </c>
      <c r="F59">
        <v>-624.6</v>
      </c>
      <c r="H59">
        <v>3.1653604435399698E-3</v>
      </c>
      <c r="I59">
        <v>0.41811965800000001</v>
      </c>
      <c r="J59">
        <v>1897.9212650625004</v>
      </c>
      <c r="K59">
        <v>960</v>
      </c>
      <c r="L59">
        <v>1.38E-2</v>
      </c>
      <c r="M59">
        <v>0.23399438615982346</v>
      </c>
      <c r="N59" s="1">
        <f t="shared" si="0"/>
        <v>0.22019438615982345</v>
      </c>
      <c r="O59">
        <v>5.525E-2</v>
      </c>
      <c r="P59" s="3">
        <v>0.107263407590759</v>
      </c>
      <c r="Q59" s="1">
        <f t="shared" si="1"/>
        <v>12263.800000000005</v>
      </c>
      <c r="R59">
        <v>6.5119691622147605E-2</v>
      </c>
      <c r="S59">
        <v>9.2375738715148301E-2</v>
      </c>
      <c r="T59">
        <v>3.5732069538763699E-2</v>
      </c>
      <c r="U59">
        <v>5.9834638348359399E-2</v>
      </c>
      <c r="V59" s="4">
        <f t="shared" si="2"/>
        <v>-0.43368672049369361</v>
      </c>
      <c r="W59" s="4">
        <f t="shared" si="3"/>
        <v>-0.22419497715634512</v>
      </c>
      <c r="X59" s="4">
        <f t="shared" si="4"/>
        <v>253.54516453592487</v>
      </c>
      <c r="Y59" s="4">
        <f t="shared" si="5"/>
        <v>423.10000000000036</v>
      </c>
      <c r="Z59" s="4">
        <f t="shared" si="6"/>
        <v>0.58188034200000005</v>
      </c>
      <c r="AA59" s="4">
        <f t="shared" si="7"/>
        <v>2.8373157999999999E-2</v>
      </c>
      <c r="AI59" s="2"/>
      <c r="AJ59" s="2"/>
      <c r="AK59" s="2"/>
      <c r="AL59" s="2"/>
      <c r="AM59" s="2"/>
      <c r="AN59" s="2"/>
    </row>
    <row r="60" spans="1:40" x14ac:dyDescent="0.25">
      <c r="A60">
        <v>2005</v>
      </c>
      <c r="B60">
        <v>12638.375</v>
      </c>
      <c r="C60">
        <v>100</v>
      </c>
      <c r="D60">
        <v>3.3371953000000003E-2</v>
      </c>
      <c r="E60">
        <v>8536.2400635264548</v>
      </c>
      <c r="F60">
        <v>-740.5</v>
      </c>
      <c r="H60">
        <v>-6.2724610815023901E-4</v>
      </c>
      <c r="I60">
        <v>0.41591035399999998</v>
      </c>
      <c r="J60">
        <v>2072.3999999999996</v>
      </c>
      <c r="K60">
        <v>1065.2</v>
      </c>
      <c r="L60">
        <v>3.1600000000000003E-2</v>
      </c>
      <c r="M60">
        <v>0.16602402095016847</v>
      </c>
      <c r="N60" s="1">
        <f t="shared" si="0"/>
        <v>0.13442402095016848</v>
      </c>
      <c r="O60">
        <v>5.0999999999999997E-2</v>
      </c>
      <c r="P60" s="3">
        <v>9.2995049504950494E-2</v>
      </c>
      <c r="Q60" s="1">
        <f t="shared" si="1"/>
        <v>12638.375</v>
      </c>
      <c r="R60">
        <v>6.4934380990499405E-2</v>
      </c>
      <c r="S60">
        <v>9.3943190369469701E-2</v>
      </c>
      <c r="T60">
        <v>3.0547649828316099E-2</v>
      </c>
      <c r="U60">
        <v>5.8905052636180497E-2</v>
      </c>
      <c r="V60" s="4">
        <f t="shared" si="2"/>
        <v>-0.46206326972406953</v>
      </c>
      <c r="W60" s="4">
        <f t="shared" si="3"/>
        <v>-1.0282838837211145E-2</v>
      </c>
      <c r="X60" s="4">
        <f t="shared" si="4"/>
        <v>174.47873493749921</v>
      </c>
      <c r="Y60" s="4">
        <f t="shared" si="5"/>
        <v>374.57499999999527</v>
      </c>
      <c r="Z60" s="4">
        <f t="shared" si="6"/>
        <v>0.58408964600000002</v>
      </c>
      <c r="AA60" s="4">
        <f t="shared" si="7"/>
        <v>3.3371953000000003E-2</v>
      </c>
      <c r="AI60" s="2"/>
      <c r="AJ60" s="2"/>
      <c r="AK60" s="2"/>
      <c r="AL60" s="2"/>
      <c r="AM60" s="2"/>
      <c r="AN60" s="2"/>
    </row>
    <row r="61" spans="1:40" x14ac:dyDescent="0.25">
      <c r="A61">
        <v>2006</v>
      </c>
      <c r="B61">
        <v>13377.2</v>
      </c>
      <c r="C61">
        <v>103.231283002051</v>
      </c>
      <c r="D61">
        <v>3.2312830000000001E-2</v>
      </c>
      <c r="E61">
        <v>9308.2286939096375</v>
      </c>
      <c r="F61">
        <v>-798.4</v>
      </c>
      <c r="H61">
        <v>-2.0897465061766201E-3</v>
      </c>
      <c r="I61">
        <v>0.42474604999999999</v>
      </c>
      <c r="J61">
        <v>2191.2069241424983</v>
      </c>
      <c r="K61">
        <v>1193</v>
      </c>
      <c r="L61">
        <v>4.7300000000000002E-2</v>
      </c>
      <c r="M61">
        <v>9.608433635981628E-2</v>
      </c>
      <c r="N61" s="1">
        <f t="shared" si="0"/>
        <v>4.8784336359816279E-2</v>
      </c>
      <c r="O61">
        <v>4.6249999999999999E-2</v>
      </c>
      <c r="P61" s="3">
        <v>7.7121493399339894E-2</v>
      </c>
      <c r="Q61" s="1">
        <f t="shared" si="1"/>
        <v>12958.474999999973</v>
      </c>
      <c r="R61">
        <v>5.8458860415203699E-2</v>
      </c>
      <c r="S61">
        <v>9.0436655951566497E-2</v>
      </c>
      <c r="T61">
        <v>2.53304340897634E-2</v>
      </c>
      <c r="U61">
        <v>5.8693615955562099E-2</v>
      </c>
      <c r="V61" s="4">
        <f t="shared" si="2"/>
        <v>-0.34857659585364126</v>
      </c>
      <c r="W61" s="4">
        <f t="shared" si="3"/>
        <v>-5.5605614760804015E-2</v>
      </c>
      <c r="X61" s="4">
        <f t="shared" si="4"/>
        <v>118.8069241424987</v>
      </c>
      <c r="Y61" s="4">
        <f t="shared" si="5"/>
        <v>320.09999999997308</v>
      </c>
      <c r="Z61" s="4">
        <f t="shared" si="6"/>
        <v>0.57525395000000001</v>
      </c>
      <c r="AA61" s="4">
        <f t="shared" si="7"/>
        <v>3.2312830000000001E-2</v>
      </c>
      <c r="AI61" s="2"/>
      <c r="AJ61" s="2"/>
      <c r="AK61" s="2"/>
      <c r="AL61" s="2"/>
      <c r="AM61" s="2"/>
      <c r="AN61" s="2"/>
    </row>
    <row r="62" spans="1:40" x14ac:dyDescent="0.25">
      <c r="A62">
        <v>2007</v>
      </c>
      <c r="B62">
        <v>14028.674999999999</v>
      </c>
      <c r="C62">
        <v>106.226538319562</v>
      </c>
      <c r="D62">
        <v>2.9014997000000001E-2</v>
      </c>
      <c r="E62">
        <v>10166.913497908467</v>
      </c>
      <c r="F62">
        <v>-716</v>
      </c>
      <c r="H62">
        <v>1.0666282929162999E-2</v>
      </c>
      <c r="I62">
        <v>0.47473400399999999</v>
      </c>
      <c r="J62">
        <v>2020.3692692188679</v>
      </c>
      <c r="K62">
        <v>1295.3</v>
      </c>
      <c r="L62">
        <v>4.41E-2</v>
      </c>
      <c r="M62">
        <v>-7.4286320232904074E-2</v>
      </c>
      <c r="N62" s="1">
        <f t="shared" si="0"/>
        <v>-0.11838632023290407</v>
      </c>
      <c r="O62">
        <v>4.6249999999999999E-2</v>
      </c>
      <c r="P62" s="3">
        <v>7.7159653465346506E-2</v>
      </c>
      <c r="Q62" s="1">
        <f t="shared" si="1"/>
        <v>13206.374999999947</v>
      </c>
      <c r="R62">
        <v>4.8700400681756899E-2</v>
      </c>
      <c r="S62">
        <v>9.22500939759862E-2</v>
      </c>
      <c r="T62">
        <v>1.91231143003045E-2</v>
      </c>
      <c r="U62">
        <v>6.1167207330737203E-2</v>
      </c>
      <c r="V62" s="4">
        <f t="shared" si="2"/>
        <v>0.29347431140346297</v>
      </c>
      <c r="W62" s="4">
        <f t="shared" si="3"/>
        <v>-0.19672892724899446</v>
      </c>
      <c r="X62" s="4">
        <f t="shared" si="4"/>
        <v>-170.83765492363045</v>
      </c>
      <c r="Y62" s="4">
        <f t="shared" si="5"/>
        <v>247.89999999997417</v>
      </c>
      <c r="Z62" s="4">
        <f t="shared" si="6"/>
        <v>0.52526599600000001</v>
      </c>
      <c r="AA62" s="4">
        <f t="shared" si="7"/>
        <v>2.9014997000000001E-2</v>
      </c>
      <c r="AI62" s="2"/>
      <c r="AJ62" s="2"/>
      <c r="AK62" s="2"/>
      <c r="AL62" s="2"/>
      <c r="AM62" s="2"/>
      <c r="AN62" s="2"/>
    </row>
    <row r="63" spans="1:40" x14ac:dyDescent="0.25">
      <c r="A63">
        <v>2008</v>
      </c>
      <c r="B63">
        <v>14291.55</v>
      </c>
      <c r="C63">
        <v>108.58252117376399</v>
      </c>
      <c r="D63">
        <v>2.2178854000000001E-2</v>
      </c>
      <c r="E63">
        <v>10394.996703418698</v>
      </c>
      <c r="F63">
        <v>-679</v>
      </c>
      <c r="H63">
        <v>-3.2142522369361298E-2</v>
      </c>
      <c r="I63">
        <v>0.488425585</v>
      </c>
      <c r="J63">
        <v>1732.1201995620283</v>
      </c>
      <c r="K63">
        <v>1311.5</v>
      </c>
      <c r="L63">
        <v>1.4800000000000001E-2</v>
      </c>
      <c r="M63">
        <v>-0.19323625012382256</v>
      </c>
      <c r="N63" s="1">
        <f t="shared" si="0"/>
        <v>-0.20803625012382257</v>
      </c>
      <c r="O63">
        <v>5.8000000000000003E-2</v>
      </c>
      <c r="P63" s="3">
        <v>0.102169966996699</v>
      </c>
      <c r="Q63" s="1">
        <f t="shared" si="1"/>
        <v>13161.925000000059</v>
      </c>
      <c r="R63">
        <v>1.8738405444562602E-2</v>
      </c>
      <c r="S63">
        <v>2.2433849881473299E-2</v>
      </c>
      <c r="T63">
        <v>-3.3658621040165899E-3</v>
      </c>
      <c r="U63">
        <v>6.8193769626383502E-2</v>
      </c>
      <c r="V63" s="4">
        <f t="shared" si="2"/>
        <v>0.46933051873761661</v>
      </c>
      <c r="W63" s="4">
        <f t="shared" si="3"/>
        <v>-0.48926622213413745</v>
      </c>
      <c r="X63" s="4">
        <f t="shared" si="4"/>
        <v>-288.24906965683954</v>
      </c>
      <c r="Y63" s="4">
        <f t="shared" si="5"/>
        <v>-44.44999999988795</v>
      </c>
      <c r="Z63" s="4">
        <f t="shared" si="6"/>
        <v>0.511574415</v>
      </c>
      <c r="AA63" s="4">
        <f t="shared" si="7"/>
        <v>2.2178854000000001E-2</v>
      </c>
      <c r="AI63" s="2"/>
      <c r="AJ63" s="2"/>
      <c r="AK63" s="2"/>
      <c r="AL63" s="2"/>
      <c r="AM63" s="2"/>
      <c r="AN63" s="2"/>
    </row>
    <row r="64" spans="1:40" x14ac:dyDescent="0.25">
      <c r="A64">
        <v>2009</v>
      </c>
      <c r="B64">
        <v>13938.924999999999</v>
      </c>
      <c r="C64">
        <v>109.728314883149</v>
      </c>
      <c r="D64">
        <v>1.0552285E-2</v>
      </c>
      <c r="E64">
        <v>9982.577792684715</v>
      </c>
      <c r="F64">
        <v>-377.4</v>
      </c>
      <c r="H64">
        <v>-5.5264754347848902E-2</v>
      </c>
      <c r="I64">
        <v>0.41803126699999998</v>
      </c>
      <c r="J64">
        <v>1896.1234602991051</v>
      </c>
      <c r="K64">
        <v>1049.8</v>
      </c>
      <c r="L64">
        <v>1.6000000000000001E-3</v>
      </c>
      <c r="M64">
        <v>0.13034514527972388</v>
      </c>
      <c r="N64" s="1">
        <f t="shared" si="0"/>
        <v>0.12874514527972389</v>
      </c>
      <c r="O64">
        <v>9.2999999999999902E-2</v>
      </c>
      <c r="P64" s="3">
        <v>0.22398267326732599</v>
      </c>
      <c r="Q64" s="1">
        <f t="shared" si="1"/>
        <v>12703.12499999998</v>
      </c>
      <c r="R64">
        <v>-2.4673670805475899E-2</v>
      </c>
      <c r="S64">
        <v>-3.9674758924894298E-2</v>
      </c>
      <c r="T64">
        <v>-3.4851097231982597E-2</v>
      </c>
      <c r="U64">
        <v>7.9845573633871195E-2</v>
      </c>
      <c r="V64" s="4">
        <f t="shared" si="2"/>
        <v>-0.43482202444598933</v>
      </c>
      <c r="W64" s="4">
        <f t="shared" si="3"/>
        <v>-0.9867989747485082</v>
      </c>
      <c r="X64" s="4">
        <f t="shared" si="4"/>
        <v>164.00326073707674</v>
      </c>
      <c r="Y64" s="4">
        <f t="shared" si="5"/>
        <v>-458.80000000007931</v>
      </c>
      <c r="Z64" s="4">
        <f t="shared" si="6"/>
        <v>0.58196873300000007</v>
      </c>
      <c r="AA64" s="4">
        <f t="shared" si="7"/>
        <v>1.0552285E-2</v>
      </c>
      <c r="AI64" s="2"/>
      <c r="AJ64" s="2"/>
      <c r="AK64" s="2"/>
      <c r="AL64" s="2"/>
      <c r="AM64" s="2"/>
      <c r="AN64" s="2"/>
    </row>
    <row r="65" spans="1:40" x14ac:dyDescent="0.25">
      <c r="A65">
        <v>2010</v>
      </c>
      <c r="B65">
        <v>14526.55</v>
      </c>
      <c r="C65">
        <v>110.991578147116</v>
      </c>
      <c r="D65">
        <v>1.1512646E-2</v>
      </c>
      <c r="E65">
        <v>10241.839851129322</v>
      </c>
      <c r="F65">
        <v>-479.2</v>
      </c>
      <c r="H65">
        <v>-1.5778691685334401E-2</v>
      </c>
      <c r="I65">
        <v>0.37680255899999998</v>
      </c>
      <c r="J65">
        <v>2195.8587296723376</v>
      </c>
      <c r="K65">
        <v>1063.9000000000001</v>
      </c>
      <c r="L65">
        <v>1.4000000000000002E-3</v>
      </c>
      <c r="M65">
        <v>0.34151928004860438</v>
      </c>
      <c r="N65" s="1">
        <f t="shared" si="0"/>
        <v>0.34011928004860437</v>
      </c>
      <c r="O65">
        <v>9.6249999999999905E-2</v>
      </c>
      <c r="P65" s="3">
        <v>0.31527433993399301</v>
      </c>
      <c r="Q65" s="1">
        <f t="shared" si="1"/>
        <v>13087.974999999995</v>
      </c>
      <c r="R65">
        <v>4.2157124742402997E-2</v>
      </c>
      <c r="S65">
        <v>2.5971447455757399E-2</v>
      </c>
      <c r="T65">
        <v>3.0288822471298701E-2</v>
      </c>
      <c r="U65">
        <v>9.3432952448306697E-2</v>
      </c>
      <c r="V65" s="4">
        <f t="shared" si="2"/>
        <v>-0.96436819023701636</v>
      </c>
      <c r="W65" s="4">
        <f t="shared" si="3"/>
        <v>-0.94570249548334495</v>
      </c>
      <c r="X65" s="4">
        <f t="shared" si="4"/>
        <v>299.73526937323254</v>
      </c>
      <c r="Y65" s="4">
        <f t="shared" si="5"/>
        <v>384.85000000001492</v>
      </c>
      <c r="Z65" s="4">
        <f t="shared" si="6"/>
        <v>0.62319744100000007</v>
      </c>
      <c r="AA65" s="4">
        <f t="shared" si="7"/>
        <v>1.1512646E-2</v>
      </c>
      <c r="AI65" s="2"/>
      <c r="AJ65" s="2"/>
      <c r="AK65" s="2"/>
      <c r="AL65" s="2"/>
      <c r="AM65" s="2"/>
      <c r="AN65" s="2"/>
    </row>
    <row r="66" spans="1:40" x14ac:dyDescent="0.25">
      <c r="A66">
        <v>2011</v>
      </c>
      <c r="J66">
        <v>2265.0044700608928</v>
      </c>
      <c r="L66">
        <v>5.9999999999999995E-4</v>
      </c>
      <c r="M66">
        <v>8.0805881312647154E-2</v>
      </c>
      <c r="N66" s="1">
        <f t="shared" si="0"/>
        <v>8.0205881312647151E-2</v>
      </c>
      <c r="O66">
        <v>9.0333333333333196E-2</v>
      </c>
      <c r="P66" s="3">
        <v>0.35253850385038399</v>
      </c>
      <c r="Q66" s="1"/>
      <c r="U66">
        <v>0.106754783428457</v>
      </c>
      <c r="X66" s="4">
        <f t="shared" si="4"/>
        <v>69.145740388555168</v>
      </c>
    </row>
  </sheetData>
  <pageMargins left="0.7" right="0.7" top="0.75" bottom="0.75" header="0.3" footer="0.3"/>
  <headerFooter>
    <oddHeader>&amp;L&amp;"Calibri"&amp;11&amp;K000000 PERSONAL/NONWORK // EXTERNAL&amp;1#_x000D_</oddHeader>
  </headerFooter>
</worksheet>
</file>

<file path=docMetadata/LabelInfo.xml><?xml version="1.0" encoding="utf-8"?>
<clbl:labelList xmlns:clbl="http://schemas.microsoft.com/office/2020/mipLabelMetadata">
  <clbl:label id="{d7ea93e3-e39d-47c1-8196-dda37fa8a38c}" enabled="1" method="Privileged" siteId="{b397c653-5b19-463f-b9fc-af658ded912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Federal Reserve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Anderson, Nicholas C</dc:creator>
  <cp:lastModifiedBy>Anderson, Nicholas C</cp:lastModifiedBy>
  <dcterms:created xsi:type="dcterms:W3CDTF">2025-10-01T21:06:29Z</dcterms:created>
  <dcterms:modified xsi:type="dcterms:W3CDTF">2025-10-02T20:34:10Z</dcterms:modified>
</cp:coreProperties>
</file>
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31" documentId="8_{48557531-53F7-4F14-AF62-E0FC07A03544}" xr6:coauthVersionLast="47" xr6:coauthVersionMax="47" xr10:uidLastSave="{2129BE38-E3A2-45AE-9B61-0C797815167E}"/>
  <bookViews>
    <workbookView xWindow="-28920" yWindow="-300" windowWidth="29040" windowHeight="15720" xr2:uid="{F54900B5-BFA6-4A67-A8DF-86707CA5E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" i="1" l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</calcChain>
</file>

<file path=xl/sharedStrings.xml><?xml version="1.0" encoding="utf-8"?>
<sst xmlns="http://schemas.openxmlformats.org/spreadsheetml/2006/main" count="19" uniqueCount="19">
  <si>
    <t>Total Market Prices</t>
  </si>
  <si>
    <t>Total Direct Prices</t>
  </si>
  <si>
    <t>qtpmtv = tpmr/tvr</t>
  </si>
  <si>
    <t>qtp(r)tv= tpr(r)/tvr</t>
  </si>
  <si>
    <t>qtpmtp(r) = tpmr/tpr(r)</t>
  </si>
  <si>
    <t>Index</t>
  </si>
  <si>
    <t>tpm</t>
  </si>
  <si>
    <t>td</t>
  </si>
  <si>
    <t>tv</t>
  </si>
  <si>
    <t>tp(r)</t>
  </si>
  <si>
    <t>tpmr = tpm/TPM</t>
  </si>
  <si>
    <t>tvr = tv/TV</t>
  </si>
  <si>
    <t>tdr = td/TD</t>
  </si>
  <si>
    <t>tp(r) = tp(r)/TP(r)</t>
  </si>
  <si>
    <t>qtpmtv67</t>
  </si>
  <si>
    <t>qtpoptv67</t>
  </si>
  <si>
    <t>qtpmtpop67</t>
  </si>
  <si>
    <t>Ams1_58.xmcd</t>
  </si>
  <si>
    <t>r observed = 0.176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</si>
</sst>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8427-ADF3-40B7-99AA-250885F47164}">
  <dimension ref="A1:AK73"/>
  <sheetViews>
    <sheetView tabSelected="1" workbookViewId="0"/>
  </sheetViews>
  <sheetFormatPr defaultRowHeight="15" x14ac:dyDescent="0.25"/>
  <sheetData>
    <row r="1" spans="1:37" x14ac:dyDescent="0.25">
      <c r="A1" t="s">
        <v>17</v>
      </c>
      <c r="B1" t="s">
        <v>0</v>
      </c>
      <c r="C1" t="s">
        <v>1</v>
      </c>
      <c r="E1" t="s">
        <v>18</v>
      </c>
      <c r="J1" t="s">
        <v>2</v>
      </c>
      <c r="K1" t="s">
        <v>3</v>
      </c>
      <c r="L1" t="s">
        <v>4</v>
      </c>
    </row>
    <row r="2" spans="1:3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37" x14ac:dyDescent="0.25">
      <c r="A3">
        <v>1</v>
      </c>
      <c r="B3" s="1">
        <v>48927.199999999997</v>
      </c>
      <c r="C3" s="1">
        <v>52723.141751199997</v>
      </c>
      <c r="D3" s="1">
        <v>14580.8313796</v>
      </c>
      <c r="E3" s="1">
        <v>16643.887123299999</v>
      </c>
      <c r="F3" s="1">
        <v>6.8453899999999998E-2</v>
      </c>
      <c r="G3" s="1">
        <v>7.3764800000000005E-2</v>
      </c>
      <c r="H3" s="1">
        <v>7.3764800000000005E-2</v>
      </c>
      <c r="I3" s="1">
        <v>7.7971200000000004E-2</v>
      </c>
      <c r="J3" s="1">
        <f>+F3/G3</f>
        <v>0.92800224497321204</v>
      </c>
      <c r="K3" s="1">
        <f>+I3/G3</f>
        <v>1.0570244886449907</v>
      </c>
      <c r="L3" s="1">
        <f>+F3/I3</f>
        <v>0.87793826438479838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>
        <v>2</v>
      </c>
      <c r="B4" s="1">
        <v>837.28229999999996</v>
      </c>
      <c r="C4" s="1">
        <v>626.9480198</v>
      </c>
      <c r="D4" s="1">
        <v>173.38540639999999</v>
      </c>
      <c r="E4" s="1">
        <v>203.31522190000001</v>
      </c>
      <c r="F4" s="1">
        <v>1.1714E-3</v>
      </c>
      <c r="G4" s="1">
        <v>8.7719999999999996E-4</v>
      </c>
      <c r="H4" s="1">
        <v>8.7719999999999996E-4</v>
      </c>
      <c r="I4" s="1">
        <v>9.525E-4</v>
      </c>
      <c r="J4" s="1">
        <f t="shared" ref="J4:J67" si="0">+F4/G4</f>
        <v>1.3353853169174648</v>
      </c>
      <c r="K4" s="1">
        <f t="shared" ref="K4:K67" si="1">+I4/G4</f>
        <v>1.085841313269494</v>
      </c>
      <c r="L4" s="1">
        <f t="shared" ref="L4:L67" si="2">+F4/I4</f>
        <v>1.2298162729658793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>
        <v>3</v>
      </c>
      <c r="B5" s="1">
        <v>1064.808</v>
      </c>
      <c r="C5" s="1">
        <v>1031.2681009999999</v>
      </c>
      <c r="D5" s="1">
        <v>285.20201539999999</v>
      </c>
      <c r="E5" s="1">
        <v>322.63447020000001</v>
      </c>
      <c r="F5" s="1">
        <v>1.4897999999999999E-3</v>
      </c>
      <c r="G5" s="1">
        <v>1.4427999999999999E-3</v>
      </c>
      <c r="H5" s="1">
        <v>1.4427999999999999E-3</v>
      </c>
      <c r="I5" s="1">
        <v>1.5114E-3</v>
      </c>
      <c r="J5" s="1">
        <f t="shared" si="0"/>
        <v>1.0325755475464375</v>
      </c>
      <c r="K5" s="1">
        <f t="shared" si="1"/>
        <v>1.0475464374826726</v>
      </c>
      <c r="L5" s="1">
        <f t="shared" si="2"/>
        <v>0.98570861452957514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>
        <v>4</v>
      </c>
      <c r="B6" s="1">
        <v>2782.748</v>
      </c>
      <c r="C6" s="1">
        <v>3465.3755092000001</v>
      </c>
      <c r="D6" s="1">
        <v>958.36580079999999</v>
      </c>
      <c r="E6" s="1">
        <v>979.33759889999999</v>
      </c>
      <c r="F6" s="1">
        <v>3.8933000000000001E-3</v>
      </c>
      <c r="G6" s="1">
        <v>4.8484000000000001E-3</v>
      </c>
      <c r="H6" s="1">
        <v>4.8484000000000001E-3</v>
      </c>
      <c r="I6" s="1">
        <v>4.5878999999999998E-3</v>
      </c>
      <c r="J6" s="1">
        <f t="shared" si="0"/>
        <v>0.80300717762560847</v>
      </c>
      <c r="K6" s="1">
        <f t="shared" si="1"/>
        <v>0.94627093474135793</v>
      </c>
      <c r="L6" s="1">
        <f t="shared" si="2"/>
        <v>0.8486017567950479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>
        <v>5</v>
      </c>
      <c r="B7" s="1">
        <v>9927.6669999999995</v>
      </c>
      <c r="C7" s="1">
        <v>4898.8462202999999</v>
      </c>
      <c r="D7" s="1">
        <v>1354.7988287000001</v>
      </c>
      <c r="E7" s="1">
        <v>1887.993393</v>
      </c>
      <c r="F7" s="1">
        <v>1.3889800000000001E-2</v>
      </c>
      <c r="G7" s="1">
        <v>6.8539999999999998E-3</v>
      </c>
      <c r="H7" s="1">
        <v>6.8539999999999998E-3</v>
      </c>
      <c r="I7" s="1">
        <v>8.8445999999999993E-3</v>
      </c>
      <c r="J7" s="1">
        <f t="shared" si="0"/>
        <v>2.0265246571345203</v>
      </c>
      <c r="K7" s="1">
        <f t="shared" si="1"/>
        <v>1.2904289466005252</v>
      </c>
      <c r="L7" s="1">
        <f t="shared" si="2"/>
        <v>1.5704271532912739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>
        <v>6</v>
      </c>
      <c r="B8" s="1">
        <v>1437.2139999999999</v>
      </c>
      <c r="C8" s="1">
        <v>1171.462698</v>
      </c>
      <c r="D8" s="1">
        <v>323.97348679999999</v>
      </c>
      <c r="E8" s="1">
        <v>344.79920620000001</v>
      </c>
      <c r="F8" s="1">
        <v>2.0108000000000001E-3</v>
      </c>
      <c r="G8" s="1">
        <v>1.639E-3</v>
      </c>
      <c r="H8" s="1">
        <v>1.639E-3</v>
      </c>
      <c r="I8" s="1">
        <v>1.6153000000000001E-3</v>
      </c>
      <c r="J8" s="1">
        <f t="shared" si="0"/>
        <v>1.2268456375838925</v>
      </c>
      <c r="K8" s="1">
        <f t="shared" si="1"/>
        <v>0.98553996339231242</v>
      </c>
      <c r="L8" s="1">
        <f t="shared" si="2"/>
        <v>1.2448461586083082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>
        <v>7</v>
      </c>
      <c r="B9" s="1">
        <v>480.72320000000002</v>
      </c>
      <c r="C9" s="1">
        <v>295.68491180000001</v>
      </c>
      <c r="D9" s="1">
        <v>81.773044999999996</v>
      </c>
      <c r="E9" s="1">
        <v>97.539052400000003</v>
      </c>
      <c r="F9" s="1">
        <v>6.7259999999999998E-4</v>
      </c>
      <c r="G9" s="1">
        <v>4.1370000000000003E-4</v>
      </c>
      <c r="H9" s="1">
        <v>4.1370000000000003E-4</v>
      </c>
      <c r="I9" s="1">
        <v>4.5689999999999999E-4</v>
      </c>
      <c r="J9" s="1">
        <f t="shared" si="0"/>
        <v>1.6258158085569252</v>
      </c>
      <c r="K9" s="1">
        <f t="shared" si="1"/>
        <v>1.1044234952864393</v>
      </c>
      <c r="L9" s="1">
        <f t="shared" si="2"/>
        <v>1.4720945502298095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>
        <v>8</v>
      </c>
      <c r="B10" s="1">
        <v>60411.3</v>
      </c>
      <c r="C10" s="1">
        <v>66873.211119300002</v>
      </c>
      <c r="D10" s="1">
        <v>18494.0992277</v>
      </c>
      <c r="E10" s="1">
        <v>18593.131609799999</v>
      </c>
      <c r="F10" s="1">
        <v>8.4521200000000005E-2</v>
      </c>
      <c r="G10" s="1">
        <v>9.3562099999999995E-2</v>
      </c>
      <c r="H10" s="1">
        <v>9.3562099999999995E-2</v>
      </c>
      <c r="I10" s="1">
        <v>8.7102799999999994E-2</v>
      </c>
      <c r="J10" s="1">
        <f t="shared" si="0"/>
        <v>0.90337006116793028</v>
      </c>
      <c r="K10" s="1">
        <f t="shared" si="1"/>
        <v>0.93096243030030323</v>
      </c>
      <c r="L10" s="1">
        <f t="shared" si="2"/>
        <v>0.9703614579554275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>
        <v>9</v>
      </c>
      <c r="B11" s="1">
        <v>4170.1930000000002</v>
      </c>
      <c r="C11" s="1">
        <v>3982.5353659000002</v>
      </c>
      <c r="D11" s="1">
        <v>1101.3887774</v>
      </c>
      <c r="E11" s="1">
        <v>1099.9019900999999</v>
      </c>
      <c r="F11" s="1">
        <v>5.8345000000000003E-3</v>
      </c>
      <c r="G11" s="1">
        <v>5.5719999999999997E-3</v>
      </c>
      <c r="H11" s="1">
        <v>5.5719999999999997E-3</v>
      </c>
      <c r="I11" s="1">
        <v>5.1526999999999996E-3</v>
      </c>
      <c r="J11" s="1">
        <f t="shared" si="0"/>
        <v>1.0471105527638191</v>
      </c>
      <c r="K11" s="1">
        <f t="shared" si="1"/>
        <v>0.92474874371859295</v>
      </c>
      <c r="L11" s="1">
        <f t="shared" si="2"/>
        <v>1.1323189783996741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>
        <v>10</v>
      </c>
      <c r="B12" s="1">
        <v>61850.14</v>
      </c>
      <c r="C12" s="1">
        <v>57854.029608800003</v>
      </c>
      <c r="D12" s="1">
        <v>15999.802408199999</v>
      </c>
      <c r="E12" s="1">
        <v>17638.375628500002</v>
      </c>
      <c r="F12" s="1">
        <v>8.6534299999999995E-2</v>
      </c>
      <c r="G12" s="1">
        <v>8.0943399999999999E-2</v>
      </c>
      <c r="H12" s="1">
        <v>8.0943399999999999E-2</v>
      </c>
      <c r="I12" s="1">
        <v>8.2630099999999998E-2</v>
      </c>
      <c r="J12" s="1">
        <f t="shared" si="0"/>
        <v>1.0690717217215979</v>
      </c>
      <c r="K12" s="1">
        <f t="shared" si="1"/>
        <v>1.0208380176765492</v>
      </c>
      <c r="L12" s="1">
        <f t="shared" si="2"/>
        <v>1.0472491259238461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>
        <v>11</v>
      </c>
      <c r="B13" s="1">
        <v>5919.0119999999997</v>
      </c>
      <c r="C13" s="1">
        <v>3026.2400373999999</v>
      </c>
      <c r="D13" s="1">
        <v>836.92083270000001</v>
      </c>
      <c r="E13" s="1">
        <v>911.81031940000003</v>
      </c>
      <c r="F13" s="1">
        <v>8.2813000000000001E-3</v>
      </c>
      <c r="G13" s="1">
        <v>4.2339999999999999E-3</v>
      </c>
      <c r="H13" s="1">
        <v>4.2339999999999999E-3</v>
      </c>
      <c r="I13" s="1">
        <v>4.2715000000000001E-3</v>
      </c>
      <c r="J13" s="1">
        <f t="shared" si="0"/>
        <v>1.9559045819555976</v>
      </c>
      <c r="K13" s="1">
        <f t="shared" si="1"/>
        <v>1.0088568729333964</v>
      </c>
      <c r="L13" s="1">
        <f t="shared" si="2"/>
        <v>1.938733465995552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>
        <v>12</v>
      </c>
      <c r="B14">
        <v>10494.63</v>
      </c>
      <c r="C14">
        <v>10675.9241989</v>
      </c>
      <c r="D14">
        <v>2952.4767568000002</v>
      </c>
      <c r="E14">
        <v>3225.9654366</v>
      </c>
      <c r="F14">
        <v>1.4683E-2</v>
      </c>
      <c r="G14">
        <v>1.49366E-2</v>
      </c>
      <c r="H14">
        <v>1.49366E-2</v>
      </c>
      <c r="I14">
        <v>1.51126E-2</v>
      </c>
      <c r="J14" s="1">
        <f t="shared" si="0"/>
        <v>0.98302157117416278</v>
      </c>
      <c r="K14" s="1">
        <f t="shared" si="1"/>
        <v>1.0117831367245558</v>
      </c>
      <c r="L14" s="1">
        <f t="shared" si="2"/>
        <v>0.97157338909254531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>
        <v>13</v>
      </c>
      <c r="B15">
        <v>2020.2670000000001</v>
      </c>
      <c r="C15">
        <v>1879.7127472</v>
      </c>
      <c r="D15">
        <v>519.84334960000001</v>
      </c>
      <c r="E15">
        <v>569.2914227</v>
      </c>
      <c r="F15">
        <v>2.8265E-3</v>
      </c>
      <c r="G15">
        <v>2.6299000000000001E-3</v>
      </c>
      <c r="H15">
        <v>2.6299000000000001E-3</v>
      </c>
      <c r="I15">
        <v>2.6668999999999998E-3</v>
      </c>
      <c r="J15" s="1">
        <f t="shared" si="0"/>
        <v>1.0747556941328567</v>
      </c>
      <c r="K15" s="1">
        <f t="shared" si="1"/>
        <v>1.0140689760066921</v>
      </c>
      <c r="L15" s="1">
        <f t="shared" si="2"/>
        <v>1.0598447635831865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>
        <v>14</v>
      </c>
      <c r="B16">
        <v>14135.07</v>
      </c>
      <c r="C16">
        <v>15440.2010694</v>
      </c>
      <c r="D16">
        <v>4270.0598025999998</v>
      </c>
      <c r="E16">
        <v>4158.9008469999999</v>
      </c>
      <c r="F16">
        <v>1.97763E-2</v>
      </c>
      <c r="G16">
        <v>2.1602300000000001E-2</v>
      </c>
      <c r="H16">
        <v>2.1602300000000001E-2</v>
      </c>
      <c r="I16">
        <v>1.94831E-2</v>
      </c>
      <c r="J16" s="1">
        <f t="shared" si="0"/>
        <v>0.91547196363350192</v>
      </c>
      <c r="K16" s="1">
        <f t="shared" si="1"/>
        <v>0.9018993347930544</v>
      </c>
      <c r="L16" s="1">
        <f t="shared" si="2"/>
        <v>1.0150489398504345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>
        <v>15</v>
      </c>
      <c r="B17">
        <v>1839.4590000000001</v>
      </c>
      <c r="C17">
        <v>1875.1077048</v>
      </c>
      <c r="D17">
        <v>518.5698036</v>
      </c>
      <c r="E17">
        <v>534.17333050000002</v>
      </c>
      <c r="F17">
        <v>2.5736000000000001E-3</v>
      </c>
      <c r="G17">
        <v>2.6235E-3</v>
      </c>
      <c r="H17">
        <v>2.6235E-3</v>
      </c>
      <c r="I17">
        <v>2.5024000000000001E-3</v>
      </c>
      <c r="J17" s="1">
        <f t="shared" si="0"/>
        <v>0.9809796073947018</v>
      </c>
      <c r="K17" s="1">
        <f t="shared" si="1"/>
        <v>0.95384028968934631</v>
      </c>
      <c r="L17" s="1">
        <f t="shared" si="2"/>
        <v>1.0284526854219949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>
        <v>16</v>
      </c>
      <c r="B18">
        <v>7596.1729999999998</v>
      </c>
      <c r="C18">
        <v>9626.6049057</v>
      </c>
      <c r="D18">
        <v>2662.2825997</v>
      </c>
      <c r="E18">
        <v>2783.8082404000002</v>
      </c>
      <c r="F18">
        <v>1.06278E-2</v>
      </c>
      <c r="G18">
        <v>1.34685E-2</v>
      </c>
      <c r="H18">
        <v>1.34685E-2</v>
      </c>
      <c r="I18">
        <v>1.3041199999999999E-2</v>
      </c>
      <c r="J18" s="1">
        <f t="shared" si="0"/>
        <v>0.7890856442811004</v>
      </c>
      <c r="K18" s="1">
        <f t="shared" si="1"/>
        <v>0.96827412109737532</v>
      </c>
      <c r="L18" s="1">
        <f t="shared" si="2"/>
        <v>0.81494034291322892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>
        <v>17</v>
      </c>
      <c r="B19">
        <v>405.64640000000003</v>
      </c>
      <c r="C19">
        <v>496.65335590000001</v>
      </c>
      <c r="D19">
        <v>137.35180790000001</v>
      </c>
      <c r="E19">
        <v>148.316518</v>
      </c>
      <c r="F19">
        <v>5.6749999999999997E-4</v>
      </c>
      <c r="G19">
        <v>6.9490000000000003E-4</v>
      </c>
      <c r="H19">
        <v>6.9490000000000003E-4</v>
      </c>
      <c r="I19">
        <v>6.9479999999999997E-4</v>
      </c>
      <c r="J19" s="1">
        <f t="shared" si="0"/>
        <v>0.81666426824003446</v>
      </c>
      <c r="K19" s="1">
        <f t="shared" si="1"/>
        <v>0.99985609440207213</v>
      </c>
      <c r="L19" s="1">
        <f t="shared" si="2"/>
        <v>0.81678180771445019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>
        <v>18</v>
      </c>
      <c r="B20">
        <v>3177.3809999999999</v>
      </c>
      <c r="C20">
        <v>3363.1955616999999</v>
      </c>
      <c r="D20">
        <v>930.10745859999997</v>
      </c>
      <c r="E20">
        <v>923.27729199999999</v>
      </c>
      <c r="F20">
        <v>4.4454999999999998E-3</v>
      </c>
      <c r="G20">
        <v>4.7054000000000002E-3</v>
      </c>
      <c r="H20">
        <v>4.7054000000000002E-3</v>
      </c>
      <c r="I20">
        <v>4.3252999999999998E-3</v>
      </c>
      <c r="J20" s="1">
        <f t="shared" si="0"/>
        <v>0.94476558847281833</v>
      </c>
      <c r="K20" s="1">
        <f t="shared" si="1"/>
        <v>0.91922047009818497</v>
      </c>
      <c r="L20" s="1">
        <f t="shared" si="2"/>
        <v>1.0277899798857884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>
        <v>19</v>
      </c>
      <c r="B21">
        <v>1343.0229999999999</v>
      </c>
      <c r="C21">
        <v>1280.7579687</v>
      </c>
      <c r="D21">
        <v>354.1996049</v>
      </c>
      <c r="E21">
        <v>360.0088002</v>
      </c>
      <c r="F21">
        <v>1.879E-3</v>
      </c>
      <c r="G21">
        <v>1.7918999999999999E-3</v>
      </c>
      <c r="H21">
        <v>1.7918999999999999E-3</v>
      </c>
      <c r="I21">
        <v>1.6865000000000001E-3</v>
      </c>
      <c r="J21" s="1">
        <f t="shared" si="0"/>
        <v>1.0486076231932586</v>
      </c>
      <c r="K21" s="1">
        <f t="shared" si="1"/>
        <v>0.94117975333444959</v>
      </c>
      <c r="L21" s="1">
        <f t="shared" si="2"/>
        <v>1.114141713608064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>
        <v>20</v>
      </c>
      <c r="B22">
        <v>9290.7090000000007</v>
      </c>
      <c r="C22">
        <v>8606.1231071000002</v>
      </c>
      <c r="D22">
        <v>2380.0635867000001</v>
      </c>
      <c r="E22">
        <v>2725.6093787999998</v>
      </c>
      <c r="F22">
        <v>1.2998600000000001E-2</v>
      </c>
      <c r="G22">
        <v>1.2040800000000001E-2</v>
      </c>
      <c r="H22">
        <v>1.2040800000000001E-2</v>
      </c>
      <c r="I22">
        <v>1.27686E-2</v>
      </c>
      <c r="J22" s="1">
        <f t="shared" si="0"/>
        <v>1.0795462095541823</v>
      </c>
      <c r="K22" s="1">
        <f t="shared" si="1"/>
        <v>1.0604444887382898</v>
      </c>
      <c r="L22" s="1">
        <f t="shared" si="2"/>
        <v>1.0180129379885032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>
        <v>21</v>
      </c>
      <c r="B23">
        <v>3552.9009999999998</v>
      </c>
      <c r="C23">
        <v>3221.6829315999998</v>
      </c>
      <c r="D23">
        <v>890.97147900000004</v>
      </c>
      <c r="E23">
        <v>977.83148340000002</v>
      </c>
      <c r="F23">
        <v>4.9709000000000003E-3</v>
      </c>
      <c r="G23">
        <v>4.5073999999999999E-3</v>
      </c>
      <c r="H23">
        <v>4.5073999999999999E-3</v>
      </c>
      <c r="I23">
        <v>4.5808000000000003E-3</v>
      </c>
      <c r="J23" s="1">
        <f t="shared" si="0"/>
        <v>1.1028309002972889</v>
      </c>
      <c r="K23" s="1">
        <f t="shared" si="1"/>
        <v>1.0162843324311133</v>
      </c>
      <c r="L23" s="1">
        <f t="shared" si="2"/>
        <v>1.0851597974152987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>
        <v>22</v>
      </c>
      <c r="B24">
        <v>12346.44</v>
      </c>
      <c r="C24">
        <v>13927.797240399999</v>
      </c>
      <c r="D24">
        <v>3851.7974518999999</v>
      </c>
      <c r="E24">
        <v>3919.6867394999999</v>
      </c>
      <c r="F24">
        <v>1.7273899999999998E-2</v>
      </c>
      <c r="G24">
        <v>1.9486300000000002E-2</v>
      </c>
      <c r="H24">
        <v>1.9486300000000002E-2</v>
      </c>
      <c r="I24">
        <v>1.83625E-2</v>
      </c>
      <c r="J24" s="1">
        <f t="shared" si="0"/>
        <v>0.88646382330149887</v>
      </c>
      <c r="K24" s="1">
        <f t="shared" si="1"/>
        <v>0.94232871299323107</v>
      </c>
      <c r="L24" s="1">
        <f t="shared" si="2"/>
        <v>0.94071613342409788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>
        <v>23</v>
      </c>
      <c r="B25">
        <v>10203.61</v>
      </c>
      <c r="C25">
        <v>7840.2770105999998</v>
      </c>
      <c r="D25">
        <v>2168.2652677000001</v>
      </c>
      <c r="E25">
        <v>2709.3912608000001</v>
      </c>
      <c r="F25">
        <v>1.42758E-2</v>
      </c>
      <c r="G25">
        <v>1.09693E-2</v>
      </c>
      <c r="H25">
        <v>1.09693E-2</v>
      </c>
      <c r="I25">
        <v>1.26926E-2</v>
      </c>
      <c r="J25" s="1">
        <f t="shared" si="0"/>
        <v>1.3014321788992917</v>
      </c>
      <c r="K25" s="1">
        <f t="shared" si="1"/>
        <v>1.1571020940260546</v>
      </c>
      <c r="L25" s="1">
        <f t="shared" si="2"/>
        <v>1.1247340970329167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>
        <v>24</v>
      </c>
      <c r="B26">
        <v>3769.7689999999998</v>
      </c>
      <c r="C26">
        <v>2830.8293107</v>
      </c>
      <c r="D26">
        <v>782.87908259999995</v>
      </c>
      <c r="E26">
        <v>951.7448187</v>
      </c>
      <c r="F26">
        <v>5.2743E-3</v>
      </c>
      <c r="G26">
        <v>3.9605999999999999E-3</v>
      </c>
      <c r="H26">
        <v>3.9605999999999999E-3</v>
      </c>
      <c r="I26">
        <v>4.4586000000000001E-3</v>
      </c>
      <c r="J26" s="1">
        <f t="shared" si="0"/>
        <v>1.3316921678533555</v>
      </c>
      <c r="K26" s="1">
        <f t="shared" si="1"/>
        <v>1.1257385244659901</v>
      </c>
      <c r="L26" s="1">
        <f t="shared" si="2"/>
        <v>1.1829498048714844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>
        <v>25</v>
      </c>
      <c r="B27">
        <v>6086.3649999999998</v>
      </c>
      <c r="C27">
        <v>4322.5854460999999</v>
      </c>
      <c r="D27">
        <v>1195.4312170999999</v>
      </c>
      <c r="E27">
        <v>1302.4743283</v>
      </c>
      <c r="F27">
        <v>8.5153999999999994E-3</v>
      </c>
      <c r="G27">
        <v>6.0476999999999996E-3</v>
      </c>
      <c r="H27">
        <v>6.0476999999999996E-3</v>
      </c>
      <c r="I27">
        <v>6.1016999999999998E-3</v>
      </c>
      <c r="J27" s="1">
        <f t="shared" si="0"/>
        <v>1.4080394199447723</v>
      </c>
      <c r="K27" s="1">
        <f t="shared" si="1"/>
        <v>1.0089290143360286</v>
      </c>
      <c r="L27" s="1">
        <f t="shared" si="2"/>
        <v>1.3955782814625433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>
        <v>26</v>
      </c>
      <c r="B28">
        <v>1790.365</v>
      </c>
      <c r="C28">
        <v>1404.7403967</v>
      </c>
      <c r="D28">
        <v>388.48752510000003</v>
      </c>
      <c r="E28">
        <v>430.66777280000002</v>
      </c>
      <c r="F28">
        <v>2.5049E-3</v>
      </c>
      <c r="G28">
        <v>1.9654E-3</v>
      </c>
      <c r="H28">
        <v>1.9654E-3</v>
      </c>
      <c r="I28">
        <v>2.0175000000000002E-3</v>
      </c>
      <c r="J28" s="1">
        <f t="shared" si="0"/>
        <v>1.2744988297547573</v>
      </c>
      <c r="K28" s="1">
        <f t="shared" si="1"/>
        <v>1.0265085987585225</v>
      </c>
      <c r="L28" s="1">
        <f t="shared" si="2"/>
        <v>1.2415861214374224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>
        <v>27</v>
      </c>
      <c r="B29">
        <v>16754.39</v>
      </c>
      <c r="C29">
        <v>10463.1919309</v>
      </c>
      <c r="D29">
        <v>2893.6446534000002</v>
      </c>
      <c r="E29">
        <v>4018.1915837000001</v>
      </c>
      <c r="F29">
        <v>2.3441E-2</v>
      </c>
      <c r="G29">
        <v>1.4638999999999999E-2</v>
      </c>
      <c r="H29">
        <v>1.4638999999999999E-2</v>
      </c>
      <c r="I29">
        <v>1.8823900000000001E-2</v>
      </c>
      <c r="J29" s="1">
        <f t="shared" si="0"/>
        <v>1.6012705785914338</v>
      </c>
      <c r="K29" s="1">
        <f t="shared" si="1"/>
        <v>1.2858733520049186</v>
      </c>
      <c r="L29" s="1">
        <f t="shared" si="2"/>
        <v>1.2452786085773935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>
        <v>28</v>
      </c>
      <c r="B30">
        <v>6467.7219999999998</v>
      </c>
      <c r="C30">
        <v>5462.4701504000004</v>
      </c>
      <c r="D30">
        <v>1510.6716621</v>
      </c>
      <c r="E30">
        <v>1603.1632380000001</v>
      </c>
      <c r="F30">
        <v>9.0489999999999998E-3</v>
      </c>
      <c r="G30">
        <v>7.6425E-3</v>
      </c>
      <c r="H30">
        <v>7.6425E-3</v>
      </c>
      <c r="I30">
        <v>7.5103000000000001E-3</v>
      </c>
      <c r="J30" s="1">
        <f t="shared" si="0"/>
        <v>1.1840366372260385</v>
      </c>
      <c r="K30" s="1">
        <f t="shared" si="1"/>
        <v>0.98270199542034675</v>
      </c>
      <c r="L30" s="1">
        <f t="shared" si="2"/>
        <v>1.2048786333435415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>
        <v>29</v>
      </c>
      <c r="B31">
        <v>871.6413</v>
      </c>
      <c r="C31">
        <v>751.00681369999995</v>
      </c>
      <c r="D31">
        <v>207.694446</v>
      </c>
      <c r="E31">
        <v>221.00176490000001</v>
      </c>
      <c r="F31">
        <v>1.2195000000000001E-3</v>
      </c>
      <c r="G31">
        <v>1.0506999999999999E-3</v>
      </c>
      <c r="H31">
        <v>1.0506999999999999E-3</v>
      </c>
      <c r="I31">
        <v>1.0353000000000001E-3</v>
      </c>
      <c r="J31" s="1">
        <f t="shared" si="0"/>
        <v>1.1606548015608644</v>
      </c>
      <c r="K31" s="1">
        <f t="shared" si="1"/>
        <v>0.98534310459693553</v>
      </c>
      <c r="L31" s="1">
        <f t="shared" si="2"/>
        <v>1.1779194436395248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>
        <v>30</v>
      </c>
      <c r="B32">
        <v>3033.3319999999999</v>
      </c>
      <c r="C32">
        <v>3153.7211212000002</v>
      </c>
      <c r="D32">
        <v>872.17632260000005</v>
      </c>
      <c r="E32">
        <v>835.94231520000005</v>
      </c>
      <c r="F32">
        <v>4.2439000000000001E-3</v>
      </c>
      <c r="G32">
        <v>4.4124000000000003E-3</v>
      </c>
      <c r="H32">
        <v>4.4124000000000003E-3</v>
      </c>
      <c r="I32">
        <v>3.9160999999999996E-3</v>
      </c>
      <c r="J32" s="1">
        <f t="shared" si="0"/>
        <v>0.96181216571480366</v>
      </c>
      <c r="K32" s="1">
        <f t="shared" si="1"/>
        <v>0.88752153023297964</v>
      </c>
      <c r="L32" s="1">
        <f t="shared" si="2"/>
        <v>1.0837057276371902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>
        <v>31</v>
      </c>
      <c r="B33">
        <v>2129.674</v>
      </c>
      <c r="C33">
        <v>1876.4981547</v>
      </c>
      <c r="D33">
        <v>518.954339</v>
      </c>
      <c r="E33">
        <v>563.86601810000002</v>
      </c>
      <c r="F33">
        <v>2.9795999999999998E-3</v>
      </c>
      <c r="G33">
        <v>2.6254E-3</v>
      </c>
      <c r="H33">
        <v>2.6254E-3</v>
      </c>
      <c r="I33">
        <v>2.6415000000000002E-3</v>
      </c>
      <c r="J33" s="1">
        <f t="shared" si="0"/>
        <v>1.1349127751961605</v>
      </c>
      <c r="K33" s="1">
        <f t="shared" si="1"/>
        <v>1.0061323988725528</v>
      </c>
      <c r="L33" s="1">
        <f t="shared" si="2"/>
        <v>1.1279954571266324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>
        <v>32</v>
      </c>
      <c r="B34">
        <v>7267.85</v>
      </c>
      <c r="C34">
        <v>6661.7307135999999</v>
      </c>
      <c r="D34">
        <v>1842.3327784000001</v>
      </c>
      <c r="E34">
        <v>2066.4287920000002</v>
      </c>
      <c r="F34">
        <v>1.0168399999999999E-2</v>
      </c>
      <c r="G34">
        <v>9.3203999999999995E-3</v>
      </c>
      <c r="H34">
        <v>9.3203999999999995E-3</v>
      </c>
      <c r="I34">
        <v>9.6804999999999999E-3</v>
      </c>
      <c r="J34" s="1">
        <f t="shared" si="0"/>
        <v>1.0909832196043088</v>
      </c>
      <c r="K34" s="1">
        <f t="shared" si="1"/>
        <v>1.0386356808720656</v>
      </c>
      <c r="L34" s="1">
        <f t="shared" si="2"/>
        <v>1.0504002892412581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>
        <v>33</v>
      </c>
      <c r="B35">
        <v>19023.64</v>
      </c>
      <c r="C35">
        <v>19235.133941799999</v>
      </c>
      <c r="D35">
        <v>5319.5662332000002</v>
      </c>
      <c r="E35">
        <v>6232.9767830999999</v>
      </c>
      <c r="F35">
        <v>2.6615900000000001E-2</v>
      </c>
      <c r="G35">
        <v>2.69118E-2</v>
      </c>
      <c r="H35">
        <v>2.69118E-2</v>
      </c>
      <c r="I35">
        <v>2.91995E-2</v>
      </c>
      <c r="J35" s="1">
        <f t="shared" si="0"/>
        <v>0.98900482316307348</v>
      </c>
      <c r="K35" s="1">
        <f t="shared" si="1"/>
        <v>1.0850073202089789</v>
      </c>
      <c r="L35" s="1">
        <f t="shared" si="2"/>
        <v>0.91151903286015179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>
        <v>34</v>
      </c>
      <c r="B36">
        <v>8905.06</v>
      </c>
      <c r="C36">
        <v>8697.9157601999996</v>
      </c>
      <c r="D36">
        <v>2405.4492740999999</v>
      </c>
      <c r="E36">
        <v>2665.5922363</v>
      </c>
      <c r="F36">
        <v>1.2459E-2</v>
      </c>
      <c r="G36">
        <v>1.21692E-2</v>
      </c>
      <c r="H36">
        <v>1.21692E-2</v>
      </c>
      <c r="I36">
        <v>1.2487399999999999E-2</v>
      </c>
      <c r="J36" s="1">
        <f t="shared" si="0"/>
        <v>1.0238142195049798</v>
      </c>
      <c r="K36" s="1">
        <f t="shared" si="1"/>
        <v>1.0261479801465996</v>
      </c>
      <c r="L36" s="1">
        <f t="shared" si="2"/>
        <v>0.99772570751317335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>
        <v>35</v>
      </c>
      <c r="B37">
        <v>2062.8119999999999</v>
      </c>
      <c r="C37">
        <v>2033.6150474999999</v>
      </c>
      <c r="D37">
        <v>562.40575039999999</v>
      </c>
      <c r="E37">
        <v>614.93358679999994</v>
      </c>
      <c r="F37">
        <v>2.8861E-3</v>
      </c>
      <c r="G37">
        <v>2.8452E-3</v>
      </c>
      <c r="H37">
        <v>2.8452E-3</v>
      </c>
      <c r="I37">
        <v>2.8808000000000002E-3</v>
      </c>
      <c r="J37" s="1">
        <f t="shared" si="0"/>
        <v>1.0143750878672853</v>
      </c>
      <c r="K37" s="1">
        <f t="shared" si="1"/>
        <v>1.0125123014199353</v>
      </c>
      <c r="L37" s="1">
        <f t="shared" si="2"/>
        <v>1.0018397667314634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>
        <v>36</v>
      </c>
      <c r="B38">
        <v>7281.3969999999999</v>
      </c>
      <c r="C38">
        <v>7347.2297386999999</v>
      </c>
      <c r="D38">
        <v>2031.9107392000001</v>
      </c>
      <c r="E38">
        <v>2104.4343862999999</v>
      </c>
      <c r="F38">
        <v>1.0187399999999999E-2</v>
      </c>
      <c r="G38">
        <v>1.02795E-2</v>
      </c>
      <c r="H38">
        <v>1.02795E-2</v>
      </c>
      <c r="I38">
        <v>9.8586000000000003E-3</v>
      </c>
      <c r="J38" s="1">
        <f t="shared" si="0"/>
        <v>0.99104042025390326</v>
      </c>
      <c r="K38" s="1">
        <f t="shared" si="1"/>
        <v>0.95905442871735003</v>
      </c>
      <c r="L38" s="1">
        <f t="shared" si="2"/>
        <v>1.0333515915038645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>
        <v>37</v>
      </c>
      <c r="B39">
        <v>3300.6210000000001</v>
      </c>
      <c r="C39">
        <v>3642.0368281000001</v>
      </c>
      <c r="D39">
        <v>1007.2223146</v>
      </c>
      <c r="E39">
        <v>1060.2482677999999</v>
      </c>
      <c r="F39">
        <v>4.6179000000000003E-3</v>
      </c>
      <c r="G39">
        <v>5.0955999999999996E-3</v>
      </c>
      <c r="H39">
        <v>5.0955999999999996E-3</v>
      </c>
      <c r="I39">
        <v>4.9668999999999998E-3</v>
      </c>
      <c r="J39" s="1">
        <f t="shared" si="0"/>
        <v>0.90625245309678948</v>
      </c>
      <c r="K39" s="1">
        <f t="shared" si="1"/>
        <v>0.97474291545647229</v>
      </c>
      <c r="L39" s="1">
        <f t="shared" si="2"/>
        <v>0.92973484467172696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>
        <v>38</v>
      </c>
      <c r="B40">
        <v>5490</v>
      </c>
      <c r="C40">
        <v>5006.6242003999996</v>
      </c>
      <c r="D40">
        <v>1384.6053331000001</v>
      </c>
      <c r="E40">
        <v>1443.6737398</v>
      </c>
      <c r="F40">
        <v>7.6810000000000003E-3</v>
      </c>
      <c r="G40">
        <v>7.0047E-3</v>
      </c>
      <c r="H40">
        <v>7.0047E-3</v>
      </c>
      <c r="I40">
        <v>6.7631000000000002E-3</v>
      </c>
      <c r="J40" s="1">
        <f t="shared" si="0"/>
        <v>1.0965494596485217</v>
      </c>
      <c r="K40" s="1">
        <f t="shared" si="1"/>
        <v>0.96550887261410201</v>
      </c>
      <c r="L40" s="1">
        <f t="shared" si="2"/>
        <v>1.1357217843888159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>
        <v>39</v>
      </c>
      <c r="B41">
        <v>1939.8130000000001</v>
      </c>
      <c r="C41">
        <v>1740.1576536</v>
      </c>
      <c r="D41">
        <v>481.24873589999999</v>
      </c>
      <c r="E41">
        <v>497.12758000000002</v>
      </c>
      <c r="F41">
        <v>2.7139999999999998E-3</v>
      </c>
      <c r="G41">
        <v>2.4345999999999999E-3</v>
      </c>
      <c r="H41">
        <v>2.4345999999999999E-3</v>
      </c>
      <c r="I41">
        <v>2.3289000000000001E-3</v>
      </c>
      <c r="J41" s="1">
        <f t="shared" si="0"/>
        <v>1.1147621785919659</v>
      </c>
      <c r="K41" s="1">
        <f t="shared" si="1"/>
        <v>0.95658424381828644</v>
      </c>
      <c r="L41" s="1">
        <f t="shared" si="2"/>
        <v>1.1653570355103267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>
        <v>40</v>
      </c>
      <c r="B42">
        <v>2298.0479999999998</v>
      </c>
      <c r="C42">
        <v>2255.5845005000001</v>
      </c>
      <c r="D42">
        <v>623.7924405</v>
      </c>
      <c r="E42">
        <v>649.73764589999996</v>
      </c>
      <c r="F42">
        <v>3.2152000000000001E-3</v>
      </c>
      <c r="G42">
        <v>3.1557999999999998E-3</v>
      </c>
      <c r="H42">
        <v>3.1557999999999998E-3</v>
      </c>
      <c r="I42">
        <v>3.0438000000000002E-3</v>
      </c>
      <c r="J42" s="1">
        <f t="shared" si="0"/>
        <v>1.0188224855821029</v>
      </c>
      <c r="K42" s="1">
        <f t="shared" si="1"/>
        <v>0.96450979149502514</v>
      </c>
      <c r="L42" s="1">
        <f t="shared" si="2"/>
        <v>1.0563111899599185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>
        <v>41</v>
      </c>
      <c r="B43">
        <v>2840.2429999999999</v>
      </c>
      <c r="C43">
        <v>2580.5305852000001</v>
      </c>
      <c r="D43">
        <v>713.65779959999998</v>
      </c>
      <c r="E43">
        <v>748.46005590000004</v>
      </c>
      <c r="F43">
        <v>3.9738000000000004E-3</v>
      </c>
      <c r="G43">
        <v>3.6104000000000002E-3</v>
      </c>
      <c r="H43">
        <v>3.6104000000000002E-3</v>
      </c>
      <c r="I43">
        <v>3.5063E-3</v>
      </c>
      <c r="J43" s="1">
        <f t="shared" si="0"/>
        <v>1.1006536671836917</v>
      </c>
      <c r="K43" s="1">
        <f t="shared" si="1"/>
        <v>0.97116662973631729</v>
      </c>
      <c r="L43" s="1">
        <f t="shared" si="2"/>
        <v>1.1333314319938399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>
        <v>42</v>
      </c>
      <c r="B44">
        <v>892.27449999999999</v>
      </c>
      <c r="C44">
        <v>914.62864049999996</v>
      </c>
      <c r="D44">
        <v>252.94482729999999</v>
      </c>
      <c r="E44">
        <v>255.40267990000001</v>
      </c>
      <c r="F44">
        <v>1.2484E-3</v>
      </c>
      <c r="G44">
        <v>1.2796999999999999E-3</v>
      </c>
      <c r="H44">
        <v>1.2796999999999999E-3</v>
      </c>
      <c r="I44">
        <v>1.1965000000000001E-3</v>
      </c>
      <c r="J44" s="1">
        <f t="shared" si="0"/>
        <v>0.97554114245526302</v>
      </c>
      <c r="K44" s="1">
        <f t="shared" si="1"/>
        <v>0.93498476205360648</v>
      </c>
      <c r="L44" s="1">
        <f t="shared" si="2"/>
        <v>1.0433765148349352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>
        <v>43</v>
      </c>
      <c r="B45">
        <v>3044.8539999999998</v>
      </c>
      <c r="C45">
        <v>2936.7342724</v>
      </c>
      <c r="D45">
        <v>812.16759490000004</v>
      </c>
      <c r="E45">
        <v>836.45007520000001</v>
      </c>
      <c r="F45">
        <v>4.2599999999999999E-3</v>
      </c>
      <c r="G45">
        <v>4.1088000000000001E-3</v>
      </c>
      <c r="H45">
        <v>4.1088000000000001E-3</v>
      </c>
      <c r="I45">
        <v>3.9185000000000001E-3</v>
      </c>
      <c r="J45" s="1">
        <f t="shared" si="0"/>
        <v>1.0367990654205608</v>
      </c>
      <c r="K45" s="1">
        <f t="shared" si="1"/>
        <v>0.95368477414330222</v>
      </c>
      <c r="L45" s="1">
        <f t="shared" si="2"/>
        <v>1.0871506954191654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>
        <v>44</v>
      </c>
      <c r="B46">
        <v>2226.44</v>
      </c>
      <c r="C46">
        <v>2217.6552292000001</v>
      </c>
      <c r="D46">
        <v>613.30292320000001</v>
      </c>
      <c r="E46">
        <v>621.36932469999999</v>
      </c>
      <c r="F46">
        <v>3.1150000000000001E-3</v>
      </c>
      <c r="G46">
        <v>3.1026999999999999E-3</v>
      </c>
      <c r="H46">
        <v>3.1026999999999999E-3</v>
      </c>
      <c r="I46">
        <v>2.9109000000000001E-3</v>
      </c>
      <c r="J46" s="1">
        <f t="shared" si="0"/>
        <v>1.0039642891674994</v>
      </c>
      <c r="K46" s="1">
        <f t="shared" si="1"/>
        <v>0.93818287298159675</v>
      </c>
      <c r="L46" s="1">
        <f t="shared" si="2"/>
        <v>1.0701157717544403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>
        <v>45</v>
      </c>
      <c r="B47">
        <v>3231.3490000000002</v>
      </c>
      <c r="C47">
        <v>3029.0918858</v>
      </c>
      <c r="D47">
        <v>837.70952480000005</v>
      </c>
      <c r="E47">
        <v>863.55401010000003</v>
      </c>
      <c r="F47">
        <v>4.5209999999999998E-3</v>
      </c>
      <c r="G47">
        <v>4.2379999999999996E-3</v>
      </c>
      <c r="H47">
        <v>4.2379999999999996E-3</v>
      </c>
      <c r="I47">
        <v>4.0454999999999996E-3</v>
      </c>
      <c r="J47" s="1">
        <f t="shared" si="0"/>
        <v>1.0667767815007079</v>
      </c>
      <c r="K47" s="1">
        <f t="shared" si="1"/>
        <v>0.95457763095799908</v>
      </c>
      <c r="L47" s="1">
        <f t="shared" si="2"/>
        <v>1.1175380051909529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>
        <v>46</v>
      </c>
      <c r="B48">
        <v>1466.8620000000001</v>
      </c>
      <c r="C48">
        <v>1879.5102337000001</v>
      </c>
      <c r="D48">
        <v>519.78734350000002</v>
      </c>
      <c r="E48">
        <v>491.43918860000002</v>
      </c>
      <c r="F48">
        <v>2.0523E-3</v>
      </c>
      <c r="G48">
        <v>2.6296000000000002E-3</v>
      </c>
      <c r="H48">
        <v>2.6296000000000002E-3</v>
      </c>
      <c r="I48">
        <v>2.3021999999999999E-3</v>
      </c>
      <c r="J48" s="1">
        <f t="shared" si="0"/>
        <v>0.78046090660176448</v>
      </c>
      <c r="K48" s="1">
        <f t="shared" si="1"/>
        <v>0.87549437176756917</v>
      </c>
      <c r="L48" s="1">
        <f t="shared" si="2"/>
        <v>0.89145165493875422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>
        <v>47</v>
      </c>
      <c r="B49">
        <v>2089.9459999999999</v>
      </c>
      <c r="C49">
        <v>1878.8536873</v>
      </c>
      <c r="D49">
        <v>519.60577260000002</v>
      </c>
      <c r="E49">
        <v>509.16080049999999</v>
      </c>
      <c r="F49">
        <v>2.9239999999999999E-3</v>
      </c>
      <c r="G49">
        <v>2.6286999999999999E-3</v>
      </c>
      <c r="H49">
        <v>2.6286999999999999E-3</v>
      </c>
      <c r="I49">
        <v>2.3852999999999999E-3</v>
      </c>
      <c r="J49" s="1">
        <f t="shared" si="0"/>
        <v>1.1123368965648419</v>
      </c>
      <c r="K49" s="1">
        <f t="shared" si="1"/>
        <v>0.90740670293300874</v>
      </c>
      <c r="L49" s="1">
        <f t="shared" si="2"/>
        <v>1.2258416132142707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>
        <v>48</v>
      </c>
      <c r="B50">
        <v>1905.7819999999999</v>
      </c>
      <c r="C50">
        <v>1715.3139586</v>
      </c>
      <c r="D50">
        <v>474.37809590000001</v>
      </c>
      <c r="E50">
        <v>501.28128770000001</v>
      </c>
      <c r="F50">
        <v>2.6664000000000002E-3</v>
      </c>
      <c r="G50">
        <v>2.3998999999999999E-3</v>
      </c>
      <c r="H50">
        <v>2.3998999999999999E-3</v>
      </c>
      <c r="I50">
        <v>2.3483000000000002E-3</v>
      </c>
      <c r="J50" s="1">
        <f t="shared" si="0"/>
        <v>1.1110462935955665</v>
      </c>
      <c r="K50" s="1">
        <f t="shared" si="1"/>
        <v>0.97849910412933883</v>
      </c>
      <c r="L50" s="1">
        <f t="shared" si="2"/>
        <v>1.135459694246902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>
        <v>49</v>
      </c>
      <c r="B51">
        <v>4668.97</v>
      </c>
      <c r="C51">
        <v>4208.4652334000002</v>
      </c>
      <c r="D51">
        <v>1163.8707386999999</v>
      </c>
      <c r="E51">
        <v>1182.8671036000001</v>
      </c>
      <c r="F51">
        <v>6.5323000000000004E-3</v>
      </c>
      <c r="G51">
        <v>5.888E-3</v>
      </c>
      <c r="H51">
        <v>5.888E-3</v>
      </c>
      <c r="I51">
        <v>5.5412999999999999E-3</v>
      </c>
      <c r="J51" s="1">
        <f t="shared" si="0"/>
        <v>1.1094259510869566</v>
      </c>
      <c r="K51" s="1">
        <f t="shared" si="1"/>
        <v>0.94111752717391306</v>
      </c>
      <c r="L51" s="1">
        <f t="shared" si="2"/>
        <v>1.1788389006189883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>
        <v>50</v>
      </c>
      <c r="B52">
        <v>3402.8159999999998</v>
      </c>
      <c r="C52">
        <v>3098.3268836000002</v>
      </c>
      <c r="D52">
        <v>856.85678710000002</v>
      </c>
      <c r="E52">
        <v>892.0357798</v>
      </c>
      <c r="F52">
        <v>4.7609000000000002E-3</v>
      </c>
      <c r="G52">
        <v>4.3349E-3</v>
      </c>
      <c r="H52">
        <v>4.3349E-3</v>
      </c>
      <c r="I52">
        <v>4.1789000000000001E-3</v>
      </c>
      <c r="J52" s="1">
        <f t="shared" si="0"/>
        <v>1.0982721631410184</v>
      </c>
      <c r="K52" s="1">
        <f t="shared" si="1"/>
        <v>0.96401301068075396</v>
      </c>
      <c r="L52" s="1">
        <f t="shared" si="2"/>
        <v>1.1392711000502524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>
        <v>51</v>
      </c>
      <c r="B53">
        <v>2142.0749999999998</v>
      </c>
      <c r="C53">
        <v>1833.3943601000001</v>
      </c>
      <c r="D53">
        <v>507.03378309999999</v>
      </c>
      <c r="E53">
        <v>519.93451960000004</v>
      </c>
      <c r="F53">
        <v>2.9970000000000001E-3</v>
      </c>
      <c r="G53">
        <v>2.5650999999999998E-3</v>
      </c>
      <c r="H53">
        <v>2.5650999999999998E-3</v>
      </c>
      <c r="I53">
        <v>2.4356999999999998E-3</v>
      </c>
      <c r="J53" s="1">
        <f t="shared" si="0"/>
        <v>1.1683755019297495</v>
      </c>
      <c r="K53" s="1">
        <f t="shared" si="1"/>
        <v>0.94955362364040385</v>
      </c>
      <c r="L53" s="1">
        <f t="shared" si="2"/>
        <v>1.2304470993964776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>
        <v>52</v>
      </c>
      <c r="B54">
        <v>5583.6530000000002</v>
      </c>
      <c r="C54">
        <v>5802.6036424000004</v>
      </c>
      <c r="D54">
        <v>1604.7371697000001</v>
      </c>
      <c r="E54">
        <v>1550.6347920999999</v>
      </c>
      <c r="F54">
        <v>7.8120999999999998E-3</v>
      </c>
      <c r="G54">
        <v>8.1183999999999996E-3</v>
      </c>
      <c r="H54">
        <v>8.1183999999999996E-3</v>
      </c>
      <c r="I54">
        <v>7.2642000000000002E-3</v>
      </c>
      <c r="J54" s="1">
        <f t="shared" si="0"/>
        <v>0.96227089081592432</v>
      </c>
      <c r="K54" s="1">
        <f t="shared" si="1"/>
        <v>0.89478222309814748</v>
      </c>
      <c r="L54" s="1">
        <f t="shared" si="2"/>
        <v>1.0754246854436826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>
        <v>53</v>
      </c>
      <c r="B55">
        <v>2381.8820000000001</v>
      </c>
      <c r="C55">
        <v>2002.5439643</v>
      </c>
      <c r="D55">
        <v>553.81289700000002</v>
      </c>
      <c r="E55">
        <v>549.43844739999997</v>
      </c>
      <c r="F55">
        <v>3.3325E-3</v>
      </c>
      <c r="G55">
        <v>2.8018000000000001E-3</v>
      </c>
      <c r="H55">
        <v>2.8018000000000001E-3</v>
      </c>
      <c r="I55">
        <v>2.5739000000000001E-3</v>
      </c>
      <c r="J55" s="1">
        <f t="shared" si="0"/>
        <v>1.1894139481761723</v>
      </c>
      <c r="K55" s="1">
        <f t="shared" si="1"/>
        <v>0.91865943322150045</v>
      </c>
      <c r="L55" s="1">
        <f t="shared" si="2"/>
        <v>1.2947278449046193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>
        <v>54</v>
      </c>
      <c r="B56">
        <v>1351.6559999999999</v>
      </c>
      <c r="C56">
        <v>1390.8431126999999</v>
      </c>
      <c r="D56">
        <v>384.64416629999999</v>
      </c>
      <c r="E56">
        <v>384.98476690000001</v>
      </c>
      <c r="F56">
        <v>1.8910999999999999E-3</v>
      </c>
      <c r="G56">
        <v>1.9459E-3</v>
      </c>
      <c r="H56">
        <v>1.9459E-3</v>
      </c>
      <c r="I56">
        <v>1.8035E-3</v>
      </c>
      <c r="J56" s="1">
        <f t="shared" si="0"/>
        <v>0.97183822395806563</v>
      </c>
      <c r="K56" s="1">
        <f t="shared" si="1"/>
        <v>0.9268204943727838</v>
      </c>
      <c r="L56" s="1">
        <f t="shared" si="2"/>
        <v>1.0485722206820072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>
        <v>55</v>
      </c>
      <c r="B57">
        <v>22534.45</v>
      </c>
      <c r="C57">
        <v>20405.319098399999</v>
      </c>
      <c r="D57">
        <v>5643.1864100000003</v>
      </c>
      <c r="E57">
        <v>6054.0427368999999</v>
      </c>
      <c r="F57">
        <v>3.1527899999999998E-2</v>
      </c>
      <c r="G57">
        <v>2.8549000000000001E-2</v>
      </c>
      <c r="H57">
        <v>2.8549000000000001E-2</v>
      </c>
      <c r="I57">
        <v>2.83612E-2</v>
      </c>
      <c r="J57" s="1">
        <f t="shared" si="0"/>
        <v>1.1043434095765174</v>
      </c>
      <c r="K57" s="1">
        <f t="shared" si="1"/>
        <v>0.99342183614137092</v>
      </c>
      <c r="L57" s="1">
        <f t="shared" si="2"/>
        <v>1.1116560653286884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>
        <v>56</v>
      </c>
      <c r="B58">
        <v>11912.92</v>
      </c>
      <c r="C58">
        <v>12537.489593599999</v>
      </c>
      <c r="D58">
        <v>3467.3013712000002</v>
      </c>
      <c r="E58">
        <v>3329.2072886000001</v>
      </c>
      <c r="F58">
        <v>1.6667299999999999E-2</v>
      </c>
      <c r="G58">
        <v>1.75412E-2</v>
      </c>
      <c r="H58">
        <v>1.75412E-2</v>
      </c>
      <c r="I58">
        <v>1.55963E-2</v>
      </c>
      <c r="J58" s="1">
        <f t="shared" si="0"/>
        <v>0.95018014731033218</v>
      </c>
      <c r="K58" s="1">
        <f t="shared" si="1"/>
        <v>0.88912389118190316</v>
      </c>
      <c r="L58" s="1">
        <f t="shared" si="2"/>
        <v>1.068670133300847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>
        <v>57</v>
      </c>
      <c r="B59">
        <v>3589.2579999999998</v>
      </c>
      <c r="C59">
        <v>4180.4261865999997</v>
      </c>
      <c r="D59">
        <v>1156.1164091999999</v>
      </c>
      <c r="E59">
        <v>1182.1846125</v>
      </c>
      <c r="F59">
        <v>5.0216999999999996E-3</v>
      </c>
      <c r="G59">
        <v>5.8488000000000004E-3</v>
      </c>
      <c r="H59">
        <v>5.8488000000000004E-3</v>
      </c>
      <c r="I59">
        <v>5.5382000000000001E-3</v>
      </c>
      <c r="J59" s="1">
        <f t="shared" si="0"/>
        <v>0.85858637669265481</v>
      </c>
      <c r="K59" s="1">
        <f t="shared" si="1"/>
        <v>0.94689508959102719</v>
      </c>
      <c r="L59" s="1">
        <f t="shared" si="2"/>
        <v>0.90673865154743405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>
        <v>58</v>
      </c>
      <c r="B60">
        <v>3028.1669999999999</v>
      </c>
      <c r="C60">
        <v>2482.6081813000001</v>
      </c>
      <c r="D60">
        <v>686.57690100000002</v>
      </c>
      <c r="E60">
        <v>685.92150690000005</v>
      </c>
      <c r="F60">
        <v>4.2367000000000004E-3</v>
      </c>
      <c r="G60">
        <v>3.4734000000000002E-3</v>
      </c>
      <c r="H60">
        <v>3.4734000000000002E-3</v>
      </c>
      <c r="I60">
        <v>3.2133000000000001E-3</v>
      </c>
      <c r="J60" s="1">
        <f t="shared" si="0"/>
        <v>1.2197558588126909</v>
      </c>
      <c r="K60" s="1">
        <f t="shared" si="1"/>
        <v>0.92511660044912758</v>
      </c>
      <c r="L60" s="1">
        <f t="shared" si="2"/>
        <v>1.3184887810039525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>
        <v>59</v>
      </c>
      <c r="B61">
        <v>1427.588</v>
      </c>
      <c r="C61">
        <v>1285.7123254000001</v>
      </c>
      <c r="D61">
        <v>355.56975549999999</v>
      </c>
      <c r="E61">
        <v>367.46005659999997</v>
      </c>
      <c r="F61">
        <v>1.9973E-3</v>
      </c>
      <c r="G61">
        <v>1.7987999999999999E-3</v>
      </c>
      <c r="H61">
        <v>1.7987999999999999E-3</v>
      </c>
      <c r="I61">
        <v>1.7214000000000001E-3</v>
      </c>
      <c r="J61" s="1">
        <f t="shared" si="0"/>
        <v>1.1103513453413387</v>
      </c>
      <c r="K61" s="1">
        <f t="shared" si="1"/>
        <v>0.95697131420947312</v>
      </c>
      <c r="L61" s="1">
        <f t="shared" si="2"/>
        <v>1.1602765191123503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>
        <v>60</v>
      </c>
      <c r="B62">
        <v>4964.2039999999997</v>
      </c>
      <c r="C62">
        <v>4927.3929687999998</v>
      </c>
      <c r="D62">
        <v>1362.6935655</v>
      </c>
      <c r="E62">
        <v>1340.5059286000001</v>
      </c>
      <c r="F62">
        <v>6.9454E-3</v>
      </c>
      <c r="G62">
        <v>6.8938999999999997E-3</v>
      </c>
      <c r="H62">
        <v>6.8938999999999997E-3</v>
      </c>
      <c r="I62">
        <v>6.2798000000000003E-3</v>
      </c>
      <c r="J62" s="1">
        <f t="shared" si="0"/>
        <v>1.0074703723581717</v>
      </c>
      <c r="K62" s="1">
        <f t="shared" si="1"/>
        <v>0.91092124922032536</v>
      </c>
      <c r="L62" s="1">
        <f t="shared" si="2"/>
        <v>1.1059906366444792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>
        <v>61</v>
      </c>
      <c r="B63">
        <v>33000.22</v>
      </c>
      <c r="C63">
        <v>41569.428400199999</v>
      </c>
      <c r="D63">
        <v>11496.2197987</v>
      </c>
      <c r="E63">
        <v>14501.972636300001</v>
      </c>
      <c r="F63">
        <v>4.6170500000000003E-2</v>
      </c>
      <c r="G63">
        <v>5.8159599999999999E-2</v>
      </c>
      <c r="H63">
        <v>5.8159599999999999E-2</v>
      </c>
      <c r="I63">
        <v>6.7936999999999997E-2</v>
      </c>
      <c r="J63" s="1">
        <f t="shared" si="0"/>
        <v>0.79385862351185366</v>
      </c>
      <c r="K63" s="1">
        <f t="shared" si="1"/>
        <v>1.1681132607514495</v>
      </c>
      <c r="L63" s="1">
        <f t="shared" si="2"/>
        <v>0.67960757760866697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>
        <v>62</v>
      </c>
      <c r="B64">
        <v>10043.19</v>
      </c>
      <c r="C64">
        <v>8676.8934055000009</v>
      </c>
      <c r="D64">
        <v>2399.6354436000001</v>
      </c>
      <c r="E64">
        <v>3119.4616428999998</v>
      </c>
      <c r="F64">
        <v>1.40514E-2</v>
      </c>
      <c r="G64">
        <v>1.2139799999999999E-2</v>
      </c>
      <c r="H64">
        <v>1.2139799999999999E-2</v>
      </c>
      <c r="I64">
        <v>1.46137E-2</v>
      </c>
      <c r="J64" s="1">
        <f t="shared" si="0"/>
        <v>1.1574655266149361</v>
      </c>
      <c r="K64" s="1">
        <f t="shared" si="1"/>
        <v>1.2037842468574442</v>
      </c>
      <c r="L64" s="1">
        <f t="shared" si="2"/>
        <v>0.96152240705639225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>
        <v>63</v>
      </c>
      <c r="B65">
        <v>1536.9079999999999</v>
      </c>
      <c r="C65">
        <v>1358.6084539000001</v>
      </c>
      <c r="D65">
        <v>375.72952070000002</v>
      </c>
      <c r="E65">
        <v>406.20981590000002</v>
      </c>
      <c r="F65">
        <v>2.1503E-3</v>
      </c>
      <c r="G65">
        <v>1.9008E-3</v>
      </c>
      <c r="H65">
        <v>1.9008E-3</v>
      </c>
      <c r="I65">
        <v>1.903E-3</v>
      </c>
      <c r="J65" s="1">
        <f t="shared" si="0"/>
        <v>1.1312605218855218</v>
      </c>
      <c r="K65" s="1">
        <f t="shared" si="1"/>
        <v>1.0011574074074074</v>
      </c>
      <c r="L65" s="1">
        <f t="shared" si="2"/>
        <v>1.1299527062532844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>
        <v>64</v>
      </c>
      <c r="B66">
        <v>18710.89</v>
      </c>
      <c r="C66">
        <v>12817.464594499999</v>
      </c>
      <c r="D66">
        <v>3544.7297668000001</v>
      </c>
      <c r="E66">
        <v>7132.3756587999997</v>
      </c>
      <c r="F66">
        <v>2.6178300000000002E-2</v>
      </c>
      <c r="G66">
        <v>1.7932900000000002E-2</v>
      </c>
      <c r="H66">
        <v>1.7932900000000002E-2</v>
      </c>
      <c r="I66">
        <v>3.3412900000000002E-2</v>
      </c>
      <c r="J66" s="1">
        <f t="shared" si="0"/>
        <v>1.4597917793552633</v>
      </c>
      <c r="K66" s="1">
        <f t="shared" si="1"/>
        <v>1.863217884447022</v>
      </c>
      <c r="L66" s="1">
        <f t="shared" si="2"/>
        <v>0.78347883601842405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>
        <v>65</v>
      </c>
      <c r="B67">
        <v>104125.6</v>
      </c>
      <c r="C67">
        <v>121210.37613780001</v>
      </c>
      <c r="D67">
        <v>33521.296288899997</v>
      </c>
      <c r="E67">
        <v>31365.2243241</v>
      </c>
      <c r="F67">
        <v>0.1456817</v>
      </c>
      <c r="G67">
        <v>0.16958500000000001</v>
      </c>
      <c r="H67">
        <v>0.16958500000000001</v>
      </c>
      <c r="I67">
        <v>0.14693590000000001</v>
      </c>
      <c r="J67" s="1">
        <f t="shared" si="0"/>
        <v>0.85904826488191754</v>
      </c>
      <c r="K67" s="1">
        <f t="shared" si="1"/>
        <v>0.86644396615266683</v>
      </c>
      <c r="L67" s="1">
        <f t="shared" si="2"/>
        <v>0.99146430518341666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>
        <v>66</v>
      </c>
      <c r="B68">
        <v>25653.23</v>
      </c>
      <c r="C68">
        <v>20735.444578999999</v>
      </c>
      <c r="D68">
        <v>5734.4841552999997</v>
      </c>
      <c r="E68">
        <v>5525.5463588000002</v>
      </c>
      <c r="F68">
        <v>3.5891300000000001E-2</v>
      </c>
      <c r="G68">
        <v>2.9010899999999999E-2</v>
      </c>
      <c r="H68">
        <v>2.9010899999999999E-2</v>
      </c>
      <c r="I68">
        <v>2.5885399999999999E-2</v>
      </c>
      <c r="J68" s="1">
        <f t="shared" ref="J68:J73" si="3">+F68/G68</f>
        <v>1.2371660306988064</v>
      </c>
      <c r="K68" s="1">
        <f t="shared" ref="K68:K73" si="4">+I68/G68</f>
        <v>0.89226463156951352</v>
      </c>
      <c r="L68" s="1">
        <f t="shared" ref="L68:L73" si="5">+F68/I68</f>
        <v>1.3865460838928509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>
        <v>67</v>
      </c>
      <c r="B69">
        <v>12096.68</v>
      </c>
      <c r="C69">
        <v>12912.6738047</v>
      </c>
      <c r="D69">
        <v>3571.0603191</v>
      </c>
      <c r="E69">
        <v>3914.8413553</v>
      </c>
      <c r="F69">
        <v>1.6924399999999999E-2</v>
      </c>
      <c r="G69">
        <v>1.8066100000000002E-2</v>
      </c>
      <c r="H69">
        <v>1.8066100000000002E-2</v>
      </c>
      <c r="I69">
        <v>1.83398E-2</v>
      </c>
      <c r="J69" s="1">
        <f t="shared" si="3"/>
        <v>0.93680429090949335</v>
      </c>
      <c r="K69" s="1">
        <f t="shared" si="4"/>
        <v>1.0151499216765101</v>
      </c>
      <c r="L69" s="1">
        <f t="shared" si="5"/>
        <v>0.92282358586244118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>
        <v>68</v>
      </c>
      <c r="B70">
        <v>15929.56</v>
      </c>
      <c r="C70">
        <v>10324.4480711</v>
      </c>
      <c r="D70">
        <v>2855.2743902000002</v>
      </c>
      <c r="E70">
        <v>2855.6091153000002</v>
      </c>
      <c r="F70">
        <v>2.2287000000000001E-2</v>
      </c>
      <c r="G70">
        <v>1.44449E-2</v>
      </c>
      <c r="H70">
        <v>1.44449E-2</v>
      </c>
      <c r="I70">
        <v>1.33776E-2</v>
      </c>
      <c r="J70" s="1">
        <f t="shared" si="3"/>
        <v>1.5428974932329058</v>
      </c>
      <c r="K70" s="1">
        <f t="shared" si="4"/>
        <v>0.92611233030342888</v>
      </c>
      <c r="L70" s="1">
        <f t="shared" si="5"/>
        <v>1.6659939002511663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>
        <v>69</v>
      </c>
      <c r="B71">
        <v>7828.5910000000003</v>
      </c>
      <c r="C71">
        <v>8583.1186787000006</v>
      </c>
      <c r="D71">
        <v>2373.7016044000002</v>
      </c>
      <c r="E71">
        <v>2576.5516671999999</v>
      </c>
      <c r="F71">
        <v>1.0952999999999999E-2</v>
      </c>
      <c r="G71">
        <v>1.2008599999999999E-2</v>
      </c>
      <c r="H71">
        <v>1.2008599999999999E-2</v>
      </c>
      <c r="I71">
        <v>1.2070300000000001E-2</v>
      </c>
      <c r="J71" s="1">
        <f t="shared" si="3"/>
        <v>0.91209633096280995</v>
      </c>
      <c r="K71" s="1">
        <f t="shared" si="4"/>
        <v>1.0051379844444817</v>
      </c>
      <c r="L71" s="1">
        <f t="shared" si="5"/>
        <v>0.90743394944616107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>
        <v>70</v>
      </c>
      <c r="B72">
        <v>5557.0870000000004</v>
      </c>
      <c r="C72">
        <v>4814.9472010999998</v>
      </c>
      <c r="D72">
        <v>1331.5961626999999</v>
      </c>
      <c r="E72">
        <v>1377.2578484000001</v>
      </c>
      <c r="F72">
        <v>7.7749000000000004E-3</v>
      </c>
      <c r="G72">
        <v>6.7365999999999997E-3</v>
      </c>
      <c r="H72">
        <v>6.7365999999999997E-3</v>
      </c>
      <c r="I72">
        <v>6.4520000000000003E-3</v>
      </c>
      <c r="J72" s="1">
        <f t="shared" si="3"/>
        <v>1.1541281952320162</v>
      </c>
      <c r="K72" s="1">
        <f t="shared" si="4"/>
        <v>0.95775316925452014</v>
      </c>
      <c r="L72" s="1">
        <f t="shared" si="5"/>
        <v>1.205037197768134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>
        <v>71</v>
      </c>
      <c r="B73">
        <v>22893.65</v>
      </c>
      <c r="C73">
        <v>29368.391476500001</v>
      </c>
      <c r="D73">
        <v>8121.9659866000002</v>
      </c>
      <c r="E73">
        <v>8799.4053624999997</v>
      </c>
      <c r="F73">
        <v>3.2030400000000001E-2</v>
      </c>
      <c r="G73">
        <v>4.1089199999999999E-2</v>
      </c>
      <c r="H73">
        <v>4.1089199999999999E-2</v>
      </c>
      <c r="I73">
        <v>4.1222399999999999E-2</v>
      </c>
      <c r="J73" s="1">
        <f t="shared" si="3"/>
        <v>0.77953330802254606</v>
      </c>
      <c r="K73" s="1">
        <f t="shared" si="4"/>
        <v>1.0032417277532781</v>
      </c>
      <c r="L73" s="1">
        <f t="shared" si="5"/>
        <v>0.77701443875174669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2025-10-03T15:46:06Z</dcterms:created>
  <dcterms:modified xsi:type="dcterms:W3CDTF">2025-10-03T17:29:42Z</dcterms:modified>
</cp:coreProperties>
</file>
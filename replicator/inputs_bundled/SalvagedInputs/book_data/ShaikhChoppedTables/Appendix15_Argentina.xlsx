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87" documentId="8_{D0DD7933-A86C-479C-8E8D-4C0A88379F70}" xr6:coauthVersionLast="47" xr6:coauthVersionMax="47" xr10:uidLastSave="{17E9E781-B4D0-42C5-89FE-542E636F7549}"/>
  <bookViews>
    <workbookView xWindow="2205" yWindow="1035" windowWidth="21600" windowHeight="13215" xr2:uid="{F8221182-B752-4237-93E7-2C109072F6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6" i="1"/>
  <c r="B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A47" i="1"/>
  <c r="A48" i="1" s="1"/>
  <c r="A49" i="1" s="1"/>
  <c r="A50" i="1" s="1"/>
  <c r="A51" i="1" s="1"/>
  <c r="A52" i="1" s="1"/>
  <c r="A53" i="1" s="1"/>
  <c r="A54" i="1" s="1"/>
  <c r="A55" i="1" s="1"/>
  <c r="A5" i="1"/>
  <c r="A6" i="1"/>
  <c r="A7" i="1"/>
  <c r="A8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" i="1"/>
</calcChain>
</file>

<file path=xl/sharedStrings.xml><?xml version="1.0" encoding="utf-8"?>
<sst xmlns="http://schemas.openxmlformats.org/spreadsheetml/2006/main" count="18" uniqueCount="18">
  <si>
    <t>World Bank, at http://databank.worldbank.org</t>
  </si>
  <si>
    <t xml:space="preserve">Growth in Domestic Claims </t>
  </si>
  <si>
    <t>Nominal GDP Growth (National Currency Units)</t>
  </si>
  <si>
    <t>Inflation, GDP deflator (annual %)</t>
  </si>
  <si>
    <t>Rate of Depreciation of the Exchange Rate</t>
  </si>
  <si>
    <t>Year</t>
  </si>
  <si>
    <t>NY.GDP.MKTP.CN</t>
  </si>
  <si>
    <t>PA.NUS.FCRF</t>
  </si>
  <si>
    <t>NY.GDP.DEFL.KD.ZG</t>
  </si>
  <si>
    <t>Argentina GDP (current LCU)</t>
  </si>
  <si>
    <t>Argentina Official exchange rate (LCU per US$, period average)</t>
  </si>
  <si>
    <t>Argentina Inflation, GDP deflator (annual %)</t>
  </si>
  <si>
    <t>Argentina Domestic Claims (DC), National Currency</t>
  </si>
  <si>
    <t>IMF, IFS</t>
  </si>
  <si>
    <t>Calculated_gCR</t>
  </si>
  <si>
    <t>Calculated_gYR</t>
  </si>
  <si>
    <t>Calculated_pi</t>
  </si>
  <si>
    <t>Calculated_gXR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</si>
</sst>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137AA-3A88-4295-B81D-A6582736DE4F}">
  <dimension ref="A1:S5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cols>
    <col min="2" max="5" width="9.42578125" bestFit="1" customWidth="1"/>
    <col min="6" max="6" width="20.140625" bestFit="1" customWidth="1"/>
    <col min="7" max="8" width="9.42578125" bestFit="1" customWidth="1"/>
    <col min="9" max="9" width="18.5703125" bestFit="1" customWidth="1"/>
  </cols>
  <sheetData>
    <row r="1" spans="1:19" x14ac:dyDescent="0.25">
      <c r="A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13</v>
      </c>
    </row>
    <row r="2" spans="1:19" x14ac:dyDescent="0.25">
      <c r="A2" t="s">
        <v>5</v>
      </c>
      <c r="B2" t="s">
        <v>1</v>
      </c>
      <c r="C2" t="s">
        <v>2</v>
      </c>
      <c r="D2" t="s">
        <v>3</v>
      </c>
      <c r="E2" t="s">
        <v>4</v>
      </c>
      <c r="F2" t="s">
        <v>9</v>
      </c>
      <c r="G2" t="s">
        <v>10</v>
      </c>
      <c r="H2" t="s">
        <v>11</v>
      </c>
      <c r="I2" t="s">
        <v>12</v>
      </c>
    </row>
    <row r="3" spans="1:19" x14ac:dyDescent="0.25">
      <c r="A3">
        <v>1960</v>
      </c>
      <c r="B3" s="2"/>
      <c r="C3" s="3"/>
      <c r="D3" s="3"/>
      <c r="E3" s="3"/>
      <c r="F3" s="4">
        <v>0.1315089166</v>
      </c>
      <c r="G3" s="4"/>
      <c r="H3" s="4"/>
      <c r="I3" s="4">
        <v>2.8500000000000001E-2</v>
      </c>
      <c r="J3" s="4"/>
    </row>
    <row r="4" spans="1:19" x14ac:dyDescent="0.25">
      <c r="A4">
        <f>+A3+1</f>
        <v>1961</v>
      </c>
      <c r="B4" s="3">
        <f>+(I4-I3)*100/I3</f>
        <v>9.8245614035087723</v>
      </c>
      <c r="C4" s="3">
        <f>+(F4-F3)*100/F3</f>
        <v>26.840973154211195</v>
      </c>
      <c r="D4" s="3">
        <f>+H4</f>
        <v>20.310697533647897</v>
      </c>
      <c r="E4" s="3"/>
      <c r="F4" s="4">
        <v>0.16680718959999999</v>
      </c>
      <c r="G4" s="4"/>
      <c r="H4" s="4">
        <v>20.310697533647897</v>
      </c>
      <c r="I4" s="4">
        <v>3.1300000000000001E-2</v>
      </c>
      <c r="P4" s="4"/>
      <c r="Q4" s="4"/>
      <c r="R4" s="4"/>
      <c r="S4" s="4"/>
    </row>
    <row r="5" spans="1:19" x14ac:dyDescent="0.25">
      <c r="A5">
        <f t="shared" ref="A5:A55" si="0">+A4+1</f>
        <v>1962</v>
      </c>
      <c r="B5" s="3">
        <f t="shared" ref="B5:B55" si="1">+(I5-I4)*100/I4</f>
        <v>17.571884984025552</v>
      </c>
      <c r="C5" s="3">
        <f t="shared" ref="C5:C54" si="2">+(F5-F4)*100/F4</f>
        <v>27.773825823152652</v>
      </c>
      <c r="D5" s="3">
        <f t="shared" ref="D5:D49" si="3">+H5</f>
        <v>28.871841611370229</v>
      </c>
      <c r="E5" s="3"/>
      <c r="F5" s="4">
        <v>0.21313592789999999</v>
      </c>
      <c r="G5" s="4">
        <v>8.72E-12</v>
      </c>
      <c r="H5" s="4">
        <v>28.871841611370229</v>
      </c>
      <c r="I5" s="4">
        <v>3.6799999999999999E-2</v>
      </c>
      <c r="P5" s="4"/>
      <c r="Q5" s="4"/>
      <c r="R5" s="4"/>
      <c r="S5" s="4"/>
    </row>
    <row r="6" spans="1:19" x14ac:dyDescent="0.25">
      <c r="A6">
        <f t="shared" si="0"/>
        <v>1963</v>
      </c>
      <c r="B6" s="3">
        <f t="shared" si="1"/>
        <v>23.641304347826082</v>
      </c>
      <c r="C6" s="3">
        <f t="shared" si="2"/>
        <v>18.924528678677071</v>
      </c>
      <c r="D6" s="3">
        <f t="shared" si="3"/>
        <v>25.591154352064677</v>
      </c>
      <c r="E6" s="3">
        <f>+(G6-G5)*100/G5</f>
        <v>59.403669724770637</v>
      </c>
      <c r="F6" s="4">
        <v>0.25347089769999998</v>
      </c>
      <c r="G6" s="4">
        <v>1.39E-11</v>
      </c>
      <c r="H6" s="4">
        <v>25.591154352064677</v>
      </c>
      <c r="I6" s="4">
        <v>4.5499999999999999E-2</v>
      </c>
      <c r="P6" s="4"/>
      <c r="Q6" s="4"/>
      <c r="R6" s="4"/>
      <c r="S6" s="4"/>
    </row>
    <row r="7" spans="1:19" x14ac:dyDescent="0.25">
      <c r="A7">
        <f t="shared" si="0"/>
        <v>1964</v>
      </c>
      <c r="B7" s="3">
        <f t="shared" si="1"/>
        <v>37.802197802197817</v>
      </c>
      <c r="C7" s="3">
        <f t="shared" si="2"/>
        <v>41.819869366407367</v>
      </c>
      <c r="D7" s="3">
        <f t="shared" si="3"/>
        <v>28.774617351761037</v>
      </c>
      <c r="E7" s="3">
        <f t="shared" ref="E7:E55" si="4">+(G7-G6)*100/G6</f>
        <v>0.71942446043165453</v>
      </c>
      <c r="F7" s="4">
        <v>0.35947209600000002</v>
      </c>
      <c r="G7" s="4">
        <v>1.4E-11</v>
      </c>
      <c r="H7" s="4">
        <v>28.774617351761037</v>
      </c>
      <c r="I7" s="4">
        <v>6.2700000000000006E-2</v>
      </c>
      <c r="P7" s="4"/>
      <c r="Q7" s="4"/>
      <c r="R7" s="4"/>
      <c r="S7" s="4"/>
    </row>
    <row r="8" spans="1:19" x14ac:dyDescent="0.25">
      <c r="A8">
        <f t="shared" si="0"/>
        <v>1965</v>
      </c>
      <c r="B8" s="3">
        <f t="shared" si="1"/>
        <v>24.401913875598073</v>
      </c>
      <c r="C8" s="3">
        <f t="shared" si="2"/>
        <v>34.046569171261901</v>
      </c>
      <c r="D8" s="3">
        <f t="shared" si="3"/>
        <v>21.232934917409011</v>
      </c>
      <c r="E8" s="3">
        <f t="shared" si="4"/>
        <v>21.428571428571423</v>
      </c>
      <c r="F8" s="4">
        <v>0.481860011816025</v>
      </c>
      <c r="G8" s="4">
        <v>1.6999999999999999E-11</v>
      </c>
      <c r="H8" s="4">
        <v>21.232934917409011</v>
      </c>
      <c r="I8" s="4">
        <v>7.8E-2</v>
      </c>
      <c r="P8" s="4"/>
      <c r="Q8" s="4"/>
      <c r="R8" s="4"/>
      <c r="S8" s="4"/>
    </row>
    <row r="9" spans="1:19" x14ac:dyDescent="0.25">
      <c r="A9">
        <f t="shared" si="0"/>
        <v>1966</v>
      </c>
      <c r="B9" s="3">
        <f t="shared" si="1"/>
        <v>36.282051282051292</v>
      </c>
      <c r="C9" s="3">
        <f t="shared" si="2"/>
        <v>24.774823501368797</v>
      </c>
      <c r="D9" s="3">
        <f t="shared" si="3"/>
        <v>25.603462419484899</v>
      </c>
      <c r="E9" s="3">
        <f t="shared" si="4"/>
        <v>22.941176470588243</v>
      </c>
      <c r="F9" s="4">
        <v>0.60123997926712003</v>
      </c>
      <c r="G9" s="4">
        <v>2.09E-11</v>
      </c>
      <c r="H9" s="4">
        <v>25.603462419484899</v>
      </c>
      <c r="I9" s="4">
        <v>0.10630000000000001</v>
      </c>
      <c r="P9" s="4"/>
      <c r="Q9" s="4"/>
      <c r="R9" s="4"/>
      <c r="S9" s="4"/>
    </row>
    <row r="10" spans="1:19" x14ac:dyDescent="0.25">
      <c r="A10">
        <f t="shared" si="0"/>
        <v>1967</v>
      </c>
      <c r="B10" s="3">
        <f t="shared" si="1"/>
        <v>40.451552210724344</v>
      </c>
      <c r="C10" s="3">
        <f t="shared" si="2"/>
        <v>33.1365215468063</v>
      </c>
      <c r="D10" s="3">
        <f t="shared" si="3"/>
        <v>29.018262947518195</v>
      </c>
      <c r="E10" s="3">
        <f t="shared" si="4"/>
        <v>59.330143540669837</v>
      </c>
      <c r="F10" s="4">
        <v>0.80046999454498302</v>
      </c>
      <c r="G10" s="4">
        <v>3.3299999999999997E-11</v>
      </c>
      <c r="H10" s="4">
        <v>29.018262947518195</v>
      </c>
      <c r="I10" s="4">
        <v>0.14929999999999999</v>
      </c>
      <c r="P10" s="4"/>
      <c r="Q10" s="4"/>
      <c r="R10" s="4"/>
      <c r="S10" s="4"/>
    </row>
    <row r="11" spans="1:19" x14ac:dyDescent="0.25">
      <c r="A11">
        <f t="shared" si="0"/>
        <v>1968</v>
      </c>
      <c r="B11" s="3">
        <f t="shared" si="1"/>
        <v>31.078365706630962</v>
      </c>
      <c r="C11" s="3">
        <f t="shared" si="2"/>
        <v>15.593338266692973</v>
      </c>
      <c r="D11" s="3">
        <f t="shared" si="3"/>
        <v>10.275310542495845</v>
      </c>
      <c r="E11" s="3">
        <f t="shared" si="4"/>
        <v>5.1051051051051193</v>
      </c>
      <c r="F11" s="4">
        <v>0.92528998851776101</v>
      </c>
      <c r="G11" s="4">
        <v>3.5000000000000002E-11</v>
      </c>
      <c r="H11" s="4">
        <v>10.275310542495845</v>
      </c>
      <c r="I11" s="4">
        <v>0.19570000000000001</v>
      </c>
      <c r="P11" s="4"/>
      <c r="Q11" s="4"/>
      <c r="R11" s="4"/>
      <c r="S11" s="4"/>
    </row>
    <row r="12" spans="1:19" x14ac:dyDescent="0.25">
      <c r="A12">
        <f t="shared" si="0"/>
        <v>1969</v>
      </c>
      <c r="B12" s="3">
        <f t="shared" si="1"/>
        <v>24.271844660194166</v>
      </c>
      <c r="C12" s="3">
        <f t="shared" si="2"/>
        <v>18.229955442581907</v>
      </c>
      <c r="D12" s="3">
        <f t="shared" si="3"/>
        <v>7.7958300547663413</v>
      </c>
      <c r="E12" s="3">
        <f t="shared" si="4"/>
        <v>0</v>
      </c>
      <c r="F12" s="4">
        <v>1.0939699411392201</v>
      </c>
      <c r="G12" s="4">
        <v>3.5000000000000002E-11</v>
      </c>
      <c r="H12" s="4">
        <v>7.7958300547663413</v>
      </c>
      <c r="I12" s="4">
        <v>0.2432</v>
      </c>
      <c r="P12" s="4"/>
      <c r="Q12" s="4"/>
      <c r="R12" s="4"/>
      <c r="S12" s="4"/>
    </row>
    <row r="13" spans="1:19" x14ac:dyDescent="0.25">
      <c r="A13">
        <f t="shared" si="0"/>
        <v>1970</v>
      </c>
      <c r="B13" s="3">
        <f t="shared" si="1"/>
        <v>24.38322368421052</v>
      </c>
      <c r="C13" s="3">
        <f t="shared" si="2"/>
        <v>9.7105063428384444</v>
      </c>
      <c r="D13" s="3">
        <f t="shared" si="3"/>
        <v>6.4678746096474242</v>
      </c>
      <c r="E13" s="3">
        <f t="shared" si="4"/>
        <v>8.2857142857142794</v>
      </c>
      <c r="F13" s="4">
        <v>1.20019996166229</v>
      </c>
      <c r="G13" s="4">
        <v>3.79E-11</v>
      </c>
      <c r="H13" s="4">
        <v>6.4678746096474242</v>
      </c>
      <c r="I13" s="4">
        <v>0.30249999999999999</v>
      </c>
      <c r="P13" s="4"/>
      <c r="Q13" s="4"/>
      <c r="R13" s="4"/>
      <c r="S13" s="4"/>
    </row>
    <row r="14" spans="1:19" x14ac:dyDescent="0.25">
      <c r="A14">
        <f t="shared" si="0"/>
        <v>1971</v>
      </c>
      <c r="B14" s="3">
        <f t="shared" si="1"/>
        <v>35.537190082644621</v>
      </c>
      <c r="C14" s="3">
        <f t="shared" si="2"/>
        <v>38.698552752297864</v>
      </c>
      <c r="D14" s="3">
        <f t="shared" si="3"/>
        <v>31.271063886809287</v>
      </c>
      <c r="E14" s="3">
        <f t="shared" si="4"/>
        <v>19.261213720316633</v>
      </c>
      <c r="F14" s="4">
        <v>1.6646599769592301</v>
      </c>
      <c r="G14" s="4">
        <v>4.5200000000000003E-11</v>
      </c>
      <c r="H14" s="4">
        <v>31.271063886809287</v>
      </c>
      <c r="I14" s="4">
        <v>0.41</v>
      </c>
      <c r="P14" s="4"/>
      <c r="Q14" s="4"/>
      <c r="R14" s="4"/>
      <c r="S14" s="4"/>
    </row>
    <row r="15" spans="1:19" x14ac:dyDescent="0.25">
      <c r="A15">
        <f t="shared" si="0"/>
        <v>1972</v>
      </c>
      <c r="B15" s="3">
        <f t="shared" si="1"/>
        <v>56.097560975609767</v>
      </c>
      <c r="C15" s="3">
        <f t="shared" si="2"/>
        <v>66.919375144118874</v>
      </c>
      <c r="D15" s="3">
        <f t="shared" si="3"/>
        <v>64.244785950242743</v>
      </c>
      <c r="E15" s="3">
        <f t="shared" si="4"/>
        <v>10.61946902654867</v>
      </c>
      <c r="F15" s="4">
        <v>2.7786400318145801</v>
      </c>
      <c r="G15" s="4">
        <v>5.0000000000000002E-11</v>
      </c>
      <c r="H15" s="4">
        <v>64.244785950242743</v>
      </c>
      <c r="I15" s="4">
        <v>0.64</v>
      </c>
      <c r="P15" s="4"/>
      <c r="Q15" s="4"/>
      <c r="R15" s="4"/>
      <c r="S15" s="4"/>
    </row>
    <row r="16" spans="1:19" x14ac:dyDescent="0.25">
      <c r="A16">
        <f t="shared" si="0"/>
        <v>1973</v>
      </c>
      <c r="B16" s="3">
        <f t="shared" si="1"/>
        <v>103.125</v>
      </c>
      <c r="C16" s="3">
        <f t="shared" si="2"/>
        <v>70.189732498139406</v>
      </c>
      <c r="D16" s="3">
        <f t="shared" si="3"/>
        <v>65.535287367986399</v>
      </c>
      <c r="E16" s="3">
        <f t="shared" si="4"/>
        <v>0</v>
      </c>
      <c r="F16" s="4">
        <v>4.7289600372314498</v>
      </c>
      <c r="G16" s="4">
        <v>5.0000000000000002E-11</v>
      </c>
      <c r="H16" s="4">
        <v>65.535287367986399</v>
      </c>
      <c r="I16" s="4">
        <v>1.3</v>
      </c>
      <c r="P16" s="4"/>
      <c r="Q16" s="4"/>
      <c r="R16" s="4"/>
      <c r="S16" s="4"/>
    </row>
    <row r="17" spans="1:19" x14ac:dyDescent="0.25">
      <c r="A17">
        <f t="shared" si="0"/>
        <v>1974</v>
      </c>
      <c r="B17" s="3">
        <f t="shared" si="1"/>
        <v>52.307692307692307</v>
      </c>
      <c r="C17" s="3">
        <f t="shared" si="2"/>
        <v>37.859274475393825</v>
      </c>
      <c r="D17" s="3">
        <f t="shared" si="3"/>
        <v>30.630441361711775</v>
      </c>
      <c r="E17" s="3">
        <f t="shared" si="4"/>
        <v>0</v>
      </c>
      <c r="F17" s="4">
        <v>6.5193099975585902</v>
      </c>
      <c r="G17" s="4">
        <v>5.0000000000000002E-11</v>
      </c>
      <c r="H17" s="4">
        <v>30.630441361711775</v>
      </c>
      <c r="I17" s="4">
        <v>1.98</v>
      </c>
      <c r="P17" s="4"/>
      <c r="Q17" s="4"/>
      <c r="R17" s="4"/>
      <c r="S17" s="4"/>
    </row>
    <row r="18" spans="1:19" x14ac:dyDescent="0.25">
      <c r="A18">
        <f t="shared" si="0"/>
        <v>1975</v>
      </c>
      <c r="B18" s="3">
        <f t="shared" si="1"/>
        <v>181.81818181818181</v>
      </c>
      <c r="C18" s="3">
        <f t="shared" si="2"/>
        <v>197.61278246083322</v>
      </c>
      <c r="D18" s="3">
        <f t="shared" si="3"/>
        <v>197.69736449881543</v>
      </c>
      <c r="E18" s="3">
        <f t="shared" si="4"/>
        <v>632</v>
      </c>
      <c r="F18" s="4">
        <v>19.402299880981399</v>
      </c>
      <c r="G18" s="4">
        <v>3.6599999999999998E-10</v>
      </c>
      <c r="H18" s="4">
        <v>197.69736449881543</v>
      </c>
      <c r="I18" s="4">
        <v>5.58</v>
      </c>
      <c r="P18" s="4"/>
      <c r="Q18" s="4"/>
      <c r="R18" s="4"/>
      <c r="S18" s="4"/>
    </row>
    <row r="19" spans="1:19" x14ac:dyDescent="0.25">
      <c r="A19">
        <f t="shared" si="0"/>
        <v>1976</v>
      </c>
      <c r="B19" s="3">
        <f t="shared" si="1"/>
        <v>273.11827956989248</v>
      </c>
      <c r="C19" s="3">
        <f t="shared" si="2"/>
        <v>427.45807205836536</v>
      </c>
      <c r="D19" s="3">
        <f t="shared" si="3"/>
        <v>438.3227798132292</v>
      </c>
      <c r="E19" s="3">
        <f t="shared" si="4"/>
        <v>282.5136612021858</v>
      </c>
      <c r="F19" s="4">
        <v>102.338996887207</v>
      </c>
      <c r="G19" s="4">
        <v>1.3999999999999999E-9</v>
      </c>
      <c r="H19" s="4">
        <v>438.3227798132292</v>
      </c>
      <c r="I19" s="4">
        <v>20.82</v>
      </c>
      <c r="P19" s="4"/>
      <c r="Q19" s="4"/>
      <c r="R19" s="4"/>
      <c r="S19" s="4"/>
    </row>
    <row r="20" spans="1:19" x14ac:dyDescent="0.25">
      <c r="A20">
        <f t="shared" si="0"/>
        <v>1977</v>
      </c>
      <c r="B20" s="3">
        <f t="shared" si="1"/>
        <v>260.18251681075884</v>
      </c>
      <c r="C20" s="3">
        <f t="shared" si="2"/>
        <v>177.41624152541098</v>
      </c>
      <c r="D20" s="3">
        <f t="shared" si="3"/>
        <v>159.42717768784917</v>
      </c>
      <c r="E20" s="3">
        <f t="shared" si="4"/>
        <v>191.42857142857142</v>
      </c>
      <c r="F20" s="4">
        <v>283.90499877929699</v>
      </c>
      <c r="G20" s="4">
        <v>4.08E-9</v>
      </c>
      <c r="H20" s="4">
        <v>159.42717768784917</v>
      </c>
      <c r="I20" s="4">
        <v>74.989999999999995</v>
      </c>
      <c r="P20" s="4"/>
      <c r="Q20" s="4"/>
      <c r="R20" s="4"/>
      <c r="S20" s="4"/>
    </row>
    <row r="21" spans="1:19" x14ac:dyDescent="0.25">
      <c r="A21">
        <f t="shared" si="0"/>
        <v>1978</v>
      </c>
      <c r="B21" s="3">
        <f t="shared" si="1"/>
        <v>177.54367248966528</v>
      </c>
      <c r="C21" s="3">
        <f t="shared" si="2"/>
        <v>149.59441573625881</v>
      </c>
      <c r="D21" s="3">
        <f t="shared" si="3"/>
        <v>161.37217199264285</v>
      </c>
      <c r="E21" s="3">
        <f t="shared" si="4"/>
        <v>95.098039215686271</v>
      </c>
      <c r="F21" s="4">
        <v>708.61102294921898</v>
      </c>
      <c r="G21" s="4">
        <v>7.9599999999999998E-9</v>
      </c>
      <c r="H21" s="4">
        <v>161.37217199264285</v>
      </c>
      <c r="I21" s="4">
        <v>208.13</v>
      </c>
      <c r="P21" s="4"/>
      <c r="Q21" s="4"/>
      <c r="R21" s="4"/>
      <c r="S21" s="4"/>
    </row>
    <row r="22" spans="1:19" x14ac:dyDescent="0.25">
      <c r="A22">
        <f t="shared" si="0"/>
        <v>1979</v>
      </c>
      <c r="B22" s="3">
        <f t="shared" si="1"/>
        <v>190.39062124633642</v>
      </c>
      <c r="C22" s="3">
        <f t="shared" si="2"/>
        <v>172.66581411716234</v>
      </c>
      <c r="D22" s="3">
        <f t="shared" si="3"/>
        <v>147.37704407527951</v>
      </c>
      <c r="E22" s="3">
        <f t="shared" si="4"/>
        <v>65.829145728643226</v>
      </c>
      <c r="F22" s="4">
        <v>1932.14001464844</v>
      </c>
      <c r="G22" s="4">
        <v>1.3200000000000001E-8</v>
      </c>
      <c r="H22" s="4">
        <v>147.37704407527951</v>
      </c>
      <c r="I22" s="4">
        <v>604.39</v>
      </c>
      <c r="P22" s="4"/>
      <c r="Q22" s="4"/>
      <c r="R22" s="4"/>
      <c r="S22" s="4"/>
    </row>
    <row r="23" spans="1:19" x14ac:dyDescent="0.25">
      <c r="A23">
        <f t="shared" si="0"/>
        <v>1980</v>
      </c>
      <c r="B23" s="3">
        <f t="shared" si="1"/>
        <v>109.43430566356162</v>
      </c>
      <c r="C23" s="3">
        <f t="shared" si="2"/>
        <v>98.764058154580724</v>
      </c>
      <c r="D23" s="3">
        <f t="shared" si="3"/>
        <v>90.840801604411695</v>
      </c>
      <c r="E23" s="3">
        <f t="shared" si="4"/>
        <v>39.393939393939384</v>
      </c>
      <c r="F23" s="4">
        <v>3840.39990234375</v>
      </c>
      <c r="G23" s="4">
        <v>1.8399999999999999E-8</v>
      </c>
      <c r="H23" s="4">
        <v>90.840801604411695</v>
      </c>
      <c r="I23" s="4">
        <v>1265.8</v>
      </c>
      <c r="P23" s="4"/>
      <c r="Q23" s="4"/>
      <c r="R23" s="4"/>
      <c r="S23" s="4"/>
    </row>
    <row r="24" spans="1:19" x14ac:dyDescent="0.25">
      <c r="A24">
        <f t="shared" si="0"/>
        <v>1981</v>
      </c>
      <c r="B24" s="3">
        <f t="shared" si="1"/>
        <v>186.0870595670722</v>
      </c>
      <c r="C24" s="3">
        <f t="shared" si="2"/>
        <v>94.622955805358302</v>
      </c>
      <c r="D24" s="3">
        <f t="shared" si="3"/>
        <v>106.36409900023961</v>
      </c>
      <c r="E24" s="3">
        <f t="shared" si="4"/>
        <v>139.13043478260869</v>
      </c>
      <c r="F24" s="4">
        <v>7474.2998046875</v>
      </c>
      <c r="G24" s="4">
        <v>4.3999999999999997E-8</v>
      </c>
      <c r="H24" s="4">
        <v>106.36409900023961</v>
      </c>
      <c r="I24" s="4">
        <v>3621.29</v>
      </c>
      <c r="P24" s="4"/>
      <c r="Q24" s="4"/>
      <c r="R24" s="4"/>
      <c r="S24" s="4"/>
    </row>
    <row r="25" spans="1:19" x14ac:dyDescent="0.25">
      <c r="A25">
        <f t="shared" si="0"/>
        <v>1982</v>
      </c>
      <c r="B25" s="3">
        <f t="shared" si="1"/>
        <v>177.57732741647311</v>
      </c>
      <c r="C25" s="3">
        <f t="shared" si="2"/>
        <v>192.36852375516466</v>
      </c>
      <c r="D25" s="3">
        <f t="shared" si="3"/>
        <v>207.61768137585028</v>
      </c>
      <c r="E25" s="3">
        <f t="shared" si="4"/>
        <v>488.63636363636363</v>
      </c>
      <c r="F25" s="4">
        <v>21852.5</v>
      </c>
      <c r="G25" s="4">
        <v>2.5899999999999998E-7</v>
      </c>
      <c r="H25" s="4">
        <v>207.61768137585028</v>
      </c>
      <c r="I25" s="4">
        <v>10051.879999999999</v>
      </c>
      <c r="P25" s="4"/>
      <c r="Q25" s="4"/>
      <c r="R25" s="4"/>
      <c r="S25" s="4"/>
    </row>
    <row r="26" spans="1:19" x14ac:dyDescent="0.25">
      <c r="A26">
        <f t="shared" si="0"/>
        <v>1983</v>
      </c>
      <c r="B26" s="3">
        <f t="shared" si="1"/>
        <v>403.33867893369211</v>
      </c>
      <c r="C26" s="3">
        <f t="shared" si="2"/>
        <v>401.04107081569612</v>
      </c>
      <c r="D26" s="3">
        <f t="shared" si="3"/>
        <v>382.34943483588859</v>
      </c>
      <c r="E26" s="3">
        <f t="shared" si="4"/>
        <v>305.40540540540542</v>
      </c>
      <c r="F26" s="4">
        <v>109490</v>
      </c>
      <c r="G26" s="4">
        <v>1.0499999999999999E-6</v>
      </c>
      <c r="H26" s="4">
        <v>382.34943483588859</v>
      </c>
      <c r="I26" s="4">
        <v>50595</v>
      </c>
      <c r="P26" s="4"/>
      <c r="Q26" s="4"/>
      <c r="R26" s="4"/>
      <c r="S26" s="4"/>
    </row>
    <row r="27" spans="1:19" x14ac:dyDescent="0.25">
      <c r="A27">
        <f t="shared" si="0"/>
        <v>1984</v>
      </c>
      <c r="B27" s="3">
        <f t="shared" si="1"/>
        <v>552.63464769245968</v>
      </c>
      <c r="C27" s="3">
        <f t="shared" si="2"/>
        <v>622.36733948305778</v>
      </c>
      <c r="D27" s="3">
        <f t="shared" si="3"/>
        <v>606.73594119573352</v>
      </c>
      <c r="E27" s="3">
        <f t="shared" si="4"/>
        <v>544.76190476190482</v>
      </c>
      <c r="F27" s="4">
        <v>790920</v>
      </c>
      <c r="G27" s="4">
        <v>6.7700000000000004E-6</v>
      </c>
      <c r="H27" s="4">
        <v>606.73594119573352</v>
      </c>
      <c r="I27" s="4">
        <v>330200.5</v>
      </c>
      <c r="P27" s="4"/>
      <c r="Q27" s="4"/>
      <c r="R27" s="4"/>
      <c r="S27" s="4"/>
    </row>
    <row r="28" spans="1:19" x14ac:dyDescent="0.25">
      <c r="A28">
        <f t="shared" si="0"/>
        <v>1985</v>
      </c>
      <c r="B28" s="3">
        <f t="shared" si="1"/>
        <v>423.31771151164219</v>
      </c>
      <c r="C28" s="3">
        <f t="shared" si="2"/>
        <v>570.7378748798867</v>
      </c>
      <c r="D28" s="3">
        <f t="shared" si="3"/>
        <v>625.80214030237164</v>
      </c>
      <c r="E28" s="3">
        <f t="shared" si="4"/>
        <v>789.21713441654356</v>
      </c>
      <c r="F28" s="4">
        <v>5305000</v>
      </c>
      <c r="G28" s="4">
        <v>6.02E-5</v>
      </c>
      <c r="H28" s="4">
        <v>625.80214030237164</v>
      </c>
      <c r="I28" s="4">
        <v>1727997.7</v>
      </c>
      <c r="P28" s="4"/>
      <c r="Q28" s="4"/>
      <c r="R28" s="4"/>
      <c r="S28" s="4"/>
    </row>
    <row r="29" spans="1:19" x14ac:dyDescent="0.25">
      <c r="A29">
        <f t="shared" si="0"/>
        <v>1986</v>
      </c>
      <c r="B29" s="3">
        <f t="shared" si="1"/>
        <v>89.915895142684505</v>
      </c>
      <c r="C29" s="3">
        <f t="shared" si="2"/>
        <v>88.201696512723842</v>
      </c>
      <c r="D29" s="3">
        <f t="shared" si="3"/>
        <v>74.461493403076389</v>
      </c>
      <c r="E29" s="3">
        <f t="shared" si="4"/>
        <v>56.644518272425252</v>
      </c>
      <c r="F29" s="4">
        <v>9984100</v>
      </c>
      <c r="G29" s="4">
        <v>9.4300000000000002E-5</v>
      </c>
      <c r="H29" s="4">
        <v>74.461493403076389</v>
      </c>
      <c r="I29" s="4">
        <v>3281742.3</v>
      </c>
      <c r="P29" s="4"/>
      <c r="Q29" s="4"/>
      <c r="R29" s="4"/>
      <c r="S29" s="4"/>
    </row>
    <row r="30" spans="1:19" x14ac:dyDescent="0.25">
      <c r="A30">
        <f t="shared" si="0"/>
        <v>1987</v>
      </c>
      <c r="B30" s="3">
        <f t="shared" si="1"/>
        <v>238.32129353971519</v>
      </c>
      <c r="C30" s="3">
        <f t="shared" si="2"/>
        <v>133.69457437325346</v>
      </c>
      <c r="D30" s="3">
        <f t="shared" si="3"/>
        <v>127.08637640659401</v>
      </c>
      <c r="E30" s="3">
        <f t="shared" si="4"/>
        <v>127.39112760339343</v>
      </c>
      <c r="F30" s="4">
        <v>23332300</v>
      </c>
      <c r="G30" s="4">
        <v>2.1442983333000001E-4</v>
      </c>
      <c r="H30" s="4">
        <v>127.08637640659401</v>
      </c>
      <c r="I30" s="4">
        <v>11102833</v>
      </c>
      <c r="P30" s="4"/>
      <c r="Q30" s="4"/>
      <c r="R30" s="4"/>
      <c r="S30" s="4"/>
    </row>
    <row r="31" spans="1:19" x14ac:dyDescent="0.25">
      <c r="A31">
        <f t="shared" si="0"/>
        <v>1988</v>
      </c>
      <c r="B31" s="3">
        <f t="shared" si="1"/>
        <v>326.87408610036738</v>
      </c>
      <c r="C31" s="3">
        <f t="shared" si="2"/>
        <v>376.00108004783067</v>
      </c>
      <c r="D31" s="3">
        <f t="shared" si="3"/>
        <v>388.49133895876412</v>
      </c>
      <c r="E31" s="3">
        <f t="shared" si="4"/>
        <v>308.18033716558693</v>
      </c>
      <c r="F31" s="4">
        <v>111062000</v>
      </c>
      <c r="G31" s="4">
        <v>8.7526041667000004E-4</v>
      </c>
      <c r="H31" s="4">
        <v>388.49133895876412</v>
      </c>
      <c r="I31" s="4">
        <v>47395116.899999999</v>
      </c>
      <c r="P31" s="4"/>
      <c r="Q31" s="4"/>
      <c r="R31" s="4"/>
      <c r="S31" s="4"/>
    </row>
    <row r="32" spans="1:19" x14ac:dyDescent="0.25">
      <c r="A32">
        <f t="shared" si="0"/>
        <v>1989</v>
      </c>
      <c r="B32" s="3">
        <f t="shared" si="1"/>
        <v>5379.5478550660564</v>
      </c>
      <c r="C32" s="3">
        <f t="shared" si="2"/>
        <v>2820.9269921305217</v>
      </c>
      <c r="D32" s="3">
        <f t="shared" si="3"/>
        <v>3057.628835673213</v>
      </c>
      <c r="E32" s="3">
        <f t="shared" si="4"/>
        <v>4736.727450107137</v>
      </c>
      <c r="F32" s="4">
        <v>3244039936</v>
      </c>
      <c r="G32" s="4">
        <v>4.2333960832999999E-2</v>
      </c>
      <c r="H32" s="4">
        <v>3057.628835673213</v>
      </c>
      <c r="I32" s="4">
        <v>2597038111.5</v>
      </c>
      <c r="P32" s="4"/>
      <c r="Q32" s="4"/>
      <c r="R32" s="4"/>
      <c r="S32" s="4"/>
    </row>
    <row r="33" spans="1:19" x14ac:dyDescent="0.25">
      <c r="A33">
        <f t="shared" si="0"/>
        <v>1990</v>
      </c>
      <c r="B33" s="3">
        <f t="shared" si="1"/>
        <v>760.40323786753947</v>
      </c>
      <c r="C33" s="3">
        <f t="shared" si="2"/>
        <v>2024.5730854035946</v>
      </c>
      <c r="D33" s="3">
        <f t="shared" si="3"/>
        <v>2076.793473222132</v>
      </c>
      <c r="E33" s="3">
        <f t="shared" si="4"/>
        <v>1051.7681637526262</v>
      </c>
      <c r="F33" s="4">
        <v>68921999360</v>
      </c>
      <c r="G33" s="4">
        <v>0.48758908333000001</v>
      </c>
      <c r="H33" s="4">
        <v>2076.793473222132</v>
      </c>
      <c r="I33" s="4">
        <v>22345000000</v>
      </c>
      <c r="P33" s="4"/>
      <c r="Q33" s="4"/>
      <c r="R33" s="4"/>
      <c r="S33" s="4"/>
    </row>
    <row r="34" spans="1:19" x14ac:dyDescent="0.25">
      <c r="A34">
        <f t="shared" si="0"/>
        <v>1991</v>
      </c>
      <c r="B34" s="3">
        <f t="shared" si="1"/>
        <v>84.573730140971136</v>
      </c>
      <c r="C34" s="3">
        <f t="shared" si="2"/>
        <v>162.46772680971745</v>
      </c>
      <c r="D34" s="3">
        <f t="shared" si="3"/>
        <v>132.9532281427737</v>
      </c>
      <c r="E34" s="3">
        <f t="shared" si="4"/>
        <v>95.565169375343643</v>
      </c>
      <c r="F34" s="4">
        <v>180898004992</v>
      </c>
      <c r="G34" s="4">
        <v>0.95355441666999996</v>
      </c>
      <c r="H34" s="4">
        <v>132.9532281427737</v>
      </c>
      <c r="I34" s="4">
        <v>41243000000</v>
      </c>
      <c r="P34" s="4"/>
      <c r="Q34" s="4"/>
      <c r="R34" s="4"/>
      <c r="S34" s="4"/>
    </row>
    <row r="35" spans="1:19" x14ac:dyDescent="0.25">
      <c r="A35">
        <f t="shared" si="0"/>
        <v>1992</v>
      </c>
      <c r="B35" s="3">
        <f t="shared" si="1"/>
        <v>23.523991950149117</v>
      </c>
      <c r="C35" s="3">
        <f t="shared" si="2"/>
        <v>25.284966096791834</v>
      </c>
      <c r="D35" s="3">
        <f t="shared" si="3"/>
        <v>11.920760241953076</v>
      </c>
      <c r="E35" s="3">
        <f t="shared" si="4"/>
        <v>3.8893690125746581</v>
      </c>
      <c r="F35" s="4">
        <v>226638004224</v>
      </c>
      <c r="G35" s="4">
        <v>0.99064166666999998</v>
      </c>
      <c r="H35" s="4">
        <v>11.920760241953076</v>
      </c>
      <c r="I35" s="4">
        <v>50945000000</v>
      </c>
      <c r="P35" s="4"/>
      <c r="Q35" s="4"/>
      <c r="R35" s="4"/>
      <c r="S35" s="4"/>
    </row>
    <row r="36" spans="1:19" x14ac:dyDescent="0.25">
      <c r="A36">
        <f t="shared" si="0"/>
        <v>1993</v>
      </c>
      <c r="B36" s="3">
        <f t="shared" si="1"/>
        <v>20.671312199430758</v>
      </c>
      <c r="C36" s="3">
        <f t="shared" si="2"/>
        <v>4.3536251220461155</v>
      </c>
      <c r="D36" s="3">
        <f t="shared" si="3"/>
        <v>-1.4666599492073829</v>
      </c>
      <c r="E36" s="3">
        <f t="shared" si="4"/>
        <v>0.83826139555729628</v>
      </c>
      <c r="F36" s="4">
        <v>236504973312</v>
      </c>
      <c r="G36" s="4">
        <v>0.99894583332999998</v>
      </c>
      <c r="H36" s="4">
        <v>-1.4666599492073829</v>
      </c>
      <c r="I36" s="4">
        <v>61476000000</v>
      </c>
      <c r="P36" s="4"/>
      <c r="Q36" s="4"/>
      <c r="R36" s="4"/>
      <c r="S36" s="4"/>
    </row>
    <row r="37" spans="1:19" x14ac:dyDescent="0.25">
      <c r="A37">
        <f t="shared" si="0"/>
        <v>1994</v>
      </c>
      <c r="B37" s="3">
        <f t="shared" si="1"/>
        <v>11.302571735311341</v>
      </c>
      <c r="C37" s="3">
        <f t="shared" si="2"/>
        <v>8.8518154129394713</v>
      </c>
      <c r="D37" s="3">
        <f t="shared" si="3"/>
        <v>2.8493225343198674</v>
      </c>
      <c r="E37" s="3">
        <f t="shared" si="4"/>
        <v>6.256595494445555E-3</v>
      </c>
      <c r="F37" s="4">
        <v>257439956992</v>
      </c>
      <c r="G37" s="4">
        <v>0.99900833333000005</v>
      </c>
      <c r="H37" s="4">
        <v>2.8493225343198674</v>
      </c>
      <c r="I37" s="4">
        <v>68424369000</v>
      </c>
      <c r="P37" s="4"/>
      <c r="Q37" s="4"/>
      <c r="R37" s="4"/>
      <c r="S37" s="4"/>
    </row>
    <row r="38" spans="1:19" x14ac:dyDescent="0.25">
      <c r="A38">
        <f t="shared" si="0"/>
        <v>1995</v>
      </c>
      <c r="B38" s="3">
        <f t="shared" si="1"/>
        <v>5.0914492174564296</v>
      </c>
      <c r="C38" s="3">
        <f t="shared" si="2"/>
        <v>0.22992590540962299</v>
      </c>
      <c r="D38" s="3">
        <f t="shared" si="3"/>
        <v>3.1651918596055566</v>
      </c>
      <c r="E38" s="3">
        <f t="shared" si="4"/>
        <v>7.424028861979283E-2</v>
      </c>
      <c r="F38" s="4">
        <v>258031878144</v>
      </c>
      <c r="G38" s="4">
        <v>0.99975000000000003</v>
      </c>
      <c r="H38" s="4">
        <v>3.1651918596055566</v>
      </c>
      <c r="I38" s="4">
        <v>71908161000</v>
      </c>
      <c r="P38" s="4"/>
      <c r="Q38" s="4"/>
      <c r="R38" s="4"/>
      <c r="S38" s="4"/>
    </row>
    <row r="39" spans="1:19" x14ac:dyDescent="0.25">
      <c r="A39">
        <f t="shared" si="0"/>
        <v>1996</v>
      </c>
      <c r="B39" s="3">
        <f t="shared" si="1"/>
        <v>6.8049897702153723</v>
      </c>
      <c r="C39" s="3">
        <f t="shared" si="2"/>
        <v>5.4713704018079605</v>
      </c>
      <c r="D39" s="3">
        <f t="shared" si="3"/>
        <v>-5.242221330860275E-2</v>
      </c>
      <c r="E39" s="3">
        <f t="shared" si="4"/>
        <v>-8.7521880470135642E-3</v>
      </c>
      <c r="F39" s="4">
        <v>272149757952</v>
      </c>
      <c r="G39" s="4">
        <v>0.99966250000000001</v>
      </c>
      <c r="H39" s="4">
        <v>-5.242221330860275E-2</v>
      </c>
      <c r="I39" s="4">
        <v>76801504000</v>
      </c>
      <c r="P39" s="4"/>
      <c r="Q39" s="4"/>
      <c r="R39" s="4"/>
      <c r="S39" s="4"/>
    </row>
    <row r="40" spans="1:19" x14ac:dyDescent="0.25">
      <c r="A40">
        <f t="shared" si="0"/>
        <v>1997</v>
      </c>
      <c r="B40" s="3">
        <f t="shared" si="1"/>
        <v>15.830326708185298</v>
      </c>
      <c r="C40" s="3">
        <f t="shared" si="2"/>
        <v>7.6094612010099754</v>
      </c>
      <c r="D40" s="3">
        <f t="shared" si="3"/>
        <v>-0.46395402841214661</v>
      </c>
      <c r="E40" s="3">
        <f t="shared" si="4"/>
        <v>-1.6255486226596911E-2</v>
      </c>
      <c r="F40" s="4">
        <v>292858888192</v>
      </c>
      <c r="G40" s="4">
        <v>0.99950000000000006</v>
      </c>
      <c r="H40" s="4">
        <v>-0.46395402841214661</v>
      </c>
      <c r="I40" s="4">
        <v>88959433000</v>
      </c>
      <c r="P40" s="4"/>
      <c r="Q40" s="4"/>
      <c r="R40" s="4"/>
      <c r="S40" s="4"/>
    </row>
    <row r="41" spans="1:19" x14ac:dyDescent="0.25">
      <c r="A41">
        <f t="shared" si="0"/>
        <v>1998</v>
      </c>
      <c r="B41" s="3">
        <f t="shared" si="1"/>
        <v>9.2258333076381014</v>
      </c>
      <c r="C41" s="3">
        <f t="shared" si="2"/>
        <v>2.0793202096730306</v>
      </c>
      <c r="D41" s="3">
        <f t="shared" si="3"/>
        <v>-1.7052052088351104</v>
      </c>
      <c r="E41" s="3">
        <f t="shared" si="4"/>
        <v>0</v>
      </c>
      <c r="F41" s="4">
        <v>298948362240</v>
      </c>
      <c r="G41" s="4">
        <v>0.99950000000000006</v>
      </c>
      <c r="H41" s="4">
        <v>-1.7052052088351104</v>
      </c>
      <c r="I41" s="4">
        <v>97166682000</v>
      </c>
      <c r="P41" s="4"/>
      <c r="Q41" s="4"/>
      <c r="R41" s="4"/>
      <c r="S41" s="4"/>
    </row>
    <row r="42" spans="1:19" x14ac:dyDescent="0.25">
      <c r="A42">
        <f t="shared" si="0"/>
        <v>1999</v>
      </c>
      <c r="B42" s="3">
        <f t="shared" si="1"/>
        <v>3.5984824510113458</v>
      </c>
      <c r="C42" s="3">
        <f t="shared" si="2"/>
        <v>-5.1598675023401928</v>
      </c>
      <c r="D42" s="3">
        <f t="shared" si="3"/>
        <v>-1.8365873248638991</v>
      </c>
      <c r="E42" s="3">
        <f t="shared" si="4"/>
        <v>0</v>
      </c>
      <c r="F42" s="4">
        <v>283523022848</v>
      </c>
      <c r="G42" s="4">
        <v>0.99950000000000006</v>
      </c>
      <c r="H42" s="4">
        <v>-1.8365873248638991</v>
      </c>
      <c r="I42" s="4">
        <v>100663208000</v>
      </c>
      <c r="P42" s="4"/>
      <c r="Q42" s="4"/>
      <c r="R42" s="4"/>
      <c r="S42" s="4"/>
    </row>
    <row r="43" spans="1:19" x14ac:dyDescent="0.25">
      <c r="A43">
        <f t="shared" si="0"/>
        <v>2000</v>
      </c>
      <c r="B43" s="3">
        <f t="shared" si="1"/>
        <v>-2.7320879167192906</v>
      </c>
      <c r="C43" s="3">
        <f t="shared" si="2"/>
        <v>0.2400942347334323</v>
      </c>
      <c r="D43" s="3">
        <f t="shared" si="3"/>
        <v>1.0372772633181881</v>
      </c>
      <c r="E43" s="3">
        <f t="shared" si="4"/>
        <v>0</v>
      </c>
      <c r="F43" s="4">
        <v>284203745280</v>
      </c>
      <c r="G43" s="4">
        <v>0.99950000000000006</v>
      </c>
      <c r="H43" s="4">
        <v>1.0372772633181881</v>
      </c>
      <c r="I43" s="4">
        <v>97913000657.649994</v>
      </c>
      <c r="P43" s="4"/>
      <c r="Q43" s="4"/>
      <c r="R43" s="4"/>
      <c r="S43" s="4"/>
    </row>
    <row r="44" spans="1:19" x14ac:dyDescent="0.25">
      <c r="A44">
        <f t="shared" si="0"/>
        <v>2001</v>
      </c>
      <c r="B44" s="3">
        <f t="shared" si="1"/>
        <v>2.2047198307177456</v>
      </c>
      <c r="C44" s="3">
        <f t="shared" si="2"/>
        <v>-5.4563074109816316</v>
      </c>
      <c r="D44" s="3">
        <f t="shared" si="3"/>
        <v>-1.095778846119515</v>
      </c>
      <c r="E44" s="3">
        <f t="shared" si="4"/>
        <v>0</v>
      </c>
      <c r="F44" s="4">
        <v>268696715264</v>
      </c>
      <c r="G44" s="4">
        <v>0.99950000000000006</v>
      </c>
      <c r="H44" s="4">
        <v>-1.095778846119515</v>
      </c>
      <c r="I44" s="4">
        <v>100071708000</v>
      </c>
      <c r="P44" s="4"/>
      <c r="Q44" s="4"/>
      <c r="R44" s="4"/>
      <c r="S44" s="4"/>
    </row>
    <row r="45" spans="1:19" x14ac:dyDescent="0.25">
      <c r="A45">
        <f t="shared" si="0"/>
        <v>2002</v>
      </c>
      <c r="B45" s="3">
        <f t="shared" si="1"/>
        <v>94.976017597301322</v>
      </c>
      <c r="C45" s="3">
        <f t="shared" si="2"/>
        <v>16.331956214977779</v>
      </c>
      <c r="D45" s="3">
        <f t="shared" si="3"/>
        <v>30.555281544398213</v>
      </c>
      <c r="E45" s="3">
        <f t="shared" si="4"/>
        <v>206.47890612306151</v>
      </c>
      <c r="F45" s="4">
        <v>312580145152</v>
      </c>
      <c r="G45" s="4">
        <v>3.0632566667000001</v>
      </c>
      <c r="H45" s="4">
        <v>30.555281544398213</v>
      </c>
      <c r="I45" s="4">
        <v>195115831000</v>
      </c>
      <c r="P45" s="4"/>
      <c r="Q45" s="4"/>
      <c r="R45" s="4"/>
      <c r="S45" s="4"/>
    </row>
    <row r="46" spans="1:19" x14ac:dyDescent="0.25">
      <c r="A46">
        <f t="shared" si="0"/>
        <v>2003</v>
      </c>
      <c r="B46" s="3">
        <f t="shared" si="1"/>
        <v>-2.4606117173547029</v>
      </c>
      <c r="C46" s="3">
        <f t="shared" si="2"/>
        <v>20.260149998076358</v>
      </c>
      <c r="D46" s="3">
        <f t="shared" si="3"/>
        <v>10.495608050719099</v>
      </c>
      <c r="E46" s="3">
        <f t="shared" si="4"/>
        <v>-5.3089740003796768</v>
      </c>
      <c r="F46" s="4">
        <v>375909351424</v>
      </c>
      <c r="G46" s="4">
        <v>2.9006291666999999</v>
      </c>
      <c r="H46" s="4">
        <v>10.495608050719099</v>
      </c>
      <c r="I46" s="4">
        <v>190314788000</v>
      </c>
      <c r="P46" s="4"/>
      <c r="Q46" s="4"/>
      <c r="R46" s="4"/>
      <c r="S46" s="4"/>
    </row>
    <row r="47" spans="1:19" x14ac:dyDescent="0.25">
      <c r="A47">
        <f t="shared" si="0"/>
        <v>2004</v>
      </c>
      <c r="B47" s="3">
        <f t="shared" si="1"/>
        <v>6.7907445006322895</v>
      </c>
      <c r="C47" s="3">
        <f t="shared" si="2"/>
        <v>19.082809972207603</v>
      </c>
      <c r="D47" s="3">
        <f t="shared" si="3"/>
        <v>9.2206511902612078</v>
      </c>
      <c r="E47" s="3">
        <f t="shared" si="4"/>
        <v>0.78161153656857474</v>
      </c>
      <c r="F47" s="4">
        <v>447643418624</v>
      </c>
      <c r="G47" s="4">
        <v>2.9233008189</v>
      </c>
      <c r="H47" s="4">
        <v>9.2206511902612078</v>
      </c>
      <c r="I47" s="4">
        <v>203238579000</v>
      </c>
      <c r="P47" s="4"/>
      <c r="Q47" s="4"/>
      <c r="R47" s="4"/>
      <c r="S47" s="4"/>
    </row>
    <row r="48" spans="1:19" x14ac:dyDescent="0.25">
      <c r="A48">
        <f t="shared" si="0"/>
        <v>2005</v>
      </c>
      <c r="B48" s="3">
        <f t="shared" si="1"/>
        <v>0.150024666330697</v>
      </c>
      <c r="C48" s="3">
        <f t="shared" si="2"/>
        <v>18.830904279017052</v>
      </c>
      <c r="D48" s="3">
        <f t="shared" si="3"/>
        <v>8.8404898955740236</v>
      </c>
      <c r="E48" s="3">
        <f t="shared" si="4"/>
        <v>-0.67195680899482535</v>
      </c>
      <c r="F48" s="4">
        <v>531938722296.40503</v>
      </c>
      <c r="G48" s="4">
        <v>2.9036575</v>
      </c>
      <c r="H48" s="4">
        <v>8.8404898955740236</v>
      </c>
      <c r="I48" s="4">
        <v>203543487000</v>
      </c>
      <c r="P48" s="4"/>
      <c r="Q48" s="4"/>
      <c r="R48" s="4"/>
      <c r="S48" s="4"/>
    </row>
    <row r="49" spans="1:19" x14ac:dyDescent="0.25">
      <c r="A49">
        <f t="shared" si="0"/>
        <v>2006</v>
      </c>
      <c r="B49" s="3">
        <f t="shared" si="1"/>
        <v>-0.92524404870788124</v>
      </c>
      <c r="C49" s="3">
        <f t="shared" si="2"/>
        <v>23.029017782988692</v>
      </c>
      <c r="D49" s="3">
        <f t="shared" si="3"/>
        <v>13.426277958672131</v>
      </c>
      <c r="E49" s="3">
        <f t="shared" si="4"/>
        <v>5.1884849814415128</v>
      </c>
      <c r="F49" s="4">
        <v>654438985248.64697</v>
      </c>
      <c r="G49" s="4">
        <v>3.0543133333000001</v>
      </c>
      <c r="H49" s="4">
        <v>13.426277958672131</v>
      </c>
      <c r="I49" s="4">
        <v>201660213000</v>
      </c>
      <c r="P49" s="4"/>
      <c r="Q49" s="4"/>
      <c r="R49" s="4"/>
      <c r="S49" s="4"/>
    </row>
    <row r="50" spans="1:19" x14ac:dyDescent="0.25">
      <c r="A50">
        <f t="shared" si="0"/>
        <v>2007</v>
      </c>
      <c r="B50" s="3">
        <f t="shared" si="1"/>
        <v>14.902456737958518</v>
      </c>
      <c r="C50" s="3">
        <f t="shared" si="2"/>
        <v>24.14538965102258</v>
      </c>
      <c r="D50" s="3"/>
      <c r="E50" s="3">
        <f t="shared" si="4"/>
        <v>1.3533489000402985</v>
      </c>
      <c r="F50" s="4">
        <v>812455828265.13098</v>
      </c>
      <c r="G50" s="4">
        <v>3.0956488491999998</v>
      </c>
      <c r="H50" s="4"/>
      <c r="I50" s="4">
        <v>231712539000</v>
      </c>
      <c r="P50" s="4"/>
      <c r="Q50" s="4"/>
      <c r="R50" s="4"/>
      <c r="S50" s="4"/>
    </row>
    <row r="51" spans="1:19" x14ac:dyDescent="0.25">
      <c r="A51">
        <f t="shared" si="0"/>
        <v>2008</v>
      </c>
      <c r="B51" s="3">
        <f t="shared" si="1"/>
        <v>8.9625620130984789</v>
      </c>
      <c r="C51" s="3">
        <f t="shared" si="2"/>
        <v>27.115619400190599</v>
      </c>
      <c r="D51" s="3"/>
      <c r="E51" s="3">
        <f t="shared" si="4"/>
        <v>1.5672226749018401</v>
      </c>
      <c r="F51" s="4">
        <v>1032758258452.17</v>
      </c>
      <c r="G51" s="4">
        <v>3.1441645599000001</v>
      </c>
      <c r="H51" s="4"/>
      <c r="I51" s="4">
        <v>252479919000</v>
      </c>
      <c r="P51" s="4"/>
      <c r="Q51" s="4"/>
      <c r="R51" s="4"/>
      <c r="S51" s="4"/>
    </row>
    <row r="52" spans="1:19" x14ac:dyDescent="0.25">
      <c r="A52">
        <f t="shared" si="0"/>
        <v>2009</v>
      </c>
      <c r="B52" s="3">
        <f t="shared" si="1"/>
        <v>26.848091898092687</v>
      </c>
      <c r="C52" s="3">
        <f t="shared" si="2"/>
        <v>10.912532239938443</v>
      </c>
      <c r="D52" s="3"/>
      <c r="E52" s="3">
        <f t="shared" si="4"/>
        <v>17.999766227821095</v>
      </c>
      <c r="F52" s="4">
        <v>1145458336366.3899</v>
      </c>
      <c r="G52" s="4">
        <v>3.7101068305</v>
      </c>
      <c r="H52" s="4"/>
      <c r="I52" s="4">
        <v>320265959677.34998</v>
      </c>
      <c r="P52" s="4"/>
      <c r="Q52" s="4"/>
      <c r="R52" s="4"/>
      <c r="S52" s="4"/>
    </row>
    <row r="53" spans="1:19" x14ac:dyDescent="0.25">
      <c r="A53">
        <f t="shared" si="0"/>
        <v>2010</v>
      </c>
      <c r="B53" s="3">
        <f t="shared" si="1"/>
        <v>31.438395895738033</v>
      </c>
      <c r="C53" s="3">
        <f t="shared" si="2"/>
        <v>25.945687660149659</v>
      </c>
      <c r="D53" s="3"/>
      <c r="E53" s="3">
        <f t="shared" si="4"/>
        <v>5.0184087010483234</v>
      </c>
      <c r="F53" s="4">
        <v>1442655378597.1599</v>
      </c>
      <c r="G53" s="4">
        <v>3.8962951545000002</v>
      </c>
      <c r="H53" s="4"/>
      <c r="I53" s="4">
        <v>420952440000</v>
      </c>
      <c r="P53" s="4"/>
      <c r="Q53" s="4"/>
      <c r="R53" s="4"/>
      <c r="S53" s="4"/>
    </row>
    <row r="54" spans="1:19" x14ac:dyDescent="0.25">
      <c r="A54">
        <f t="shared" si="0"/>
        <v>2011</v>
      </c>
      <c r="B54" s="3">
        <f t="shared" si="1"/>
        <v>36.998771405149711</v>
      </c>
      <c r="C54" s="3">
        <f t="shared" si="2"/>
        <v>27.682755151712314</v>
      </c>
      <c r="D54" s="3"/>
      <c r="E54" s="3">
        <f t="shared" si="4"/>
        <v>5.4884040664378704</v>
      </c>
      <c r="F54" s="4">
        <v>1842022134737.22</v>
      </c>
      <c r="G54" s="4">
        <v>4.1101395761999999</v>
      </c>
      <c r="H54" s="4"/>
      <c r="I54" s="4">
        <v>576699671000</v>
      </c>
      <c r="P54" s="4"/>
      <c r="Q54" s="4"/>
      <c r="R54" s="4"/>
      <c r="S54" s="4"/>
    </row>
    <row r="55" spans="1:19" x14ac:dyDescent="0.25">
      <c r="A55">
        <f t="shared" si="0"/>
        <v>2012</v>
      </c>
      <c r="B55" s="3">
        <f t="shared" si="1"/>
        <v>39.974456999473475</v>
      </c>
      <c r="C55" s="3"/>
      <c r="D55" s="3"/>
      <c r="E55" s="3">
        <f t="shared" si="4"/>
        <v>10.383948673455761</v>
      </c>
      <c r="F55" s="4"/>
      <c r="G55" s="4">
        <v>4.5369343602000001</v>
      </c>
      <c r="H55" s="4"/>
      <c r="I55" s="4">
        <v>807232233000</v>
      </c>
      <c r="P55" s="4"/>
      <c r="Q55" s="4"/>
      <c r="R55" s="4"/>
      <c r="S55" s="4"/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2025-10-01T20:54:10Z</dcterms:created>
  <dcterms:modified xsi:type="dcterms:W3CDTF">2025-10-02T20:35:54Z</dcterms:modified>
</cp:coreProperties>
</file>
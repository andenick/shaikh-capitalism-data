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47" documentId="8_{241E3519-603E-4742-92A5-AD20FCCBF66B}" xr6:coauthVersionLast="47" xr6:coauthVersionMax="47" xr10:uidLastSave="{9E21825D-2E94-4FC9-9081-67AAEB52315E}"/>
  <bookViews>
    <workbookView xWindow="2205" yWindow="1035" windowWidth="21600" windowHeight="13215" xr2:uid="{8FC22D60-6EC5-476A-BD0C-CA040E194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U4" i="1"/>
  <c r="T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C Anderson</author>
  </authors>
  <commentList>
    <comment ref="P1" authorId="0" shapeId="0" xr:uid="{0AE6E3CF-95E6-40EE-96B8-E932AF74FACB}">
      <text>
        <r>
          <rPr>
            <b/>
            <sz val="9"/>
            <color indexed="81"/>
            <rFont val="Tahoma"/>
            <family val="2"/>
          </rPr>
          <t>Anwar Shaikh:</t>
        </r>
        <r>
          <rPr>
            <sz val="9"/>
            <color indexed="81"/>
            <rFont val="Tahoma"/>
            <family val="2"/>
          </rPr>
          <t xml:space="preserve">
http://www.bls.gov/cps/duration.htm</t>
        </r>
      </text>
    </comment>
    <comment ref="AB1" authorId="0" shapeId="0" xr:uid="{296BBB83-DD92-4957-867F-119AA0151574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charset val="1"/>
          </rPr>
          <t xml:space="preserve">Curve functional form: y = a +b*x^c </t>
        </r>
      </text>
    </comment>
    <comment ref="P2" authorId="0" shapeId="0" xr:uid="{4F82CFFC-8515-4F35-930E-8DA58C2D9FB5}">
      <text>
        <r>
          <rPr>
            <b/>
            <sz val="9"/>
            <color indexed="81"/>
            <rFont val="Tahoma"/>
            <family val="2"/>
          </rPr>
          <t>Anwar Shaikh:</t>
        </r>
        <r>
          <rPr>
            <sz val="9"/>
            <color indexed="81"/>
            <rFont val="Tahoma"/>
            <family val="2"/>
          </rPr>
          <t xml:space="preserve">
BLS measure from FRB http://www.bls.gov/webapps/legacy/cpsatab12.htm,  rescaled by dividing by 1948-1951 avg = 10.1</t>
        </r>
      </text>
    </comment>
    <comment ref="R2" authorId="0" shapeId="0" xr:uid="{77E92EE8-58A1-48B8-AB27-196201027205}">
      <text>
        <r>
          <rPr>
            <b/>
            <sz val="9"/>
            <color indexed="81"/>
            <rFont val="Tahoma"/>
            <family val="2"/>
          </rPr>
          <t>Anwar Shaikh:</t>
        </r>
        <r>
          <rPr>
            <sz val="9"/>
            <color indexed="81"/>
            <rFont val="Tahoma"/>
            <family val="2"/>
          </rPr>
          <t xml:space="preserve">
= unemplrate*unempduration, using rescaled unempduration</t>
        </r>
      </text>
    </comment>
  </commentList>
</comments>
</file>

<file path=xl/sharedStrings.xml><?xml version="1.0" encoding="utf-8"?>
<sst xmlns="http://schemas.openxmlformats.org/spreadsheetml/2006/main" count="53" uniqueCount="53">
  <si>
    <t>Year</t>
  </si>
  <si>
    <t>inflrate</t>
  </si>
  <si>
    <t>inflrateHP100</t>
  </si>
  <si>
    <t>GPRODVTY</t>
  </si>
  <si>
    <t>GPRODVTYHP100</t>
  </si>
  <si>
    <t>ggdp</t>
  </si>
  <si>
    <t>ggdphp100</t>
  </si>
  <si>
    <t>grgdp</t>
  </si>
  <si>
    <t>grgdphp100</t>
  </si>
  <si>
    <t>wagesh</t>
  </si>
  <si>
    <t>wageshhp100</t>
  </si>
  <si>
    <t>gwsh</t>
  </si>
  <si>
    <t>gwshhp100</t>
  </si>
  <si>
    <t>UNEMPLRATE</t>
  </si>
  <si>
    <t>UNEMPLRATEHP100</t>
  </si>
  <si>
    <t>UNEMPDURATION</t>
  </si>
  <si>
    <t>UNEMPDURHP100</t>
  </si>
  <si>
    <t>ulintensity</t>
  </si>
  <si>
    <t>ulintensityhp100</t>
  </si>
  <si>
    <t>GULINTENSITY</t>
  </si>
  <si>
    <t>GULINTENSITYHP</t>
  </si>
  <si>
    <t xml:space="preserve">GMWAGEHP100 </t>
  </si>
  <si>
    <t xml:space="preserve">GRWAGEHP100 </t>
  </si>
  <si>
    <t>GWSHHP100RAL8AF</t>
  </si>
  <si>
    <t>GWSHHP100RAL8BP1F</t>
  </si>
  <si>
    <t>Inflation</t>
  </si>
  <si>
    <t>Inflation HP</t>
  </si>
  <si>
    <t>Productivity Growth</t>
  </si>
  <si>
    <t>Productivity Growth HP 100</t>
  </si>
  <si>
    <t>Nominal Growth</t>
  </si>
  <si>
    <t>Nominal Growth HP</t>
  </si>
  <si>
    <t>Real Growth</t>
  </si>
  <si>
    <t>Real Growth HP</t>
  </si>
  <si>
    <t>Wage Share</t>
  </si>
  <si>
    <t>Wage Share HP</t>
  </si>
  <si>
    <t>Rate of change of wage share</t>
  </si>
  <si>
    <t>HP value of rate of change of wage share</t>
  </si>
  <si>
    <t>Unemployment rate</t>
  </si>
  <si>
    <t>Unemployment rate HP</t>
  </si>
  <si>
    <t>Unemployment duration index</t>
  </si>
  <si>
    <t>Unemployment duration index HP</t>
  </si>
  <si>
    <t>unemployment intensity</t>
  </si>
  <si>
    <t>unemployment intensity HP</t>
  </si>
  <si>
    <t>Rate of change of unemployment rate</t>
  </si>
  <si>
    <t>Rate of change of unemployment duration</t>
  </si>
  <si>
    <t>Rate of change of unemployment intensity</t>
  </si>
  <si>
    <t>Rate of change of unemployment rate HP</t>
  </si>
  <si>
    <t>Rate of change of unemployment duration HP</t>
  </si>
  <si>
    <t>Rate of change of unemployment intensity HP (right scale)</t>
  </si>
  <si>
    <t>HP value of rate of change of nominal wage</t>
  </si>
  <si>
    <t xml:space="preserve">HP value of rate of change of real wage </t>
  </si>
  <si>
    <t>Fitted 1948-1980</t>
  </si>
  <si>
    <t>Fitted 1994-2011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</si>
</sst>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3515-DFE8-4088-B080-7784188AC6C9}">
  <dimension ref="A1:AC67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29" max="29" width="15.85546875" bestFit="1" customWidth="1"/>
  </cols>
  <sheetData>
    <row r="1" spans="1:29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</row>
    <row r="2" spans="1:29" x14ac:dyDescent="0.25">
      <c r="A2" t="s">
        <v>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</row>
    <row r="3" spans="1:29" x14ac:dyDescent="0.25">
      <c r="A3">
        <v>1948</v>
      </c>
      <c r="B3" s="1"/>
      <c r="C3" s="1"/>
      <c r="D3" s="1"/>
      <c r="E3" s="1"/>
      <c r="F3" s="1"/>
      <c r="G3" s="1"/>
      <c r="H3" s="1"/>
      <c r="I3" s="1"/>
      <c r="J3" s="1">
        <v>0.52621741590259297</v>
      </c>
      <c r="K3" s="1">
        <v>0.53108836222534395</v>
      </c>
      <c r="L3" s="1"/>
      <c r="M3" s="1"/>
      <c r="N3" s="1">
        <v>3.7499999999999901E-2</v>
      </c>
      <c r="O3" s="1">
        <v>4.2907061243445302E-2</v>
      </c>
      <c r="P3" s="1">
        <v>0.855610561056105</v>
      </c>
      <c r="Q3" s="1">
        <v>0.906486714363266</v>
      </c>
      <c r="R3" s="1">
        <v>3.2085396039603899E-2</v>
      </c>
      <c r="S3" s="1">
        <v>3.9157831930450297E-2</v>
      </c>
      <c r="T3" s="1"/>
      <c r="U3" s="1"/>
      <c r="V3" s="1">
        <v>0.87470266802989405</v>
      </c>
      <c r="W3" s="1"/>
      <c r="X3" s="1"/>
      <c r="Y3" s="1"/>
      <c r="Z3" s="1"/>
      <c r="AA3" s="1"/>
      <c r="AB3" s="1">
        <v>1.1822648982412001E-2</v>
      </c>
      <c r="AC3" s="1">
        <v>1.0938890885452399E-3</v>
      </c>
    </row>
    <row r="4" spans="1:29" x14ac:dyDescent="0.25">
      <c r="A4">
        <v>1949</v>
      </c>
      <c r="B4" s="1"/>
      <c r="C4" s="1"/>
      <c r="D4" s="1">
        <v>1.2743613571839001E-2</v>
      </c>
      <c r="E4" s="1">
        <v>2.0086278305798299E-2</v>
      </c>
      <c r="F4" s="1">
        <v>-1.5578635014836899E-2</v>
      </c>
      <c r="G4" s="1">
        <v>6.1103653474465003E-2</v>
      </c>
      <c r="H4" s="1"/>
      <c r="I4" s="1"/>
      <c r="J4" s="1">
        <v>0.53419172742667298</v>
      </c>
      <c r="K4" s="1">
        <v>0.53470310923209197</v>
      </c>
      <c r="L4" s="1">
        <v>1.50403490907111E-2</v>
      </c>
      <c r="M4" s="1">
        <v>1.0741997530169901E-2</v>
      </c>
      <c r="N4" s="1">
        <v>6.0500000002499998E-2</v>
      </c>
      <c r="O4" s="1">
        <v>4.3012404042978097E-2</v>
      </c>
      <c r="P4" s="1">
        <v>0.99422442244224396</v>
      </c>
      <c r="Q4" s="1">
        <v>0.93909717320537001</v>
      </c>
      <c r="R4" s="1">
        <v>6.0150577560241301E-2</v>
      </c>
      <c r="S4" s="1">
        <v>4.0999900044144E-2</v>
      </c>
      <c r="T4" s="2">
        <f>(N4-N3)/N3</f>
        <v>0.61333333340000418</v>
      </c>
      <c r="U4" s="2">
        <f>(P4-P3)/P3</f>
        <v>0.16200578592092627</v>
      </c>
      <c r="V4" s="1">
        <v>3.2343426663730301E-2</v>
      </c>
      <c r="W4" s="1">
        <v>4.5947443487045402E-2</v>
      </c>
      <c r="X4" s="1">
        <v>5.5801183063288497E-2</v>
      </c>
      <c r="Y4" s="1">
        <v>0.26367538566031601</v>
      </c>
      <c r="Z4" s="1">
        <v>4.9610479165855897E-2</v>
      </c>
      <c r="AA4" s="1">
        <v>3.0760253039070599E-2</v>
      </c>
      <c r="AB4" s="1">
        <v>1.0544933847484599E-2</v>
      </c>
      <c r="AC4" s="1">
        <v>9.2135077864230399E-4</v>
      </c>
    </row>
    <row r="5" spans="1:29" x14ac:dyDescent="0.25">
      <c r="A5">
        <v>1950</v>
      </c>
      <c r="B5" s="1">
        <v>-1.8604656529196701E-3</v>
      </c>
      <c r="C5" s="1">
        <v>1.8850226126785798E-2</v>
      </c>
      <c r="D5" s="1">
        <v>4.9214725633108199E-2</v>
      </c>
      <c r="E5" s="1">
        <v>2.0619940555464102E-2</v>
      </c>
      <c r="F5" s="1">
        <v>0.101733232856066</v>
      </c>
      <c r="G5" s="1">
        <v>6.23035744411422E-2</v>
      </c>
      <c r="H5" s="1">
        <v>-1.3840791487125401E-2</v>
      </c>
      <c r="I5" s="1">
        <v>3.8556131166533697E-2</v>
      </c>
      <c r="J5" s="1">
        <v>0.53086169643418102</v>
      </c>
      <c r="K5" s="1">
        <v>0.53826914677561299</v>
      </c>
      <c r="L5" s="1">
        <v>-6.2532860215775898E-3</v>
      </c>
      <c r="M5" s="1">
        <v>9.5908291546637093E-3</v>
      </c>
      <c r="N5" s="1">
        <v>5.2083333332500002E-2</v>
      </c>
      <c r="O5" s="1">
        <v>4.3063676230076502E-2</v>
      </c>
      <c r="P5" s="1">
        <v>1.19224422442244</v>
      </c>
      <c r="Q5" s="1">
        <v>0.97119887051440301</v>
      </c>
      <c r="R5" s="1">
        <v>6.2096053354341998E-2</v>
      </c>
      <c r="S5" s="1">
        <v>4.2771243798929402E-2</v>
      </c>
      <c r="T5" s="2">
        <f t="shared" ref="T5:T66" si="0">(N5-N4)/N4</f>
        <v>-0.13911845734962314</v>
      </c>
      <c r="U5" s="2">
        <f t="shared" ref="U5:U66" si="1">(P5-P4)/P4</f>
        <v>0.1991701244813259</v>
      </c>
      <c r="V5" s="1">
        <v>-0.49393494806310101</v>
      </c>
      <c r="W5" s="1">
        <v>3.3185218427700801E-2</v>
      </c>
      <c r="X5" s="1">
        <v>4.8311744120115303E-2</v>
      </c>
      <c r="Y5" s="1">
        <v>0.241685256016552</v>
      </c>
      <c r="Z5" s="1">
        <v>4.9936522245893698E-2</v>
      </c>
      <c r="AA5" s="1">
        <v>3.01582660637622E-2</v>
      </c>
      <c r="AB5" s="1">
        <v>9.4667093717871204E-3</v>
      </c>
      <c r="AC5" s="1">
        <v>7.6262375800184503E-4</v>
      </c>
    </row>
    <row r="6" spans="1:29" x14ac:dyDescent="0.25">
      <c r="A6">
        <v>1951</v>
      </c>
      <c r="B6" s="1">
        <v>1.07701264007177E-2</v>
      </c>
      <c r="C6" s="1">
        <v>1.9778256182131901E-2</v>
      </c>
      <c r="D6" s="1">
        <v>-1.0877106804229399E-2</v>
      </c>
      <c r="E6" s="1">
        <v>2.1080176157790401E-2</v>
      </c>
      <c r="F6" s="1">
        <v>0.14808481532147699</v>
      </c>
      <c r="G6" s="1">
        <v>6.2736672522926307E-2</v>
      </c>
      <c r="H6" s="1">
        <v>8.6114479576798506E-2</v>
      </c>
      <c r="I6" s="1">
        <v>3.9008075232022398E-2</v>
      </c>
      <c r="J6" s="1">
        <v>0.54029761615449901</v>
      </c>
      <c r="K6" s="1">
        <v>0.54173265157462502</v>
      </c>
      <c r="L6" s="1">
        <v>1.76186001387445E-2</v>
      </c>
      <c r="M6" s="1">
        <v>8.4826442947628696E-3</v>
      </c>
      <c r="N6" s="1">
        <v>3.2833333334999902E-2</v>
      </c>
      <c r="O6" s="1">
        <v>4.3181683151901198E-2</v>
      </c>
      <c r="P6" s="1">
        <v>0.95709570957095702</v>
      </c>
      <c r="Q6" s="1">
        <v>1.0028343172496601</v>
      </c>
      <c r="R6" s="1">
        <v>3.14246424658415E-2</v>
      </c>
      <c r="S6" s="1">
        <v>4.4592645611058898E-2</v>
      </c>
      <c r="T6" s="2">
        <f t="shared" si="0"/>
        <v>-0.36959999995791548</v>
      </c>
      <c r="U6" s="2">
        <f t="shared" si="1"/>
        <v>-0.19723183391003318</v>
      </c>
      <c r="V6" s="1">
        <v>-0.196227901318586</v>
      </c>
      <c r="W6" s="1">
        <v>2.4746543254503199E-2</v>
      </c>
      <c r="X6" s="1">
        <v>4.1765769723261501E-2</v>
      </c>
      <c r="Y6" s="1">
        <v>0.22580539919648501</v>
      </c>
      <c r="Z6" s="1">
        <v>5.0025254884492602E-2</v>
      </c>
      <c r="AA6" s="1">
        <v>2.9526075564812002E-2</v>
      </c>
      <c r="AB6" s="1">
        <v>8.4875689995904807E-3</v>
      </c>
      <c r="AC6" s="1">
        <v>6.0614809158554496E-4</v>
      </c>
    </row>
    <row r="7" spans="1:29" x14ac:dyDescent="0.25">
      <c r="A7">
        <v>1952</v>
      </c>
      <c r="B7" s="1">
        <v>6.9574943680335496E-2</v>
      </c>
      <c r="C7" s="1">
        <v>2.0499179319680899E-2</v>
      </c>
      <c r="D7" s="1">
        <v>1.9157863828848098E-2</v>
      </c>
      <c r="E7" s="1">
        <v>2.1679506316214001E-2</v>
      </c>
      <c r="F7" s="1">
        <v>5.92791182603516E-2</v>
      </c>
      <c r="G7" s="1">
        <v>6.2030421419073903E-2</v>
      </c>
      <c r="H7" s="1">
        <v>6.8520232430030303E-2</v>
      </c>
      <c r="I7" s="1">
        <v>3.89360500709744E-2</v>
      </c>
      <c r="J7" s="1">
        <v>0.55168080838120603</v>
      </c>
      <c r="K7" s="1">
        <v>0.54496572584443304</v>
      </c>
      <c r="L7" s="1">
        <v>2.0849504579623899E-2</v>
      </c>
      <c r="M7" s="1">
        <v>7.3019853143104496E-3</v>
      </c>
      <c r="N7" s="1">
        <v>3.0249999999999999E-2</v>
      </c>
      <c r="O7" s="1">
        <v>4.3577426726637301E-2</v>
      </c>
      <c r="P7" s="1">
        <v>0.83498349834983498</v>
      </c>
      <c r="Q7" s="1">
        <v>1.03625647790953</v>
      </c>
      <c r="R7" s="1">
        <v>2.5258250825082498E-2</v>
      </c>
      <c r="S7" s="1">
        <v>4.6778135992339299E-2</v>
      </c>
      <c r="T7" s="2">
        <f t="shared" si="0"/>
        <v>-7.8680203092450066E-2</v>
      </c>
      <c r="U7" s="2">
        <f t="shared" si="1"/>
        <v>-0.12758620689655165</v>
      </c>
      <c r="V7" s="1">
        <v>-8.0831672818737002E-2</v>
      </c>
      <c r="W7" s="1">
        <v>2.3125132017865702E-2</v>
      </c>
      <c r="X7" s="1">
        <v>3.8439904524063102E-2</v>
      </c>
      <c r="Y7" s="1">
        <v>0.22005266973028101</v>
      </c>
      <c r="Z7" s="1">
        <v>4.9673973813470301E-2</v>
      </c>
      <c r="AA7" s="1">
        <v>2.8958166489648701E-2</v>
      </c>
      <c r="AB7" s="1">
        <v>7.4584020925326797E-3</v>
      </c>
      <c r="AC7" s="1">
        <v>4.2664895948773998E-4</v>
      </c>
    </row>
    <row r="8" spans="1:29" x14ac:dyDescent="0.25">
      <c r="A8">
        <v>1953</v>
      </c>
      <c r="B8" s="1">
        <v>1.70383373401609E-2</v>
      </c>
      <c r="C8" s="1">
        <v>2.0715807323821799E-2</v>
      </c>
      <c r="D8" s="1">
        <v>2.4900137832779799E-2</v>
      </c>
      <c r="E8" s="1">
        <v>2.23108794045517E-2</v>
      </c>
      <c r="F8" s="1">
        <v>5.5680539932508301E-2</v>
      </c>
      <c r="G8" s="1">
        <v>6.0665776256826502E-2</v>
      </c>
      <c r="H8" s="1">
        <v>4.0550262313599303E-2</v>
      </c>
      <c r="I8" s="1">
        <v>3.8287150500301202E-2</v>
      </c>
      <c r="J8" s="1">
        <v>0.56010401085317796</v>
      </c>
      <c r="K8" s="1">
        <v>0.54782612144613896</v>
      </c>
      <c r="L8" s="1">
        <v>1.51528668068629E-2</v>
      </c>
      <c r="M8" s="1">
        <v>6.0247541355892701E-3</v>
      </c>
      <c r="N8" s="1">
        <v>2.9250000000000002E-2</v>
      </c>
      <c r="O8" s="1">
        <v>4.4358425374300799E-2</v>
      </c>
      <c r="P8" s="1">
        <v>0.79372937293729295</v>
      </c>
      <c r="Q8" s="1">
        <v>1.0732609309155901</v>
      </c>
      <c r="R8" s="1">
        <v>2.32165841584158E-2</v>
      </c>
      <c r="S8" s="1">
        <v>4.9510065423124999E-2</v>
      </c>
      <c r="T8" s="2">
        <f t="shared" si="0"/>
        <v>-3.3057851239669339E-2</v>
      </c>
      <c r="U8" s="2">
        <f t="shared" si="1"/>
        <v>-4.9407114624506858E-2</v>
      </c>
      <c r="V8" s="1">
        <v>1.8158543158962701</v>
      </c>
      <c r="W8" s="1">
        <v>2.5953225931939099E-2</v>
      </c>
      <c r="X8" s="1">
        <v>3.7996242312162302E-2</v>
      </c>
      <c r="Y8" s="1">
        <v>0.22124651867551301</v>
      </c>
      <c r="Z8" s="1">
        <v>4.8945649124285999E-2</v>
      </c>
      <c r="AA8" s="1">
        <v>2.8323939501736398E-2</v>
      </c>
      <c r="AB8" s="1">
        <v>6.3562274815369404E-3</v>
      </c>
      <c r="AC8" s="1">
        <v>2.13753361128388E-4</v>
      </c>
    </row>
    <row r="9" spans="1:29" x14ac:dyDescent="0.25">
      <c r="A9">
        <v>1954</v>
      </c>
      <c r="B9" s="1">
        <v>1.1941925721359299E-2</v>
      </c>
      <c r="C9" s="1">
        <v>2.0621709622549798E-2</v>
      </c>
      <c r="D9" s="1">
        <v>2.9757965462765299E-2</v>
      </c>
      <c r="E9" s="1">
        <v>2.2842027371746398E-2</v>
      </c>
      <c r="F9" s="1">
        <v>4.7948854555141399E-3</v>
      </c>
      <c r="G9" s="1">
        <v>5.9096179131838802E-2</v>
      </c>
      <c r="H9" s="1">
        <v>4.2243694791299503E-2</v>
      </c>
      <c r="I9" s="1">
        <v>3.73043131605044E-2</v>
      </c>
      <c r="J9" s="1">
        <v>0.55468881938213099</v>
      </c>
      <c r="K9" s="1">
        <v>0.55023874106621495</v>
      </c>
      <c r="L9" s="1">
        <v>-9.7152294438115298E-3</v>
      </c>
      <c r="M9" s="1">
        <v>4.7623278735352999E-3</v>
      </c>
      <c r="N9" s="1">
        <v>5.5916666667499899E-2</v>
      </c>
      <c r="O9" s="1">
        <v>4.54989232476413E-2</v>
      </c>
      <c r="P9" s="1">
        <v>1.1691419141914099</v>
      </c>
      <c r="Q9" s="1">
        <v>1.1136305248938501</v>
      </c>
      <c r="R9" s="1">
        <v>6.53745187028444E-2</v>
      </c>
      <c r="S9" s="1">
        <v>5.2755585532097998E-2</v>
      </c>
      <c r="T9" s="2">
        <f t="shared" si="0"/>
        <v>0.91168091170939813</v>
      </c>
      <c r="U9" s="2">
        <f t="shared" si="1"/>
        <v>0.47297297297296276</v>
      </c>
      <c r="V9" s="1">
        <v>-0.14192049495144299</v>
      </c>
      <c r="W9" s="1">
        <v>2.9812334139857E-2</v>
      </c>
      <c r="X9" s="1">
        <v>3.8347563489430803E-2</v>
      </c>
      <c r="Y9" s="1">
        <v>0.22204359137926499</v>
      </c>
      <c r="Z9" s="1">
        <v>4.7976887282354899E-2</v>
      </c>
      <c r="AA9" s="1">
        <v>2.7603206338331202E-2</v>
      </c>
      <c r="AB9" s="1">
        <v>5.2601257295281801E-3</v>
      </c>
      <c r="AC9" s="1">
        <v>-2.4345458732533101E-5</v>
      </c>
    </row>
    <row r="10" spans="1:29" x14ac:dyDescent="0.25">
      <c r="A10">
        <v>1955</v>
      </c>
      <c r="B10" s="1">
        <v>9.1088763734207007E-3</v>
      </c>
      <c r="C10" s="1">
        <v>2.0373680944023701E-2</v>
      </c>
      <c r="D10" s="1">
        <v>4.94350693831066E-2</v>
      </c>
      <c r="E10" s="1">
        <v>2.3166574751023499E-2</v>
      </c>
      <c r="F10" s="1">
        <v>9.3054082714740194E-2</v>
      </c>
      <c r="G10" s="1">
        <v>5.7725219776522098E-2</v>
      </c>
      <c r="H10" s="1">
        <v>-4.3254497665266402E-3</v>
      </c>
      <c r="I10" s="1">
        <v>3.62531058102189E-2</v>
      </c>
      <c r="J10" s="1">
        <v>0.54742254381872502</v>
      </c>
      <c r="K10" s="1">
        <v>0.55225126628520205</v>
      </c>
      <c r="L10" s="1">
        <v>-1.3186291500145299E-2</v>
      </c>
      <c r="M10" s="1">
        <v>3.7173647697972198E-3</v>
      </c>
      <c r="N10" s="1">
        <v>4.3666666664999999E-2</v>
      </c>
      <c r="O10" s="1">
        <v>4.6822080245665497E-2</v>
      </c>
      <c r="P10" s="1">
        <v>1.28465346534653</v>
      </c>
      <c r="Q10" s="1">
        <v>1.15435279289051</v>
      </c>
      <c r="R10" s="1">
        <v>5.6096534651324297E-2</v>
      </c>
      <c r="S10" s="1">
        <v>5.6218913135293203E-2</v>
      </c>
      <c r="T10" s="2">
        <f t="shared" si="0"/>
        <v>-0.21907600600269495</v>
      </c>
      <c r="U10" s="2">
        <f t="shared" si="1"/>
        <v>9.8800282286525556E-2</v>
      </c>
      <c r="V10" s="1">
        <v>-0.17790010150545199</v>
      </c>
      <c r="W10" s="1">
        <v>3.0688267417444001E-2</v>
      </c>
      <c r="X10" s="1">
        <v>3.6519992042801298E-2</v>
      </c>
      <c r="Y10" s="1">
        <v>0.21207975127367701</v>
      </c>
      <c r="Z10" s="1">
        <v>4.6930651802392198E-2</v>
      </c>
      <c r="AA10" s="1">
        <v>2.6888933625001801E-2</v>
      </c>
      <c r="AB10" s="1">
        <v>4.2909084861807098E-3</v>
      </c>
      <c r="AC10" s="1">
        <v>-2.6272528028292702E-4</v>
      </c>
    </row>
    <row r="11" spans="1:29" x14ac:dyDescent="0.25">
      <c r="A11">
        <v>1956</v>
      </c>
      <c r="B11" s="1">
        <v>1.6949043464887799E-2</v>
      </c>
      <c r="C11" s="1">
        <v>2.0041718177390401E-2</v>
      </c>
      <c r="D11" s="1">
        <v>5.43755317916808E-3</v>
      </c>
      <c r="E11" s="1">
        <v>2.32473054565186E-2</v>
      </c>
      <c r="F11" s="1">
        <v>6.5243754547659405E-2</v>
      </c>
      <c r="G11" s="1">
        <v>5.6413474986524603E-2</v>
      </c>
      <c r="H11" s="1">
        <v>7.2026645488663998E-2</v>
      </c>
      <c r="I11" s="1">
        <v>3.5448490024387297E-2</v>
      </c>
      <c r="J11" s="1">
        <v>0.55675319043632099</v>
      </c>
      <c r="K11" s="1">
        <v>0.55395587946680203</v>
      </c>
      <c r="L11" s="1">
        <v>1.69010573806701E-2</v>
      </c>
      <c r="M11" s="1">
        <v>2.9477474928502599E-3</v>
      </c>
      <c r="N11" s="1">
        <v>4.1249999997500002E-2</v>
      </c>
      <c r="O11" s="1">
        <v>4.8255233701578699E-2</v>
      </c>
      <c r="P11" s="1">
        <v>1.1179867986798599</v>
      </c>
      <c r="Q11" s="1">
        <v>1.1929703818447599</v>
      </c>
      <c r="R11" s="1">
        <v>4.6116955442749602E-2</v>
      </c>
      <c r="S11" s="1">
        <v>5.9730454380452998E-2</v>
      </c>
      <c r="T11" s="2">
        <f t="shared" si="0"/>
        <v>-5.5343511471577941E-2</v>
      </c>
      <c r="U11" s="2">
        <f t="shared" si="1"/>
        <v>-0.12973667308927736</v>
      </c>
      <c r="V11" s="1">
        <v>-3.5276752765147697E-2</v>
      </c>
      <c r="W11" s="1">
        <v>3.07485423343332E-2</v>
      </c>
      <c r="X11" s="1">
        <v>3.3029004214562403E-2</v>
      </c>
      <c r="Y11" s="1">
        <v>0.19692896903606</v>
      </c>
      <c r="Z11" s="1">
        <v>4.5783284217465602E-2</v>
      </c>
      <c r="AA11" s="1">
        <v>2.62001140513748E-2</v>
      </c>
      <c r="AB11" s="1">
        <v>3.47313528878306E-3</v>
      </c>
      <c r="AC11" s="1">
        <v>-4.8982506860850705E-4</v>
      </c>
    </row>
    <row r="12" spans="1:29" x14ac:dyDescent="0.25">
      <c r="A12">
        <v>1957</v>
      </c>
      <c r="B12" s="1">
        <v>3.37007403974455E-2</v>
      </c>
      <c r="C12" s="1">
        <v>1.9583170166090701E-2</v>
      </c>
      <c r="D12" s="1">
        <v>8.3616015737286598E-3</v>
      </c>
      <c r="E12" s="1">
        <v>2.33096883486879E-2</v>
      </c>
      <c r="F12" s="1">
        <v>4.9863387978142097E-2</v>
      </c>
      <c r="G12" s="1">
        <v>5.5374810186876698E-2</v>
      </c>
      <c r="H12" s="1">
        <v>2.9502910085021001E-2</v>
      </c>
      <c r="I12" s="1">
        <v>3.4799641822185E-2</v>
      </c>
      <c r="J12" s="1">
        <v>0.55860416058642004</v>
      </c>
      <c r="K12" s="1">
        <v>0.55539647575005002</v>
      </c>
      <c r="L12" s="1">
        <v>3.31906513660784E-3</v>
      </c>
      <c r="M12" s="1">
        <v>2.34232214847022E-3</v>
      </c>
      <c r="N12" s="1">
        <v>4.2999999997500003E-2</v>
      </c>
      <c r="O12" s="1">
        <v>4.9694166812779397E-2</v>
      </c>
      <c r="P12" s="1">
        <v>1.03465346534653</v>
      </c>
      <c r="Q12" s="1">
        <v>1.2283289454203601</v>
      </c>
      <c r="R12" s="1">
        <v>4.4490099007314397E-2</v>
      </c>
      <c r="S12" s="1">
        <v>6.3119391630480096E-2</v>
      </c>
      <c r="T12" s="2">
        <f t="shared" si="0"/>
        <v>4.2424242426813627E-2</v>
      </c>
      <c r="U12" s="2">
        <f t="shared" si="1"/>
        <v>-7.4538745387451366E-2</v>
      </c>
      <c r="V12" s="1">
        <v>1.12779106873016</v>
      </c>
      <c r="W12" s="1">
        <v>2.93810182589462E-2</v>
      </c>
      <c r="X12" s="1">
        <v>2.8967065648007499E-2</v>
      </c>
      <c r="Y12" s="1">
        <v>0.17862521288147501</v>
      </c>
      <c r="Z12" s="1">
        <v>4.4579492976895799E-2</v>
      </c>
      <c r="AA12" s="1">
        <v>2.56550339704552E-2</v>
      </c>
      <c r="AB12" s="1">
        <v>2.80818667463997E-3</v>
      </c>
      <c r="AC12" s="1">
        <v>-6.9662975733186805E-4</v>
      </c>
    </row>
    <row r="13" spans="1:29" x14ac:dyDescent="0.25">
      <c r="A13">
        <v>1958</v>
      </c>
      <c r="B13" s="1">
        <v>3.2714670169126998E-2</v>
      </c>
      <c r="C13" s="1">
        <v>1.8924459006440499E-2</v>
      </c>
      <c r="D13" s="1">
        <v>2.1741829538440598E-2</v>
      </c>
      <c r="E13" s="1">
        <v>2.34010947652144E-2</v>
      </c>
      <c r="F13" s="1">
        <v>1.1060507482107899E-2</v>
      </c>
      <c r="G13" s="1">
        <v>5.4911393598220302E-2</v>
      </c>
      <c r="H13" s="1">
        <v>1.5945378848211698E-2</v>
      </c>
      <c r="I13" s="1">
        <v>3.4581518777429897E-2</v>
      </c>
      <c r="J13" s="1">
        <v>0.55694260922540095</v>
      </c>
      <c r="K13" s="1">
        <v>0.55664492338367899</v>
      </c>
      <c r="L13" s="1">
        <v>-2.9789026057557202E-3</v>
      </c>
      <c r="M13" s="1">
        <v>1.92946794131111E-3</v>
      </c>
      <c r="N13" s="1">
        <v>6.8416666667500001E-2</v>
      </c>
      <c r="O13" s="1">
        <v>5.09646104396256E-2</v>
      </c>
      <c r="P13" s="1">
        <v>1.38366336633663</v>
      </c>
      <c r="Q13" s="1">
        <v>1.2585243014493901</v>
      </c>
      <c r="R13" s="1">
        <v>9.4665635314684402E-2</v>
      </c>
      <c r="S13" s="1">
        <v>6.6078772258900201E-2</v>
      </c>
      <c r="T13" s="2">
        <f t="shared" si="0"/>
        <v>0.59108527142971412</v>
      </c>
      <c r="U13" s="2">
        <f t="shared" si="1"/>
        <v>0.33732057416268185</v>
      </c>
      <c r="V13" s="1">
        <v>-0.18108506796018101</v>
      </c>
      <c r="W13" s="1">
        <v>2.5096729918613399E-2</v>
      </c>
      <c r="X13" s="1">
        <v>2.3706757559082501E-2</v>
      </c>
      <c r="Y13" s="1">
        <v>0.15545416031956699</v>
      </c>
      <c r="Z13" s="1">
        <v>4.3465245832342701E-2</v>
      </c>
      <c r="AA13" s="1">
        <v>2.5332063335273301E-2</v>
      </c>
      <c r="AB13" s="1">
        <v>2.3081673666485798E-3</v>
      </c>
      <c r="AC13" s="1">
        <v>-8.6830211813859704E-4</v>
      </c>
    </row>
    <row r="14" spans="1:29" x14ac:dyDescent="0.25">
      <c r="A14">
        <v>1959</v>
      </c>
      <c r="B14" s="1">
        <v>2.2185971297320799E-2</v>
      </c>
      <c r="C14" s="1">
        <v>1.8133182497069099E-2</v>
      </c>
      <c r="D14" s="1">
        <v>4.0049305432159198E-2</v>
      </c>
      <c r="E14" s="1">
        <v>2.3419415176031199E-2</v>
      </c>
      <c r="F14" s="1">
        <v>8.55855855855856E-2</v>
      </c>
      <c r="G14" s="1">
        <v>5.5270279219109597E-2</v>
      </c>
      <c r="H14" s="1">
        <v>-1.11861839083238E-2</v>
      </c>
      <c r="I14" s="1">
        <v>3.5016111146568697E-2</v>
      </c>
      <c r="J14" s="1">
        <v>0.55531634702890098</v>
      </c>
      <c r="K14" s="1">
        <v>0.55780516746478304</v>
      </c>
      <c r="L14" s="1">
        <v>-2.9242531089307398E-3</v>
      </c>
      <c r="M14" s="1">
        <v>1.7473315059083E-3</v>
      </c>
      <c r="N14" s="1">
        <v>5.4499999999999903E-2</v>
      </c>
      <c r="O14" s="1">
        <v>5.1825353774322298E-2</v>
      </c>
      <c r="P14" s="1">
        <v>1.42244224422442</v>
      </c>
      <c r="Q14" s="1">
        <v>1.27971551296324</v>
      </c>
      <c r="R14" s="1">
        <v>7.7523102310231004E-2</v>
      </c>
      <c r="S14" s="1">
        <v>6.8115350713007297E-2</v>
      </c>
      <c r="T14" s="2">
        <f t="shared" si="0"/>
        <v>-0.20341047504015478</v>
      </c>
      <c r="U14" s="2">
        <f t="shared" si="1"/>
        <v>2.8026237328563866E-2</v>
      </c>
      <c r="V14" s="1">
        <v>-9.4653107444017406E-2</v>
      </c>
      <c r="W14" s="1">
        <v>1.6528391887228999E-2</v>
      </c>
      <c r="X14" s="1">
        <v>1.5556360386044099E-2</v>
      </c>
      <c r="Y14" s="1">
        <v>0.12356246920351301</v>
      </c>
      <c r="Z14" s="1">
        <v>4.2582715541721501E-2</v>
      </c>
      <c r="AA14" s="1">
        <v>2.5167874993488298E-2</v>
      </c>
      <c r="AB14" s="1">
        <v>2.00077788260329E-3</v>
      </c>
      <c r="AC14" s="1">
        <v>-9.8201759293292602E-4</v>
      </c>
    </row>
    <row r="15" spans="1:29" x14ac:dyDescent="0.25">
      <c r="A15">
        <v>1960</v>
      </c>
      <c r="B15" s="1">
        <v>1.1837700572965199E-2</v>
      </c>
      <c r="C15" s="1">
        <v>1.7414840548232901E-2</v>
      </c>
      <c r="D15" s="1">
        <v>9.3627048599812402E-3</v>
      </c>
      <c r="E15" s="1">
        <v>2.3245947398804E-2</v>
      </c>
      <c r="F15" s="1">
        <v>4.2086544161232801E-2</v>
      </c>
      <c r="G15" s="1">
        <v>5.6260012186938102E-2</v>
      </c>
      <c r="H15" s="1">
        <v>7.0281851045410196E-2</v>
      </c>
      <c r="I15" s="1">
        <v>3.6139047786755397E-2</v>
      </c>
      <c r="J15" s="1">
        <v>0.56231190751193005</v>
      </c>
      <c r="K15" s="1">
        <v>0.55898412994887403</v>
      </c>
      <c r="L15" s="1">
        <v>1.25187455055784E-2</v>
      </c>
      <c r="M15" s="1">
        <v>1.7849757713264999E-3</v>
      </c>
      <c r="N15" s="1">
        <v>5.5416666665000003E-2</v>
      </c>
      <c r="O15" s="1">
        <v>5.2209706571353098E-2</v>
      </c>
      <c r="P15" s="1">
        <v>1.2665016501650099</v>
      </c>
      <c r="Q15" s="1">
        <v>1.2893130336421199</v>
      </c>
      <c r="R15" s="1">
        <v>7.0185299777867097E-2</v>
      </c>
      <c r="S15" s="1">
        <v>6.9021750070653198E-2</v>
      </c>
      <c r="T15" s="2">
        <f t="shared" si="0"/>
        <v>1.6819571834864253E-2</v>
      </c>
      <c r="U15" s="2">
        <f t="shared" si="1"/>
        <v>-0.10962877030162722</v>
      </c>
      <c r="V15" s="1">
        <v>0.47734221553636702</v>
      </c>
      <c r="W15" s="1">
        <v>6.7019148799131699E-3</v>
      </c>
      <c r="X15" s="1">
        <v>5.4937673978612302E-3</v>
      </c>
      <c r="Y15" s="1">
        <v>8.8820166470598594E-2</v>
      </c>
      <c r="Z15" s="1">
        <v>4.2046042447433797E-2</v>
      </c>
      <c r="AA15" s="1">
        <v>2.5030581489242899E-2</v>
      </c>
      <c r="AB15" s="1">
        <v>1.8725225763898299E-3</v>
      </c>
      <c r="AC15" s="1">
        <v>-1.03153460501137E-3</v>
      </c>
    </row>
    <row r="16" spans="1:29" x14ac:dyDescent="0.25">
      <c r="A16">
        <v>1961</v>
      </c>
      <c r="B16" s="1">
        <v>1.39045170336041E-2</v>
      </c>
      <c r="C16" s="1">
        <v>1.7015460958190402E-2</v>
      </c>
      <c r="D16" s="1">
        <v>2.40144464586627E-2</v>
      </c>
      <c r="E16" s="1">
        <v>2.2928288153759399E-2</v>
      </c>
      <c r="F16" s="1">
        <v>3.3940083428137903E-2</v>
      </c>
      <c r="G16" s="1">
        <v>5.7992290702763599E-2</v>
      </c>
      <c r="H16" s="1">
        <v>2.7320478665549899E-2</v>
      </c>
      <c r="I16" s="1">
        <v>3.7523934604595598E-2</v>
      </c>
      <c r="J16" s="1">
        <v>0.56008053598901597</v>
      </c>
      <c r="K16" s="1">
        <v>0.56026384458710698</v>
      </c>
      <c r="L16" s="1">
        <v>-3.9761038584220599E-3</v>
      </c>
      <c r="M16" s="1">
        <v>1.9847478204820402E-3</v>
      </c>
      <c r="N16" s="1">
        <v>6.6916666667499999E-2</v>
      </c>
      <c r="O16" s="1">
        <v>5.2077725047458702E-2</v>
      </c>
      <c r="P16" s="1">
        <v>1.54950495049505</v>
      </c>
      <c r="Q16" s="1">
        <v>1.28615458447888</v>
      </c>
      <c r="R16" s="1">
        <v>0.10368770627191801</v>
      </c>
      <c r="S16" s="1">
        <v>6.8684670925662106E-2</v>
      </c>
      <c r="T16" s="2">
        <f t="shared" si="0"/>
        <v>0.20751879704383508</v>
      </c>
      <c r="U16" s="2">
        <f t="shared" si="1"/>
        <v>0.22345276872964842</v>
      </c>
      <c r="V16" s="1">
        <v>-0.22038893025611</v>
      </c>
      <c r="W16" s="1">
        <v>-3.7962318871606602E-3</v>
      </c>
      <c r="X16" s="1">
        <v>-5.3822848463531197E-3</v>
      </c>
      <c r="Y16" s="1">
        <v>5.4050803686471201E-2</v>
      </c>
      <c r="Z16" s="1">
        <v>4.2036899212422402E-2</v>
      </c>
      <c r="AA16" s="1">
        <v>2.4911599086974E-2</v>
      </c>
      <c r="AB16" s="1">
        <v>1.9196346891889101E-3</v>
      </c>
      <c r="AC16" s="1">
        <v>-1.01319646272735E-3</v>
      </c>
    </row>
    <row r="17" spans="1:29" x14ac:dyDescent="0.25">
      <c r="A17">
        <v>1962</v>
      </c>
      <c r="B17" s="1">
        <v>1.11667337260252E-2</v>
      </c>
      <c r="C17" s="1">
        <v>1.7125300125447902E-2</v>
      </c>
      <c r="D17" s="1">
        <v>3.00657052980416E-2</v>
      </c>
      <c r="E17" s="1">
        <v>2.2375201735736101E-2</v>
      </c>
      <c r="F17" s="1">
        <v>7.3354116999816601E-2</v>
      </c>
      <c r="G17" s="1">
        <v>6.0437078287387397E-2</v>
      </c>
      <c r="H17" s="1">
        <v>2.2210094286804202E-2</v>
      </c>
      <c r="I17" s="1">
        <v>3.9085805539280899E-2</v>
      </c>
      <c r="J17" s="1">
        <v>0.55902420567348399</v>
      </c>
      <c r="K17" s="1">
        <v>0.56175962290626402</v>
      </c>
      <c r="L17" s="1">
        <v>-1.88781369593427E-3</v>
      </c>
      <c r="M17" s="1">
        <v>2.3963324336337601E-3</v>
      </c>
      <c r="N17" s="1">
        <v>5.5666666664999899E-2</v>
      </c>
      <c r="O17" s="1">
        <v>5.1421535020316197E-2</v>
      </c>
      <c r="P17" s="1">
        <v>1.45214521452145</v>
      </c>
      <c r="Q17" s="1">
        <v>1.2688497726315999</v>
      </c>
      <c r="R17" s="1">
        <v>8.0836083605940495E-2</v>
      </c>
      <c r="S17" s="1">
        <v>6.7002449368930295E-2</v>
      </c>
      <c r="T17" s="2">
        <f t="shared" si="0"/>
        <v>-0.16811955171646328</v>
      </c>
      <c r="U17" s="2">
        <f t="shared" si="1"/>
        <v>-6.283280085197189E-2</v>
      </c>
      <c r="V17" s="1">
        <v>-3.2593903059630697E-2</v>
      </c>
      <c r="W17" s="1">
        <v>-1.4279801454932101E-2</v>
      </c>
      <c r="X17" s="1">
        <v>-1.7189165373488E-2</v>
      </c>
      <c r="Y17" s="1">
        <v>2.0243199677632301E-2</v>
      </c>
      <c r="Z17" s="1">
        <v>4.26736598515709E-2</v>
      </c>
      <c r="AA17" s="1">
        <v>2.4770154842304801E-2</v>
      </c>
      <c r="AB17" s="1">
        <v>2.1653260492228701E-3</v>
      </c>
      <c r="AC17" s="1">
        <v>-9.2030677294396802E-4</v>
      </c>
    </row>
    <row r="18" spans="1:29" x14ac:dyDescent="0.25">
      <c r="A18">
        <v>1963</v>
      </c>
      <c r="B18" s="1">
        <v>1.35625710145892E-2</v>
      </c>
      <c r="C18" s="1">
        <v>1.7903505009265502E-2</v>
      </c>
      <c r="D18" s="1">
        <v>2.9819124171358201E-2</v>
      </c>
      <c r="E18" s="1">
        <v>2.1506314022621702E-2</v>
      </c>
      <c r="F18" s="1">
        <v>5.68939005638135E-2</v>
      </c>
      <c r="G18" s="1">
        <v>6.3323816388864002E-2</v>
      </c>
      <c r="H18" s="1">
        <v>5.7225863350569998E-2</v>
      </c>
      <c r="I18" s="1">
        <v>4.0637659970612999E-2</v>
      </c>
      <c r="J18" s="1">
        <v>0.55822721737933201</v>
      </c>
      <c r="K18" s="1">
        <v>0.56358494334715004</v>
      </c>
      <c r="L18" s="1">
        <v>-1.4266948564906001E-3</v>
      </c>
      <c r="M18" s="1">
        <v>3.0098058742514399E-3</v>
      </c>
      <c r="N18" s="1">
        <v>5.6416666667499997E-2</v>
      </c>
      <c r="O18" s="1">
        <v>5.03816517238031E-2</v>
      </c>
      <c r="P18" s="1">
        <v>1.38613861386138</v>
      </c>
      <c r="Q18" s="1">
        <v>1.23864170891852</v>
      </c>
      <c r="R18" s="1">
        <v>7.8201320133168301E-2</v>
      </c>
      <c r="S18" s="1">
        <v>6.4223451844816606E-2</v>
      </c>
      <c r="T18" s="2">
        <f t="shared" si="0"/>
        <v>1.3473053937530918E-2</v>
      </c>
      <c r="U18" s="2">
        <f t="shared" si="1"/>
        <v>-4.5454545454548211E-2</v>
      </c>
      <c r="V18" s="1">
        <v>-0.13193272137466</v>
      </c>
      <c r="W18" s="1">
        <v>-2.2138907812135001E-2</v>
      </c>
      <c r="X18" s="1">
        <v>-2.7973650364499801E-2</v>
      </c>
      <c r="Y18" s="1">
        <v>-7.3809126109174701E-3</v>
      </c>
      <c r="Z18" s="1">
        <v>4.39647525401273E-2</v>
      </c>
      <c r="AA18" s="1">
        <v>2.45151156352174E-2</v>
      </c>
      <c r="AB18" s="1">
        <v>2.6136584821166201E-3</v>
      </c>
      <c r="AC18" s="1">
        <v>-7.6160261336388703E-4</v>
      </c>
    </row>
    <row r="19" spans="1:29" x14ac:dyDescent="0.25">
      <c r="A19">
        <v>1964</v>
      </c>
      <c r="B19" s="1">
        <v>1.0584316334242399E-2</v>
      </c>
      <c r="C19" s="1">
        <v>1.94496369049093E-2</v>
      </c>
      <c r="D19" s="1">
        <v>3.1931502363266397E-2</v>
      </c>
      <c r="E19" s="1">
        <v>2.0318155927926899E-2</v>
      </c>
      <c r="F19" s="1">
        <v>7.1613320400905095E-2</v>
      </c>
      <c r="G19" s="1">
        <v>6.6511116842372695E-2</v>
      </c>
      <c r="H19" s="1">
        <v>4.4750007619551599E-2</v>
      </c>
      <c r="I19" s="1">
        <v>4.18237401658684E-2</v>
      </c>
      <c r="J19" s="1">
        <v>0.55920304263951104</v>
      </c>
      <c r="K19" s="1">
        <v>0.56582593017823901</v>
      </c>
      <c r="L19" s="1">
        <v>1.7465528599895899E-3</v>
      </c>
      <c r="M19" s="1">
        <v>3.7724029445092202E-3</v>
      </c>
      <c r="N19" s="1">
        <v>5.1583333334999898E-2</v>
      </c>
      <c r="O19" s="1">
        <v>4.9141041708243502E-2</v>
      </c>
      <c r="P19" s="1">
        <v>1.3160066006600599</v>
      </c>
      <c r="Q19" s="1">
        <v>1.19860645857676</v>
      </c>
      <c r="R19" s="1">
        <v>6.7884007152908293E-2</v>
      </c>
      <c r="S19" s="1">
        <v>6.0734381140049802E-2</v>
      </c>
      <c r="T19" s="2">
        <f t="shared" si="0"/>
        <v>-8.5672082701838209E-2</v>
      </c>
      <c r="U19" s="2">
        <f t="shared" si="1"/>
        <v>-5.0595238095238311E-2</v>
      </c>
      <c r="V19" s="1">
        <v>-0.22464182800293001</v>
      </c>
      <c r="W19" s="1">
        <v>-2.6461532337478898E-2</v>
      </c>
      <c r="X19" s="1">
        <v>-3.6259560063970298E-2</v>
      </c>
      <c r="Y19" s="1">
        <v>-2.60061215335151E-2</v>
      </c>
      <c r="Z19" s="1">
        <v>4.59097593959472E-2</v>
      </c>
      <c r="AA19" s="1">
        <v>2.4089911628248199E-2</v>
      </c>
      <c r="AB19" s="1">
        <v>3.26467172099161E-3</v>
      </c>
      <c r="AC19" s="1">
        <v>-5.5229112408694504E-4</v>
      </c>
    </row>
    <row r="20" spans="1:29" x14ac:dyDescent="0.25">
      <c r="A20">
        <v>1965</v>
      </c>
      <c r="B20" s="1">
        <v>1.5388482045105199E-2</v>
      </c>
      <c r="C20" s="1">
        <v>2.1819847767698401E-2</v>
      </c>
      <c r="D20" s="1">
        <v>2.1782594068495201E-2</v>
      </c>
      <c r="E20" s="1">
        <v>1.8890386466649801E-2</v>
      </c>
      <c r="F20" s="1">
        <v>8.2516216623925207E-2</v>
      </c>
      <c r="G20" s="1">
        <v>6.9793292324841799E-2</v>
      </c>
      <c r="H20" s="1">
        <v>5.3776806951271398E-2</v>
      </c>
      <c r="I20" s="1">
        <v>4.24541704261234E-2</v>
      </c>
      <c r="J20" s="1">
        <v>0.55665346060330001</v>
      </c>
      <c r="K20" s="1">
        <v>0.56851513040832902</v>
      </c>
      <c r="L20" s="1">
        <v>-4.5697389684201603E-3</v>
      </c>
      <c r="M20" s="1">
        <v>4.5869934392737902E-3</v>
      </c>
      <c r="N20" s="1">
        <v>4.5083333335000003E-2</v>
      </c>
      <c r="O20" s="1">
        <v>4.79430216733987E-2</v>
      </c>
      <c r="P20" s="1">
        <v>1.1674917491749099</v>
      </c>
      <c r="Q20" s="1">
        <v>1.15329505589291</v>
      </c>
      <c r="R20" s="1">
        <v>5.2634419693914997E-2</v>
      </c>
      <c r="S20" s="1">
        <v>5.70617187242424E-2</v>
      </c>
      <c r="T20" s="2">
        <f t="shared" si="0"/>
        <v>-0.12600969304923862</v>
      </c>
      <c r="U20" s="2">
        <f t="shared" si="1"/>
        <v>-0.11285266457680414</v>
      </c>
      <c r="V20" s="1">
        <v>-0.26297982405107501</v>
      </c>
      <c r="W20" s="1">
        <v>-2.59804363373486E-2</v>
      </c>
      <c r="X20" s="1">
        <v>-4.0756178369184999E-2</v>
      </c>
      <c r="Y20" s="1">
        <v>-3.3069145348984703E-2</v>
      </c>
      <c r="Z20" s="1">
        <v>4.8457726173512197E-2</v>
      </c>
      <c r="AA20" s="1">
        <v>2.34760898262662E-2</v>
      </c>
      <c r="AB20" s="1">
        <v>4.0809900696899904E-3</v>
      </c>
      <c r="AC20" s="1">
        <v>-3.1850432583602201E-4</v>
      </c>
    </row>
    <row r="21" spans="1:29" x14ac:dyDescent="0.25">
      <c r="A21">
        <v>1966</v>
      </c>
      <c r="B21" s="1">
        <v>1.80185055026785E-2</v>
      </c>
      <c r="C21" s="1">
        <v>2.4981636347245501E-2</v>
      </c>
      <c r="D21" s="1">
        <v>3.86991361519824E-3</v>
      </c>
      <c r="E21" s="1">
        <v>1.74187981181416E-2</v>
      </c>
      <c r="F21" s="1">
        <v>8.9046822742474802E-2</v>
      </c>
      <c r="G21" s="1">
        <v>7.3015677548785102E-2</v>
      </c>
      <c r="H21" s="1">
        <v>6.1269655994561897E-2</v>
      </c>
      <c r="I21" s="1">
        <v>4.2368337726991202E-2</v>
      </c>
      <c r="J21" s="1">
        <v>0.56630029785459401</v>
      </c>
      <c r="K21" s="1">
        <v>0.57161886217082802</v>
      </c>
      <c r="L21" s="1">
        <v>1.71816060915468E-2</v>
      </c>
      <c r="M21" s="1">
        <v>5.33618865256664E-3</v>
      </c>
      <c r="N21" s="1">
        <v>3.7916666667499897E-2</v>
      </c>
      <c r="O21" s="1">
        <v>4.70553312352976E-2</v>
      </c>
      <c r="P21" s="1">
        <v>1.0231023102310199</v>
      </c>
      <c r="Q21" s="1">
        <v>1.1084325365743499</v>
      </c>
      <c r="R21" s="1">
        <v>3.8792629263778799E-2</v>
      </c>
      <c r="S21" s="1">
        <v>5.3803442327135298E-2</v>
      </c>
      <c r="T21" s="2">
        <f t="shared" si="0"/>
        <v>-0.15896487986473562</v>
      </c>
      <c r="U21" s="2">
        <f t="shared" si="1"/>
        <v>-0.12367491166077443</v>
      </c>
      <c r="V21" s="1">
        <v>-0.142059553405951</v>
      </c>
      <c r="W21" s="1">
        <v>-2.00594257968554E-2</v>
      </c>
      <c r="X21" s="1">
        <v>-4.0329394148573297E-2</v>
      </c>
      <c r="Y21" s="1">
        <v>-2.7065968314561799E-2</v>
      </c>
      <c r="Z21" s="1">
        <v>5.1589943042261797E-2</v>
      </c>
      <c r="AA21" s="1">
        <v>2.2751755306324398E-2</v>
      </c>
      <c r="AB21" s="1">
        <v>4.9473340485801003E-3</v>
      </c>
      <c r="AC21" s="1">
        <v>-9.8087569504023893E-5</v>
      </c>
    </row>
    <row r="22" spans="1:29" x14ac:dyDescent="0.25">
      <c r="A22">
        <v>1967</v>
      </c>
      <c r="B22" s="1">
        <v>2.7995299756166998E-2</v>
      </c>
      <c r="C22" s="1">
        <v>2.8838187735937101E-2</v>
      </c>
      <c r="D22" s="1">
        <v>-1.2962628876744299E-3</v>
      </c>
      <c r="E22" s="1">
        <v>1.6128105437772398E-2</v>
      </c>
      <c r="F22" s="1">
        <v>5.9373000639795198E-2</v>
      </c>
      <c r="G22" s="1">
        <v>7.6150836469707203E-2</v>
      </c>
      <c r="H22" s="1">
        <v>5.7307539360777697E-2</v>
      </c>
      <c r="I22" s="1">
        <v>4.15188554093361E-2</v>
      </c>
      <c r="J22" s="1">
        <v>0.57383007974823297</v>
      </c>
      <c r="K22" s="1">
        <v>0.57498482690109398</v>
      </c>
      <c r="L22" s="1">
        <v>1.3208825095646999E-2</v>
      </c>
      <c r="M22" s="1">
        <v>5.8110325543323203E-3</v>
      </c>
      <c r="N22" s="1">
        <v>3.8416666664999898E-2</v>
      </c>
      <c r="O22" s="1">
        <v>4.6717113126584699E-2</v>
      </c>
      <c r="P22" s="1">
        <v>0.866336633663366</v>
      </c>
      <c r="Q22" s="1">
        <v>1.0698859032613</v>
      </c>
      <c r="R22" s="1">
        <v>3.3281765675123698E-2</v>
      </c>
      <c r="S22" s="1">
        <v>5.1513256688166198E-2</v>
      </c>
      <c r="T22" s="2">
        <f t="shared" si="0"/>
        <v>1.3186813120589343E-2</v>
      </c>
      <c r="U22" s="2">
        <f t="shared" si="1"/>
        <v>-0.15322580645161063</v>
      </c>
      <c r="V22" s="1">
        <v>-0.109038322469559</v>
      </c>
      <c r="W22" s="1">
        <v>-9.1493622760718592E-3</v>
      </c>
      <c r="X22" s="1">
        <v>-3.4634976538288897E-2</v>
      </c>
      <c r="Y22" s="1">
        <v>-8.4083015140213706E-3</v>
      </c>
      <c r="Z22" s="1">
        <v>5.5156458842301699E-2</v>
      </c>
      <c r="AA22" s="1">
        <v>2.1933403124587501E-2</v>
      </c>
      <c r="AB22" s="1">
        <v>5.6556236241971699E-3</v>
      </c>
      <c r="AC22" s="1">
        <v>6.5011315481644502E-5</v>
      </c>
    </row>
    <row r="23" spans="1:29" x14ac:dyDescent="0.25">
      <c r="A23">
        <v>1968</v>
      </c>
      <c r="B23" s="1">
        <v>3.0313357418805201E-2</v>
      </c>
      <c r="C23" s="1">
        <v>3.3223055717714098E-2</v>
      </c>
      <c r="D23" s="1">
        <v>2.0891276834484999E-2</v>
      </c>
      <c r="E23" s="1">
        <v>1.5107534135882599E-2</v>
      </c>
      <c r="F23" s="1">
        <v>9.3731126947699001E-2</v>
      </c>
      <c r="G23" s="1">
        <v>7.9331644495049605E-2</v>
      </c>
      <c r="H23" s="1">
        <v>2.7363866864423599E-2</v>
      </c>
      <c r="I23" s="1">
        <v>4.00473499966984E-2</v>
      </c>
      <c r="J23" s="1">
        <v>0.578986312816819</v>
      </c>
      <c r="K23" s="1">
        <v>0.57840754039132503</v>
      </c>
      <c r="L23" s="1">
        <v>8.9455137630393092E-3</v>
      </c>
      <c r="M23" s="1">
        <v>5.9210232889051898E-3</v>
      </c>
      <c r="N23" s="1">
        <v>3.5583333332499897E-2</v>
      </c>
      <c r="O23" s="1">
        <v>4.7076123434227103E-2</v>
      </c>
      <c r="P23" s="1">
        <v>0.83333333333333304</v>
      </c>
      <c r="Q23" s="1">
        <v>1.04266885633055</v>
      </c>
      <c r="R23" s="1">
        <v>2.9652777777083299E-2</v>
      </c>
      <c r="S23" s="1">
        <v>5.0594758416139203E-2</v>
      </c>
      <c r="T23" s="2">
        <f t="shared" si="0"/>
        <v>-7.3752711478254115E-2</v>
      </c>
      <c r="U23" s="2">
        <f t="shared" si="1"/>
        <v>-3.8095238095238057E-2</v>
      </c>
      <c r="V23" s="1">
        <v>-7.9942959123603705E-2</v>
      </c>
      <c r="W23" s="1">
        <v>4.76826832379291E-3</v>
      </c>
      <c r="X23" s="1">
        <v>-2.42455822477823E-2</v>
      </c>
      <c r="Y23" s="1">
        <v>2.0133005411496499E-2</v>
      </c>
      <c r="Z23" s="1">
        <v>5.8981573352775797E-2</v>
      </c>
      <c r="AA23" s="1">
        <v>2.1020208156056E-2</v>
      </c>
      <c r="AB23" s="1">
        <v>5.9666816162674803E-3</v>
      </c>
      <c r="AC23" s="1">
        <v>1.32477914567497E-4</v>
      </c>
    </row>
    <row r="24" spans="1:29" x14ac:dyDescent="0.25">
      <c r="A24">
        <v>1969</v>
      </c>
      <c r="B24" s="1">
        <v>4.1614752650412902E-2</v>
      </c>
      <c r="C24" s="1">
        <v>3.79613651967197E-2</v>
      </c>
      <c r="D24" s="1">
        <v>6.2295410659481704E-3</v>
      </c>
      <c r="E24" s="1">
        <v>1.4272066239558E-2</v>
      </c>
      <c r="F24" s="1">
        <v>8.4041965764770798E-2</v>
      </c>
      <c r="G24" s="1">
        <v>8.2523198673954801E-2</v>
      </c>
      <c r="H24" s="1">
        <v>4.79801505282949E-2</v>
      </c>
      <c r="I24" s="1">
        <v>3.8253334852132698E-2</v>
      </c>
      <c r="J24" s="1">
        <v>0.58835410974207203</v>
      </c>
      <c r="K24" s="1">
        <v>0.58166997096218798</v>
      </c>
      <c r="L24" s="1">
        <v>1.60501561405576E-2</v>
      </c>
      <c r="M24" s="1">
        <v>5.64963692603277E-3</v>
      </c>
      <c r="N24" s="1">
        <v>3.4916666667499999E-2</v>
      </c>
      <c r="O24" s="1">
        <v>4.8197113780575597E-2</v>
      </c>
      <c r="P24" s="1">
        <v>0.78135313531353101</v>
      </c>
      <c r="Q24" s="1">
        <v>1.02975960346289</v>
      </c>
      <c r="R24" s="1">
        <v>2.72822469753486E-2</v>
      </c>
      <c r="S24" s="1">
        <v>5.1269229209728102E-2</v>
      </c>
      <c r="T24" s="2">
        <f t="shared" si="0"/>
        <v>-1.8735362951255646E-2</v>
      </c>
      <c r="U24" s="2">
        <f t="shared" si="1"/>
        <v>-6.2376237623762452E-2</v>
      </c>
      <c r="V24" s="1">
        <v>0.56736635980462302</v>
      </c>
      <c r="W24" s="1">
        <v>1.9934479964093799E-2</v>
      </c>
      <c r="X24" s="1">
        <v>-1.1050730375596099E-2</v>
      </c>
      <c r="Y24" s="1">
        <v>5.44505903019325E-2</v>
      </c>
      <c r="Z24" s="1">
        <v>6.27600092707193E-2</v>
      </c>
      <c r="AA24" s="1">
        <v>1.9910865176611101E-2</v>
      </c>
      <c r="AB24" s="1">
        <v>5.7366597379093498E-3</v>
      </c>
      <c r="AC24" s="1">
        <v>8.2817397119905296E-5</v>
      </c>
    </row>
    <row r="25" spans="1:29" x14ac:dyDescent="0.25">
      <c r="A25">
        <v>1970</v>
      </c>
      <c r="B25" s="1">
        <v>4.8204237843172501E-2</v>
      </c>
      <c r="C25" s="1">
        <v>4.2849144094108102E-2</v>
      </c>
      <c r="D25" s="1">
        <v>5.0022451934297399E-3</v>
      </c>
      <c r="E25" s="1">
        <v>1.35945212028708E-2</v>
      </c>
      <c r="F25" s="1">
        <v>5.0733496332518398E-2</v>
      </c>
      <c r="G25" s="1">
        <v>8.5834590880091502E-2</v>
      </c>
      <c r="H25" s="1">
        <v>3.2492378230061097E-2</v>
      </c>
      <c r="I25" s="1">
        <v>3.6309488507371E-2</v>
      </c>
      <c r="J25" s="1">
        <v>0.59839604775913702</v>
      </c>
      <c r="K25" s="1">
        <v>0.58456087465860695</v>
      </c>
      <c r="L25" s="1">
        <v>1.6923827872919999E-2</v>
      </c>
      <c r="M25" s="1">
        <v>5.0105944402038796E-3</v>
      </c>
      <c r="N25" s="1">
        <v>4.9833333334999903E-2</v>
      </c>
      <c r="O25" s="1">
        <v>5.0029907886964001E-2</v>
      </c>
      <c r="P25" s="1">
        <v>0.85808580858085803</v>
      </c>
      <c r="Q25" s="1">
        <v>1.03204299710916</v>
      </c>
      <c r="R25" s="1">
        <v>4.2761276129042798E-2</v>
      </c>
      <c r="S25" s="1">
        <v>5.3548530961215902E-2</v>
      </c>
      <c r="T25" s="2">
        <f t="shared" si="0"/>
        <v>0.4272076372451713</v>
      </c>
      <c r="U25" s="2">
        <f t="shared" si="1"/>
        <v>9.8204857444562185E-2</v>
      </c>
      <c r="V25" s="1">
        <v>0.56365448920539096</v>
      </c>
      <c r="W25" s="1">
        <v>3.3776463625467303E-2</v>
      </c>
      <c r="X25" s="1">
        <v>2.9141174690418799E-3</v>
      </c>
      <c r="Y25" s="1">
        <v>8.9145377718416602E-2</v>
      </c>
      <c r="Z25" s="1">
        <v>6.6311172135051499E-2</v>
      </c>
      <c r="AA25" s="1">
        <v>1.8592217929481101E-2</v>
      </c>
      <c r="AB25" s="1">
        <v>5.0217625680645103E-3</v>
      </c>
      <c r="AC25" s="1">
        <v>-8.0281918757085696E-5</v>
      </c>
    </row>
    <row r="26" spans="1:29" x14ac:dyDescent="0.25">
      <c r="A26">
        <v>1971</v>
      </c>
      <c r="B26" s="1">
        <v>5.1384124641007799E-2</v>
      </c>
      <c r="C26" s="1">
        <v>4.7718954205570402E-2</v>
      </c>
      <c r="D26" s="1">
        <v>3.5234961815240502E-2</v>
      </c>
      <c r="E26" s="1">
        <v>1.29672932281568E-2</v>
      </c>
      <c r="F26" s="1">
        <v>8.1830521621097399E-2</v>
      </c>
      <c r="G26" s="1">
        <v>8.9390100658036806E-2</v>
      </c>
      <c r="H26" s="1">
        <v>-1.8956364208508501E-3</v>
      </c>
      <c r="I26" s="1">
        <v>3.4485757650906598E-2</v>
      </c>
      <c r="J26" s="1">
        <v>0.59053708605708699</v>
      </c>
      <c r="K26" s="1">
        <v>0.58693584891330397</v>
      </c>
      <c r="L26" s="1">
        <v>-1.32203837928484E-2</v>
      </c>
      <c r="M26" s="1">
        <v>4.1216219980526204E-3</v>
      </c>
      <c r="N26" s="1">
        <v>5.9499999997499997E-2</v>
      </c>
      <c r="O26" s="1">
        <v>5.2391525003595202E-2</v>
      </c>
      <c r="P26" s="1">
        <v>1.1237623762376201</v>
      </c>
      <c r="Q26" s="1">
        <v>1.0479198250387101</v>
      </c>
      <c r="R26" s="1">
        <v>6.6863861383329198E-2</v>
      </c>
      <c r="S26" s="1">
        <v>5.72046557405421E-2</v>
      </c>
      <c r="T26" s="2">
        <f t="shared" si="0"/>
        <v>0.1939799330202705</v>
      </c>
      <c r="U26" s="2">
        <f t="shared" si="1"/>
        <v>0.30961538461538041</v>
      </c>
      <c r="V26" s="1">
        <v>-4.2325299301180803E-3</v>
      </c>
      <c r="W26" s="1">
        <v>4.3332934556316899E-2</v>
      </c>
      <c r="X26" s="1">
        <v>1.5079941814168E-2</v>
      </c>
      <c r="Y26" s="1">
        <v>0.117474356727823</v>
      </c>
      <c r="Z26" s="1">
        <v>6.9532414499801201E-2</v>
      </c>
      <c r="AA26" s="1">
        <v>1.7075506235512902E-2</v>
      </c>
      <c r="AB26" s="1">
        <v>4.0462932343824799E-3</v>
      </c>
      <c r="AC26" s="1">
        <v>-3.2788218730761499E-4</v>
      </c>
    </row>
    <row r="27" spans="1:29" x14ac:dyDescent="0.25">
      <c r="A27">
        <v>1972</v>
      </c>
      <c r="B27" s="1">
        <v>4.8754945254523001E-2</v>
      </c>
      <c r="C27" s="1">
        <v>5.2456908264288199E-2</v>
      </c>
      <c r="D27" s="1">
        <v>2.8814724415132598E-2</v>
      </c>
      <c r="E27" s="1">
        <v>1.21968537576575E-2</v>
      </c>
      <c r="F27" s="1">
        <v>0.101362251299516</v>
      </c>
      <c r="G27" s="1">
        <v>9.2962996606892001E-2</v>
      </c>
      <c r="H27" s="1">
        <v>2.98995885400462E-2</v>
      </c>
      <c r="I27" s="1">
        <v>3.3013917868460099E-2</v>
      </c>
      <c r="J27" s="1">
        <v>0.59016080915626501</v>
      </c>
      <c r="K27" s="1">
        <v>0.58878884289000499</v>
      </c>
      <c r="L27" s="1">
        <v>-6.3738051043593603E-4</v>
      </c>
      <c r="M27" s="1">
        <v>3.21957810054026E-3</v>
      </c>
      <c r="N27" s="1">
        <v>5.6000000002500001E-2</v>
      </c>
      <c r="O27" s="1">
        <v>5.5097018635152498E-2</v>
      </c>
      <c r="P27" s="1">
        <v>1.1889438943894299</v>
      </c>
      <c r="Q27" s="1">
        <v>1.0740513031355701</v>
      </c>
      <c r="R27" s="1">
        <v>6.6580858088781003E-2</v>
      </c>
      <c r="S27" s="1">
        <v>6.1901723069324302E-2</v>
      </c>
      <c r="T27" s="2">
        <f t="shared" si="0"/>
        <v>-5.8823529330202601E-2</v>
      </c>
      <c r="U27" s="2">
        <f t="shared" si="1"/>
        <v>5.8002936857557842E-2</v>
      </c>
      <c r="V27" s="1">
        <v>-0.276331334105062</v>
      </c>
      <c r="W27" s="1">
        <v>4.8862041709172098E-2</v>
      </c>
      <c r="X27" s="1">
        <v>2.3785351002621399E-2</v>
      </c>
      <c r="Y27" s="1">
        <v>0.13747672621789001</v>
      </c>
      <c r="Z27" s="1">
        <v>7.2390071344386103E-2</v>
      </c>
      <c r="AA27" s="1">
        <v>1.5404300636588399E-2</v>
      </c>
      <c r="AB27" s="1">
        <v>3.0347438733240202E-3</v>
      </c>
      <c r="AC27" s="1">
        <v>-6.2363494909556405E-4</v>
      </c>
    </row>
    <row r="28" spans="1:29" x14ac:dyDescent="0.25">
      <c r="A28">
        <v>1973</v>
      </c>
      <c r="B28" s="1">
        <v>4.2257920117632901E-2</v>
      </c>
      <c r="C28" s="1">
        <v>5.69857707077977E-2</v>
      </c>
      <c r="D28" s="1">
        <v>1.26300131575269E-2</v>
      </c>
      <c r="E28" s="1">
        <v>1.13123509194852E-2</v>
      </c>
      <c r="F28" s="1">
        <v>0.11831719423875001</v>
      </c>
      <c r="G28" s="1">
        <v>9.6250951535388901E-2</v>
      </c>
      <c r="H28" s="1">
        <v>5.42899037614906E-2</v>
      </c>
      <c r="I28" s="1">
        <v>3.1761930805034297E-2</v>
      </c>
      <c r="J28" s="1">
        <v>0.59030685209838596</v>
      </c>
      <c r="K28" s="1">
        <v>0.59014981812387401</v>
      </c>
      <c r="L28" s="1">
        <v>2.4743234848267898E-4</v>
      </c>
      <c r="M28" s="1">
        <v>2.3679011907190299E-3</v>
      </c>
      <c r="N28" s="1">
        <v>4.8583333332499902E-2</v>
      </c>
      <c r="O28" s="1">
        <v>5.8032527036258198E-2</v>
      </c>
      <c r="P28" s="1">
        <v>0.99174917491749104</v>
      </c>
      <c r="Q28" s="1">
        <v>1.1078570727957999</v>
      </c>
      <c r="R28" s="1">
        <v>4.8182480747248298E-2</v>
      </c>
      <c r="S28" s="1">
        <v>6.7400444525607894E-2</v>
      </c>
      <c r="T28" s="2">
        <f t="shared" si="0"/>
        <v>-0.13244047624408925</v>
      </c>
      <c r="U28" s="2">
        <f t="shared" si="1"/>
        <v>-0.16585704371963342</v>
      </c>
      <c r="V28" s="1">
        <v>0.12838807817474501</v>
      </c>
      <c r="W28" s="1">
        <v>5.1961526774134098E-2</v>
      </c>
      <c r="X28" s="1">
        <v>2.9915488904839801E-2</v>
      </c>
      <c r="Y28" s="1">
        <v>0.151653486401128</v>
      </c>
      <c r="Z28" s="1">
        <v>7.4862293810308997E-2</v>
      </c>
      <c r="AA28" s="1">
        <v>1.3671007466771801E-2</v>
      </c>
      <c r="AB28" s="1">
        <v>2.1055564385778699E-3</v>
      </c>
      <c r="AC28" s="1">
        <v>-9.4249314689198705E-4</v>
      </c>
    </row>
    <row r="29" spans="1:29" x14ac:dyDescent="0.25">
      <c r="A29">
        <v>1974</v>
      </c>
      <c r="B29" s="1">
        <v>5.3998114884916897E-2</v>
      </c>
      <c r="C29" s="1">
        <v>6.1191286343537099E-2</v>
      </c>
      <c r="D29" s="1">
        <v>-2.0791127039396499E-2</v>
      </c>
      <c r="E29" s="1">
        <v>1.0509111548327E-2</v>
      </c>
      <c r="F29" s="1">
        <v>8.3897256785272406E-2</v>
      </c>
      <c r="G29" s="1">
        <v>9.9035630799185606E-2</v>
      </c>
      <c r="H29" s="1">
        <v>5.7826935385337598E-2</v>
      </c>
      <c r="I29" s="1">
        <v>3.05666148123479E-2</v>
      </c>
      <c r="J29" s="1">
        <v>0.59764395124032799</v>
      </c>
      <c r="K29" s="1">
        <v>0.59106245581273997</v>
      </c>
      <c r="L29" s="1">
        <v>1.23526873633683E-2</v>
      </c>
      <c r="M29" s="1">
        <v>1.59146012553141E-3</v>
      </c>
      <c r="N29" s="1">
        <v>5.6416666664999997E-2</v>
      </c>
      <c r="O29" s="1">
        <v>6.1093218275208E-2</v>
      </c>
      <c r="P29" s="1">
        <v>0.96369636963696303</v>
      </c>
      <c r="Q29" s="1">
        <v>1.1479057013279801</v>
      </c>
      <c r="R29" s="1">
        <v>5.4368536852079201E-2</v>
      </c>
      <c r="S29" s="1">
        <v>7.3508323037632897E-2</v>
      </c>
      <c r="T29" s="2">
        <f t="shared" si="0"/>
        <v>0.1612349914092859</v>
      </c>
      <c r="U29" s="2">
        <f t="shared" si="1"/>
        <v>-2.8286189683860204E-2</v>
      </c>
      <c r="V29" s="1">
        <v>1.1993054573241499</v>
      </c>
      <c r="W29" s="1">
        <v>5.3134264806914598E-2</v>
      </c>
      <c r="X29" s="1">
        <v>3.4681476974135601E-2</v>
      </c>
      <c r="Y29" s="1">
        <v>0.161088544928571</v>
      </c>
      <c r="Z29" s="1">
        <v>7.6905958516572406E-2</v>
      </c>
      <c r="AA29" s="1">
        <v>1.2094037043528899E-2</v>
      </c>
      <c r="AB29" s="1">
        <v>1.30509089299997E-3</v>
      </c>
      <c r="AC29" s="1">
        <v>-1.26740522526591E-3</v>
      </c>
    </row>
    <row r="30" spans="1:29" x14ac:dyDescent="0.25">
      <c r="A30">
        <v>1975</v>
      </c>
      <c r="B30" s="1">
        <v>8.6886973459963504E-2</v>
      </c>
      <c r="C30" s="1">
        <v>6.4811921473043405E-2</v>
      </c>
      <c r="D30" s="1">
        <v>1.7619998091785102E-2</v>
      </c>
      <c r="E30" s="1">
        <v>9.9956391012503993E-3</v>
      </c>
      <c r="F30" s="1">
        <v>8.8480128893662802E-2</v>
      </c>
      <c r="G30" s="1">
        <v>0.101319362180973</v>
      </c>
      <c r="H30" s="1">
        <v>-6.3238564979670496E-3</v>
      </c>
      <c r="I30" s="1">
        <v>2.9490067971683999E-2</v>
      </c>
      <c r="J30" s="1">
        <v>0.58557346076178995</v>
      </c>
      <c r="K30" s="1">
        <v>0.59157200749417305</v>
      </c>
      <c r="L30" s="1">
        <v>-2.0403535483685599E-2</v>
      </c>
      <c r="M30" s="1">
        <v>8.9391907349753398E-4</v>
      </c>
      <c r="N30" s="1">
        <v>8.4750000002499895E-2</v>
      </c>
      <c r="O30" s="1">
        <v>6.4079768483260302E-2</v>
      </c>
      <c r="P30" s="1">
        <v>1.4108910891089099</v>
      </c>
      <c r="Q30" s="1">
        <v>1.1916046770619</v>
      </c>
      <c r="R30" s="1">
        <v>0.119573019805507</v>
      </c>
      <c r="S30" s="1">
        <v>7.9840681895855803E-2</v>
      </c>
      <c r="T30" s="2">
        <f t="shared" si="0"/>
        <v>0.50221565740035912</v>
      </c>
      <c r="U30" s="2">
        <f t="shared" si="1"/>
        <v>0.46404109589041098</v>
      </c>
      <c r="V30" s="1">
        <v>5.7858510286545898E-3</v>
      </c>
      <c r="W30" s="1">
        <v>5.0942804053139702E-2</v>
      </c>
      <c r="X30" s="1">
        <v>3.7181776965728899E-2</v>
      </c>
      <c r="Y30" s="1">
        <v>0.16258596124618899</v>
      </c>
      <c r="Z30" s="1">
        <v>7.8399400488084206E-2</v>
      </c>
      <c r="AA30" s="1">
        <v>1.08851898048173E-2</v>
      </c>
      <c r="AB30" s="1">
        <v>6.5919215923968303E-4</v>
      </c>
      <c r="AC30" s="1">
        <v>-1.5768167145539999E-3</v>
      </c>
    </row>
    <row r="31" spans="1:29" x14ac:dyDescent="0.25">
      <c r="A31">
        <v>1976</v>
      </c>
      <c r="B31" s="1">
        <v>9.03213053145248E-2</v>
      </c>
      <c r="C31" s="1">
        <v>6.7514210683266906E-2</v>
      </c>
      <c r="D31" s="1">
        <v>1.8777261485448501E-2</v>
      </c>
      <c r="E31" s="1">
        <v>9.6674346494455606E-3</v>
      </c>
      <c r="F31" s="1">
        <v>0.11083014678672699</v>
      </c>
      <c r="G31" s="1">
        <v>0.102953089723305</v>
      </c>
      <c r="H31" s="1">
        <v>-5.53895928372059E-3</v>
      </c>
      <c r="I31" s="1">
        <v>2.8866991570055799E-2</v>
      </c>
      <c r="J31" s="1">
        <v>0.58811561531301804</v>
      </c>
      <c r="K31" s="1">
        <v>0.59178953966002301</v>
      </c>
      <c r="L31" s="1">
        <v>4.3319113697798299E-3</v>
      </c>
      <c r="M31" s="1">
        <v>3.8655447551586599E-4</v>
      </c>
      <c r="N31" s="1">
        <v>7.6999999999999902E-2</v>
      </c>
      <c r="O31" s="1">
        <v>6.6746088275571103E-2</v>
      </c>
      <c r="P31" s="1">
        <v>1.5618811881188099</v>
      </c>
      <c r="Q31" s="1">
        <v>1.23451939501046</v>
      </c>
      <c r="R31" s="1">
        <v>0.120264851485148</v>
      </c>
      <c r="S31" s="1">
        <v>8.5821446528877396E-2</v>
      </c>
      <c r="T31" s="2">
        <f t="shared" si="0"/>
        <v>-9.1445427755414616E-2</v>
      </c>
      <c r="U31" s="2">
        <f t="shared" si="1"/>
        <v>0.1070175438596485</v>
      </c>
      <c r="V31" s="1">
        <v>-0.17195957766480599</v>
      </c>
      <c r="W31" s="1">
        <v>4.4913190975860003E-2</v>
      </c>
      <c r="X31" s="1">
        <v>3.5881096348028697E-2</v>
      </c>
      <c r="Y31" s="1">
        <v>0.15262279013241301</v>
      </c>
      <c r="Z31" s="1">
        <v>7.9237660974348104E-2</v>
      </c>
      <c r="AA31" s="1">
        <v>1.00522218933206E-2</v>
      </c>
      <c r="AB31" s="1">
        <v>1.7415162315533199E-4</v>
      </c>
      <c r="AC31" s="1">
        <v>-1.8472140351717401E-3</v>
      </c>
    </row>
    <row r="32" spans="1:29" x14ac:dyDescent="0.25">
      <c r="A32">
        <v>1977</v>
      </c>
      <c r="B32" s="1">
        <v>5.5809590628338998E-2</v>
      </c>
      <c r="C32" s="1">
        <v>6.9185439081027506E-2</v>
      </c>
      <c r="D32" s="1">
        <v>1.31823066787129E-2</v>
      </c>
      <c r="E32" s="1">
        <v>9.4962428540081301E-3</v>
      </c>
      <c r="F32" s="1">
        <v>0.11537393814890901</v>
      </c>
      <c r="G32" s="1">
        <v>0.10365936513586101</v>
      </c>
      <c r="H32" s="1">
        <v>4.9298025161065899E-2</v>
      </c>
      <c r="I32" s="1">
        <v>2.8673947649779999E-2</v>
      </c>
      <c r="J32" s="1">
        <v>0.58774735235032105</v>
      </c>
      <c r="K32" s="1">
        <v>0.59176613333481398</v>
      </c>
      <c r="L32" s="1">
        <v>-6.2637056334691101E-4</v>
      </c>
      <c r="M32" s="1">
        <v>-3.2331773086930897E-5</v>
      </c>
      <c r="N32" s="1">
        <v>7.0499999999999993E-2</v>
      </c>
      <c r="O32" s="1">
        <v>6.9052790582488893E-2</v>
      </c>
      <c r="P32" s="1">
        <v>1.4125412541254101</v>
      </c>
      <c r="Q32" s="1">
        <v>1.2744081143070201</v>
      </c>
      <c r="R32" s="1">
        <v>9.9584158415841506E-2</v>
      </c>
      <c r="S32" s="1">
        <v>9.1271865744395206E-2</v>
      </c>
      <c r="T32" s="2">
        <f t="shared" si="0"/>
        <v>-8.4415584415583333E-2</v>
      </c>
      <c r="U32" s="2">
        <f t="shared" si="1"/>
        <v>-9.5615425250924896E-2</v>
      </c>
      <c r="V32" s="1">
        <v>-0.28373765495438902</v>
      </c>
      <c r="W32" s="1">
        <v>3.8131455229548E-2</v>
      </c>
      <c r="X32" s="1">
        <v>3.2684329680872003E-2</v>
      </c>
      <c r="Y32" s="1">
        <v>0.13804328132645699</v>
      </c>
      <c r="Z32" s="1">
        <v>7.9403987194022294E-2</v>
      </c>
      <c r="AA32" s="1">
        <v>9.4630244745649295E-3</v>
      </c>
      <c r="AB32" s="1">
        <v>-1.8843637498008301E-4</v>
      </c>
      <c r="AC32" s="1">
        <v>-2.0776431138807001E-3</v>
      </c>
    </row>
    <row r="33" spans="1:29" x14ac:dyDescent="0.25">
      <c r="A33">
        <v>1978</v>
      </c>
      <c r="B33" s="1">
        <v>6.1791501439978802E-2</v>
      </c>
      <c r="C33" s="1">
        <v>6.9940962719457406E-2</v>
      </c>
      <c r="D33" s="1">
        <v>3.67437345797921E-3</v>
      </c>
      <c r="E33" s="1">
        <v>9.5449066443937108E-3</v>
      </c>
      <c r="F33" s="1">
        <v>0.12882672109114399</v>
      </c>
      <c r="G33" s="1">
        <v>0.103239510698954</v>
      </c>
      <c r="H33" s="1">
        <v>4.7398217785112898E-2</v>
      </c>
      <c r="I33" s="1">
        <v>2.8543438744635399E-2</v>
      </c>
      <c r="J33" s="1">
        <v>0.58895527265133996</v>
      </c>
      <c r="K33" s="1">
        <v>0.59151613029960004</v>
      </c>
      <c r="L33" s="1">
        <v>2.0530603053680002E-3</v>
      </c>
      <c r="M33" s="1">
        <v>-4.2498420804156401E-4</v>
      </c>
      <c r="N33" s="1">
        <v>6.0666666664999903E-2</v>
      </c>
      <c r="O33" s="1">
        <v>7.1063027451606697E-2</v>
      </c>
      <c r="P33" s="1">
        <v>1.1757425742574199</v>
      </c>
      <c r="Q33" s="1">
        <v>1.31230271201601</v>
      </c>
      <c r="R33" s="1">
        <v>7.13283828363242E-2</v>
      </c>
      <c r="S33" s="1">
        <v>9.6357622399669302E-2</v>
      </c>
      <c r="T33" s="2">
        <f t="shared" si="0"/>
        <v>-0.1394799054609942</v>
      </c>
      <c r="U33" s="2">
        <f t="shared" si="1"/>
        <v>-0.16764018691589055</v>
      </c>
      <c r="V33" s="1">
        <v>-0.121654135276679</v>
      </c>
      <c r="W33" s="1">
        <v>3.22754913145539E-2</v>
      </c>
      <c r="X33" s="1">
        <v>3.0154255577741901E-2</v>
      </c>
      <c r="Y33" s="1">
        <v>0.124223315176493</v>
      </c>
      <c r="Z33" s="1">
        <v>7.8882426765886707E-2</v>
      </c>
      <c r="AA33" s="1">
        <v>9.1200475987246905E-3</v>
      </c>
      <c r="AB33" s="1">
        <v>-4.7347410833339801E-4</v>
      </c>
      <c r="AC33" s="1">
        <v>-2.28052345704532E-3</v>
      </c>
    </row>
    <row r="34" spans="1:29" x14ac:dyDescent="0.25">
      <c r="A34">
        <v>1979</v>
      </c>
      <c r="B34" s="1">
        <v>6.7836480533297897E-2</v>
      </c>
      <c r="C34" s="1">
        <v>6.9762379167162103E-2</v>
      </c>
      <c r="D34" s="1">
        <v>-8.7462649695838595E-3</v>
      </c>
      <c r="E34" s="1">
        <v>9.9131295883050103E-3</v>
      </c>
      <c r="F34" s="1">
        <v>0.109185518366627</v>
      </c>
      <c r="G34" s="1">
        <v>0.101611994423028</v>
      </c>
      <c r="H34" s="1">
        <v>5.3342312864838898E-2</v>
      </c>
      <c r="I34" s="1">
        <v>2.8314208163513599E-2</v>
      </c>
      <c r="J34" s="1">
        <v>0.59565148316373295</v>
      </c>
      <c r="K34" s="1">
        <v>0.591013684525591</v>
      </c>
      <c r="L34" s="1">
        <v>1.13054932397159E-2</v>
      </c>
      <c r="M34" s="1">
        <v>-8.5958775298133905E-4</v>
      </c>
      <c r="N34" s="1">
        <v>5.8500000002499997E-2</v>
      </c>
      <c r="O34" s="1">
        <v>7.2854423024692305E-2</v>
      </c>
      <c r="P34" s="1">
        <v>1.07095709570957</v>
      </c>
      <c r="Q34" s="1">
        <v>1.3506163966000699</v>
      </c>
      <c r="R34" s="1">
        <v>6.2650990101687204E-2</v>
      </c>
      <c r="S34" s="1">
        <v>0.101327522278674</v>
      </c>
      <c r="T34" s="2">
        <f t="shared" si="0"/>
        <v>-3.5714285646584076E-2</v>
      </c>
      <c r="U34" s="2">
        <f t="shared" si="1"/>
        <v>-8.9122807017540162E-2</v>
      </c>
      <c r="V34" s="1">
        <v>0.35216901736546902</v>
      </c>
      <c r="W34" s="1">
        <v>2.77599520585779E-2</v>
      </c>
      <c r="X34" s="1">
        <v>2.9521803410236101E-2</v>
      </c>
      <c r="Y34" s="1">
        <v>0.113438743440784</v>
      </c>
      <c r="Z34" s="1">
        <v>7.7604029063881697E-2</v>
      </c>
      <c r="AA34" s="1">
        <v>9.0542376839294197E-3</v>
      </c>
      <c r="AB34" s="1">
        <v>-7.1210591758649603E-4</v>
      </c>
      <c r="AC34" s="1">
        <v>-2.4686543214438301E-3</v>
      </c>
    </row>
    <row r="35" spans="1:29" x14ac:dyDescent="0.25">
      <c r="A35">
        <v>1980</v>
      </c>
      <c r="B35" s="1">
        <v>7.9892407691612904E-2</v>
      </c>
      <c r="C35" s="1">
        <v>6.8549791379952194E-2</v>
      </c>
      <c r="D35" s="1">
        <v>2.9127059058455201E-4</v>
      </c>
      <c r="E35" s="1">
        <v>1.0641909921580499E-2</v>
      </c>
      <c r="F35" s="1">
        <v>9.0486224307239599E-2</v>
      </c>
      <c r="G35" s="1">
        <v>9.8951156422449296E-2</v>
      </c>
      <c r="H35" s="1">
        <v>2.3733571056415E-2</v>
      </c>
      <c r="I35" s="1">
        <v>2.8013547005711299E-2</v>
      </c>
      <c r="J35" s="1">
        <v>0.60084892990550598</v>
      </c>
      <c r="K35" s="1">
        <v>0.59020734140751596</v>
      </c>
      <c r="L35" s="1">
        <v>8.6878021536693703E-3</v>
      </c>
      <c r="M35" s="1">
        <v>-1.37954688640546E-3</v>
      </c>
      <c r="N35" s="1">
        <v>7.1749999999999897E-2</v>
      </c>
      <c r="O35" s="1">
        <v>7.4400637835647696E-2</v>
      </c>
      <c r="P35" s="1">
        <v>1.18069306930693</v>
      </c>
      <c r="Q35" s="1">
        <v>1.3903967751442301</v>
      </c>
      <c r="R35" s="1">
        <v>8.4714727722772207E-2</v>
      </c>
      <c r="S35" s="1">
        <v>0.106180078769751</v>
      </c>
      <c r="T35" s="2">
        <f t="shared" si="0"/>
        <v>0.22649572644331045</v>
      </c>
      <c r="U35" s="2">
        <f t="shared" si="1"/>
        <v>0.10246533127889092</v>
      </c>
      <c r="V35" s="1">
        <v>0.22475856082625401</v>
      </c>
      <c r="W35" s="1">
        <v>2.3174552261804399E-2</v>
      </c>
      <c r="X35" s="1">
        <v>2.98814553541858E-2</v>
      </c>
      <c r="Y35" s="1">
        <v>0.103885808176282</v>
      </c>
      <c r="Z35" s="1">
        <v>7.5447918250393403E-2</v>
      </c>
      <c r="AA35" s="1">
        <v>9.2638749230934195E-3</v>
      </c>
      <c r="AB35" s="1">
        <v>-9.1392957498630104E-4</v>
      </c>
      <c r="AC35" s="1">
        <v>-2.6436118040999899E-3</v>
      </c>
    </row>
    <row r="36" spans="1:29" x14ac:dyDescent="0.25">
      <c r="A36">
        <v>1981</v>
      </c>
      <c r="B36" s="1">
        <v>8.7249183011427894E-2</v>
      </c>
      <c r="C36" s="1">
        <v>6.6184043327299893E-2</v>
      </c>
      <c r="D36" s="1">
        <v>2.0968776053399401E-2</v>
      </c>
      <c r="E36" s="1">
        <v>1.1585651934479999E-2</v>
      </c>
      <c r="F36" s="1">
        <v>0.12665427102701499</v>
      </c>
      <c r="G36" s="1">
        <v>9.5507072051019798E-2</v>
      </c>
      <c r="H36" s="1">
        <v>-6.2550888720600201E-4</v>
      </c>
      <c r="I36" s="1">
        <v>2.7919027417538201E-2</v>
      </c>
      <c r="J36" s="1">
        <v>0.58893209707187</v>
      </c>
      <c r="K36" s="1">
        <v>0.589092024326481</v>
      </c>
      <c r="L36" s="1">
        <v>-2.0032646489371E-2</v>
      </c>
      <c r="M36" s="1">
        <v>-1.90661527688618E-3</v>
      </c>
      <c r="N36" s="1">
        <v>7.6166666664999993E-2</v>
      </c>
      <c r="O36" s="1">
        <v>7.5531788188152801E-2</v>
      </c>
      <c r="P36" s="1">
        <v>1.36221122112211</v>
      </c>
      <c r="Q36" s="1">
        <v>1.4298948617246501</v>
      </c>
      <c r="R36" s="1">
        <v>0.10375508800652999</v>
      </c>
      <c r="S36" s="1">
        <v>0.11052703993947199</v>
      </c>
      <c r="T36" s="2">
        <f t="shared" si="0"/>
        <v>6.1556329825785405E-2</v>
      </c>
      <c r="U36" s="2">
        <f t="shared" si="1"/>
        <v>0.1537386443046809</v>
      </c>
      <c r="V36" s="1">
        <v>0.44600712796407899</v>
      </c>
      <c r="W36" s="1">
        <v>1.6467730762825501E-2</v>
      </c>
      <c r="X36" s="1">
        <v>2.9099003596932599E-2</v>
      </c>
      <c r="Y36" s="1">
        <v>9.1409822652766398E-2</v>
      </c>
      <c r="Z36" s="1">
        <v>7.2342552268155794E-2</v>
      </c>
      <c r="AA36" s="1">
        <v>9.6831471263619101E-3</v>
      </c>
      <c r="AB36" s="1">
        <v>-1.0729043032870699E-3</v>
      </c>
      <c r="AC36" s="1">
        <v>-2.7936554473688702E-3</v>
      </c>
    </row>
    <row r="37" spans="1:29" x14ac:dyDescent="0.25">
      <c r="A37">
        <v>1982</v>
      </c>
      <c r="B37" s="1">
        <v>8.9585255474004297E-2</v>
      </c>
      <c r="C37" s="1">
        <v>6.2659405141793703E-2</v>
      </c>
      <c r="D37" s="1">
        <v>1.5564225659847501E-2</v>
      </c>
      <c r="E37" s="1">
        <v>1.2495253523953E-2</v>
      </c>
      <c r="F37" s="1">
        <v>5.11600815454809E-2</v>
      </c>
      <c r="G37" s="1">
        <v>9.1445167341389494E-2</v>
      </c>
      <c r="H37" s="1">
        <v>2.9667163245262501E-2</v>
      </c>
      <c r="I37" s="1">
        <v>2.8265421785811099E-2</v>
      </c>
      <c r="J37" s="1">
        <v>0.59101061131844201</v>
      </c>
      <c r="K37" s="1">
        <v>0.58776907254857702</v>
      </c>
      <c r="L37" s="1">
        <v>3.5230801998850001E-3</v>
      </c>
      <c r="M37" s="1">
        <v>-2.26187310259498E-3</v>
      </c>
      <c r="N37" s="1">
        <v>9.7083333339999994E-2</v>
      </c>
      <c r="O37" s="1">
        <v>7.6051484007531006E-2</v>
      </c>
      <c r="P37" s="1">
        <v>1.54537953795379</v>
      </c>
      <c r="Q37" s="1">
        <v>1.46526463335907</v>
      </c>
      <c r="R37" s="1">
        <v>0.15003059681998299</v>
      </c>
      <c r="S37" s="1">
        <v>0.113765500343937</v>
      </c>
      <c r="T37" s="2">
        <f t="shared" si="0"/>
        <v>0.27461706794911639</v>
      </c>
      <c r="U37" s="2">
        <f t="shared" si="1"/>
        <v>0.13446396123561266</v>
      </c>
      <c r="V37" s="1">
        <v>0.26337266179693503</v>
      </c>
      <c r="W37" s="1">
        <v>7.3977918812070899E-3</v>
      </c>
      <c r="X37" s="1">
        <v>2.57169145952004E-2</v>
      </c>
      <c r="Y37" s="1">
        <v>7.4338932231906102E-2</v>
      </c>
      <c r="Z37" s="1">
        <v>6.8420902710900705E-2</v>
      </c>
      <c r="AA37" s="1">
        <v>1.0240104358036701E-2</v>
      </c>
      <c r="AB37" s="1">
        <v>-1.1798370925538201E-3</v>
      </c>
      <c r="AC37" s="1">
        <v>-2.9016358967017802E-3</v>
      </c>
    </row>
    <row r="38" spans="1:29" x14ac:dyDescent="0.25">
      <c r="A38">
        <v>1983</v>
      </c>
      <c r="B38" s="1">
        <v>5.9221416286897803E-2</v>
      </c>
      <c r="C38" s="1">
        <v>5.8180798352863702E-2</v>
      </c>
      <c r="D38" s="1">
        <v>2.5339199254806599E-2</v>
      </c>
      <c r="E38" s="1">
        <v>1.3215443828138501E-2</v>
      </c>
      <c r="F38" s="1">
        <v>7.2805073266838993E-2</v>
      </c>
      <c r="G38" s="1">
        <v>8.7242340315968295E-2</v>
      </c>
      <c r="H38" s="1">
        <v>-9.3270224363994902E-3</v>
      </c>
      <c r="I38" s="1">
        <v>2.9002057134299201E-2</v>
      </c>
      <c r="J38" s="1">
        <v>0.58421030719852796</v>
      </c>
      <c r="K38" s="1">
        <v>0.58633822606734498</v>
      </c>
      <c r="L38" s="1">
        <v>-1.15729390301182E-2</v>
      </c>
      <c r="M38" s="1">
        <v>-2.4476608538281999E-3</v>
      </c>
      <c r="N38" s="1">
        <v>9.5999999999999905E-2</v>
      </c>
      <c r="O38" s="1">
        <v>7.5769684003874502E-2</v>
      </c>
      <c r="P38" s="1">
        <v>1.97442244224422</v>
      </c>
      <c r="Q38" s="1">
        <v>1.49198323065924</v>
      </c>
      <c r="R38" s="1">
        <v>0.18954455445544499</v>
      </c>
      <c r="S38" s="1">
        <v>0.11522483501991999</v>
      </c>
      <c r="T38" s="2">
        <f t="shared" si="0"/>
        <v>-1.1158798351165983E-2</v>
      </c>
      <c r="U38" s="2">
        <f t="shared" si="1"/>
        <v>0.2776294714362002</v>
      </c>
      <c r="V38" s="1">
        <v>-0.29043949076796099</v>
      </c>
      <c r="W38" s="1">
        <v>-3.8442767010678598E-3</v>
      </c>
      <c r="X38" s="1">
        <v>1.9416741413380501E-2</v>
      </c>
      <c r="Y38" s="1">
        <v>5.2334769657106699E-2</v>
      </c>
      <c r="Z38" s="1">
        <v>6.3998994068680801E-2</v>
      </c>
      <c r="AA38" s="1">
        <v>1.0776591075418699E-2</v>
      </c>
      <c r="AB38" s="1">
        <v>-1.2251426083367499E-3</v>
      </c>
      <c r="AC38" s="1">
        <v>-2.94929010858902E-3</v>
      </c>
    </row>
    <row r="39" spans="1:29" x14ac:dyDescent="0.25">
      <c r="A39">
        <v>1984</v>
      </c>
      <c r="B39" s="1">
        <v>3.8780929209127797E-2</v>
      </c>
      <c r="C39" s="1">
        <v>5.3222402993261898E-2</v>
      </c>
      <c r="D39" s="1">
        <v>2.7186585896974199E-2</v>
      </c>
      <c r="E39" s="1">
        <v>1.3621641706534401E-2</v>
      </c>
      <c r="F39" s="1">
        <v>0.118941719991965</v>
      </c>
      <c r="G39" s="1">
        <v>8.2972638139207106E-2</v>
      </c>
      <c r="H39" s="1">
        <v>3.1495852760957198E-2</v>
      </c>
      <c r="I39" s="1">
        <v>3.00922779013666E-2</v>
      </c>
      <c r="J39" s="1">
        <v>0.57593564147895804</v>
      </c>
      <c r="K39" s="1">
        <v>0.584931640264028</v>
      </c>
      <c r="L39" s="1">
        <v>-1.42651121585738E-2</v>
      </c>
      <c r="M39" s="1">
        <v>-2.4084694878573798E-3</v>
      </c>
      <c r="N39" s="1">
        <v>7.5083333332500002E-2</v>
      </c>
      <c r="O39" s="1">
        <v>7.4706665380600001E-2</v>
      </c>
      <c r="P39" s="1">
        <v>1.79125412541254</v>
      </c>
      <c r="Q39" s="1">
        <v>1.5063289432828399</v>
      </c>
      <c r="R39" s="1">
        <v>0.13449333058156501</v>
      </c>
      <c r="S39" s="1">
        <v>0.114597069968952</v>
      </c>
      <c r="T39" s="2">
        <f t="shared" si="0"/>
        <v>-0.2178819444531242</v>
      </c>
      <c r="U39" s="2">
        <f t="shared" si="1"/>
        <v>-9.2770580860842736E-2</v>
      </c>
      <c r="V39" s="1">
        <v>-0.17365013847632399</v>
      </c>
      <c r="W39" s="1">
        <v>-1.47150072744664E-2</v>
      </c>
      <c r="X39" s="1">
        <v>1.08844705551519E-2</v>
      </c>
      <c r="Y39" s="1">
        <v>2.8775649629094801E-2</v>
      </c>
      <c r="Z39" s="1">
        <v>5.9492498372284097E-2</v>
      </c>
      <c r="AA39" s="1">
        <v>1.12236930972032E-2</v>
      </c>
      <c r="AB39" s="1">
        <v>-1.2058625803388499E-3</v>
      </c>
      <c r="AC39" s="1">
        <v>-2.9288652719603402E-3</v>
      </c>
    </row>
    <row r="40" spans="1:29" x14ac:dyDescent="0.25">
      <c r="A40">
        <v>1985</v>
      </c>
      <c r="B40" s="1">
        <v>3.6864963272015598E-2</v>
      </c>
      <c r="C40" s="1">
        <v>4.8268805275080699E-2</v>
      </c>
      <c r="D40" s="1">
        <v>1.2870165534566399E-2</v>
      </c>
      <c r="E40" s="1">
        <v>1.3710503572905E-2</v>
      </c>
      <c r="F40" s="1">
        <v>7.0728830076421903E-2</v>
      </c>
      <c r="G40" s="1">
        <v>7.8565735305065595E-2</v>
      </c>
      <c r="H40" s="1">
        <v>7.5518382478001703E-2</v>
      </c>
      <c r="I40" s="1">
        <v>3.1116137729670101E-2</v>
      </c>
      <c r="J40" s="1">
        <v>0.57765960310328202</v>
      </c>
      <c r="K40" s="1">
        <v>0.58366019133117897</v>
      </c>
      <c r="L40" s="1">
        <v>2.9888523133221301E-3</v>
      </c>
      <c r="M40" s="1">
        <v>-2.1800427437169601E-3</v>
      </c>
      <c r="N40" s="1">
        <v>7.1916666664999906E-2</v>
      </c>
      <c r="O40" s="1">
        <v>7.3085008501085305E-2</v>
      </c>
      <c r="P40" s="1">
        <v>1.54537953795379</v>
      </c>
      <c r="Q40" s="1">
        <v>1.5094044530034201</v>
      </c>
      <c r="R40" s="1">
        <v>0.11113854510193399</v>
      </c>
      <c r="S40" s="1">
        <v>0.11231742838692201</v>
      </c>
      <c r="T40" s="2">
        <f t="shared" si="0"/>
        <v>-4.2175360721890008E-2</v>
      </c>
      <c r="U40" s="2">
        <f t="shared" si="1"/>
        <v>-0.13726393367112172</v>
      </c>
      <c r="V40" s="1">
        <v>-6.1989026202602202E-2</v>
      </c>
      <c r="W40" s="1">
        <v>-2.2744704610571299E-2</v>
      </c>
      <c r="X40" s="1">
        <v>3.0619849647025498E-3</v>
      </c>
      <c r="Y40" s="1">
        <v>9.1502657699956795E-3</v>
      </c>
      <c r="Z40" s="1">
        <v>5.5201718439470603E-2</v>
      </c>
      <c r="AA40" s="1">
        <v>1.15415417668993E-2</v>
      </c>
      <c r="AB40" s="1">
        <v>-1.1331491443803601E-3</v>
      </c>
      <c r="AC40" s="1">
        <v>-2.8537390903355898E-3</v>
      </c>
    </row>
    <row r="41" spans="1:29" x14ac:dyDescent="0.25">
      <c r="A41">
        <v>1986</v>
      </c>
      <c r="B41" s="1">
        <v>2.98264112266565E-2</v>
      </c>
      <c r="C41" s="1">
        <v>4.3660176672571202E-2</v>
      </c>
      <c r="D41" s="1">
        <v>1.0971669023550601E-2</v>
      </c>
      <c r="E41" s="1">
        <v>1.36143352829195E-2</v>
      </c>
      <c r="F41" s="1">
        <v>5.1997509101360501E-2</v>
      </c>
      <c r="G41" s="1">
        <v>7.4310997126030995E-2</v>
      </c>
      <c r="H41" s="1">
        <v>3.8513154974188599E-2</v>
      </c>
      <c r="I41" s="1">
        <v>3.1667726010462603E-2</v>
      </c>
      <c r="J41" s="1">
        <v>0.58267935641048696</v>
      </c>
      <c r="K41" s="1">
        <v>0.58254479547350002</v>
      </c>
      <c r="L41" s="1">
        <v>8.6522728236705301E-3</v>
      </c>
      <c r="M41" s="1">
        <v>-1.9166907871485501E-3</v>
      </c>
      <c r="N41" s="1">
        <v>7.0000000000000007E-2</v>
      </c>
      <c r="O41" s="1">
        <v>7.11310604082276E-2</v>
      </c>
      <c r="P41" s="1">
        <v>1.48927392739273</v>
      </c>
      <c r="Q41" s="1">
        <v>1.5051616934158001</v>
      </c>
      <c r="R41" s="1">
        <v>0.104249174917491</v>
      </c>
      <c r="S41" s="1">
        <v>0.10902009607584399</v>
      </c>
      <c r="T41" s="2">
        <f t="shared" si="0"/>
        <v>-2.6651216663420452E-2</v>
      </c>
      <c r="U41" s="2">
        <f t="shared" si="1"/>
        <v>-3.6305392418582466E-2</v>
      </c>
      <c r="V41" s="1">
        <v>-0.14913533834586501</v>
      </c>
      <c r="W41" s="1">
        <v>-2.7774019244806498E-2</v>
      </c>
      <c r="X41" s="1">
        <v>-2.1912762996318899E-3</v>
      </c>
      <c r="Y41" s="1">
        <v>-4.24483970203632E-3</v>
      </c>
      <c r="Z41" s="1">
        <v>5.1330489504455797E-2</v>
      </c>
      <c r="AA41" s="1">
        <v>1.1707839264501901E-2</v>
      </c>
      <c r="AB41" s="1">
        <v>-1.01991249047362E-3</v>
      </c>
      <c r="AC41" s="1">
        <v>-2.7423218595579099E-3</v>
      </c>
    </row>
    <row r="42" spans="1:29" x14ac:dyDescent="0.25">
      <c r="A42">
        <v>1987</v>
      </c>
      <c r="B42" s="1">
        <v>2.1875546324093401E-2</v>
      </c>
      <c r="C42" s="1">
        <v>3.9622650239953802E-2</v>
      </c>
      <c r="D42" s="1">
        <v>1.2266151828689301E-2</v>
      </c>
      <c r="E42" s="1">
        <v>1.34570393118631E-2</v>
      </c>
      <c r="F42" s="1">
        <v>7.0851262436536597E-2</v>
      </c>
      <c r="G42" s="1">
        <v>7.0419419862303906E-2</v>
      </c>
      <c r="H42" s="1">
        <v>2.8815200214249301E-2</v>
      </c>
      <c r="I42" s="1">
        <v>3.1785154582480102E-2</v>
      </c>
      <c r="J42" s="1">
        <v>0.58196012729729696</v>
      </c>
      <c r="K42" s="1">
        <v>0.581546363013417</v>
      </c>
      <c r="L42" s="1">
        <v>-1.23511046067537E-3</v>
      </c>
      <c r="M42" s="1">
        <v>-1.72103483332335E-3</v>
      </c>
      <c r="N42" s="1">
        <v>6.1749999999999902E-2</v>
      </c>
      <c r="O42" s="1">
        <v>6.9059484726562897E-2</v>
      </c>
      <c r="P42" s="1">
        <v>1.4364686468646799</v>
      </c>
      <c r="Q42" s="1">
        <v>1.49791234896432</v>
      </c>
      <c r="R42" s="1">
        <v>8.8701938943894304E-2</v>
      </c>
      <c r="S42" s="1">
        <v>0.105327470004881</v>
      </c>
      <c r="T42" s="2">
        <f t="shared" si="0"/>
        <v>-0.11785714285714434</v>
      </c>
      <c r="U42" s="2">
        <f t="shared" si="1"/>
        <v>-3.5457063711909771E-2</v>
      </c>
      <c r="V42" s="1">
        <v>-0.17247056578912301</v>
      </c>
      <c r="W42" s="1">
        <v>-2.9847060331860201E-2</v>
      </c>
      <c r="X42" s="1">
        <v>-4.5229587035048096E-3</v>
      </c>
      <c r="Y42" s="1">
        <v>-1.0941128611309799E-2</v>
      </c>
      <c r="Z42" s="1">
        <v>4.7988589744943501E-2</v>
      </c>
      <c r="AA42" s="1">
        <v>1.17445683679536E-2</v>
      </c>
      <c r="AB42" s="1">
        <v>-8.8045080784837702E-4</v>
      </c>
      <c r="AC42" s="1">
        <v>-2.61346010163743E-3</v>
      </c>
    </row>
    <row r="43" spans="1:29" x14ac:dyDescent="0.25">
      <c r="A43">
        <v>1988</v>
      </c>
      <c r="B43" s="1">
        <v>2.8606911213535102E-2</v>
      </c>
      <c r="C43" s="1">
        <v>3.6244021376989899E-2</v>
      </c>
      <c r="D43" s="1">
        <v>2.04025930260852E-2</v>
      </c>
      <c r="E43" s="1">
        <v>1.33360914724279E-2</v>
      </c>
      <c r="F43" s="1">
        <v>8.6425002657595396E-2</v>
      </c>
      <c r="G43" s="1">
        <v>6.6878864893838597E-2</v>
      </c>
      <c r="H43" s="1">
        <v>3.9846993330924702E-2</v>
      </c>
      <c r="I43" s="1">
        <v>3.1574989574096102E-2</v>
      </c>
      <c r="J43" s="1">
        <v>0.57831013423017097</v>
      </c>
      <c r="K43" s="1">
        <v>0.58062714988272102</v>
      </c>
      <c r="L43" s="1">
        <v>-6.2916464008498903E-3</v>
      </c>
      <c r="M43" s="1">
        <v>-1.59000646130439E-3</v>
      </c>
      <c r="N43" s="1">
        <v>5.4916666667500003E-2</v>
      </c>
      <c r="O43" s="1">
        <v>6.7073634476545102E-2</v>
      </c>
      <c r="P43" s="1">
        <v>1.33663366336633</v>
      </c>
      <c r="Q43" s="1">
        <v>1.49180922643309</v>
      </c>
      <c r="R43" s="1">
        <v>7.3403465347648494E-2</v>
      </c>
      <c r="S43" s="1">
        <v>0.101814237931615</v>
      </c>
      <c r="T43" s="2">
        <f t="shared" si="0"/>
        <v>-0.11066126854250867</v>
      </c>
      <c r="U43" s="2">
        <f t="shared" si="1"/>
        <v>-6.9500287191269716E-2</v>
      </c>
      <c r="V43" s="1">
        <v>-0.155971449472596</v>
      </c>
      <c r="W43" s="1">
        <v>-2.90003248262014E-2</v>
      </c>
      <c r="X43" s="1">
        <v>-3.9286032663443399E-3</v>
      </c>
      <c r="Y43" s="1">
        <v>-1.10475046471393E-2</v>
      </c>
      <c r="Z43" s="1">
        <v>4.5187222903460701E-2</v>
      </c>
      <c r="AA43" s="1">
        <v>1.17526084591785E-2</v>
      </c>
      <c r="AB43" s="1">
        <v>-7.3364065355035102E-4</v>
      </c>
      <c r="AC43" s="1">
        <v>-2.4865780143277201E-3</v>
      </c>
    </row>
    <row r="44" spans="1:29" x14ac:dyDescent="0.25">
      <c r="A44">
        <v>1989</v>
      </c>
      <c r="B44" s="1">
        <v>3.3780180718573999E-2</v>
      </c>
      <c r="C44" s="1">
        <v>3.3434614444282203E-2</v>
      </c>
      <c r="D44" s="1">
        <v>-2.8705439936201099E-3</v>
      </c>
      <c r="E44" s="1">
        <v>1.3337058702473901E-2</v>
      </c>
      <c r="F44" s="1">
        <v>6.1839530332680998E-2</v>
      </c>
      <c r="G44" s="1">
        <v>6.3681512026331294E-2</v>
      </c>
      <c r="H44" s="1">
        <v>4.9112311067169998E-2</v>
      </c>
      <c r="I44" s="1">
        <v>3.11140975700018E-2</v>
      </c>
      <c r="J44" s="1">
        <v>0.57730711765604403</v>
      </c>
      <c r="K44" s="1">
        <v>0.57975354965604597</v>
      </c>
      <c r="L44" s="1">
        <v>-1.7358979789537899E-3</v>
      </c>
      <c r="M44" s="1">
        <v>-1.51567800642823E-3</v>
      </c>
      <c r="N44" s="1">
        <v>5.2583333332499899E-2</v>
      </c>
      <c r="O44" s="1">
        <v>6.5303767831362505E-2</v>
      </c>
      <c r="P44" s="1">
        <v>1.1782178217821699</v>
      </c>
      <c r="Q44" s="1">
        <v>1.49039069558522</v>
      </c>
      <c r="R44" s="1">
        <v>6.19546204610643E-2</v>
      </c>
      <c r="S44" s="1">
        <v>9.8888832303016497E-2</v>
      </c>
      <c r="T44" s="2">
        <f t="shared" si="0"/>
        <v>-4.2488619149584766E-2</v>
      </c>
      <c r="U44" s="2">
        <f t="shared" si="1"/>
        <v>-0.11851851851852037</v>
      </c>
      <c r="V44" s="1">
        <v>7.5625812909348306E-2</v>
      </c>
      <c r="W44" s="1">
        <v>-2.6225851744393399E-2</v>
      </c>
      <c r="X44" s="1">
        <v>-7.1953073053151605E-4</v>
      </c>
      <c r="Y44" s="1">
        <v>-6.0548135961845202E-3</v>
      </c>
      <c r="Z44" s="1">
        <v>4.28527941505078E-2</v>
      </c>
      <c r="AA44" s="1">
        <v>1.1824411449708999E-2</v>
      </c>
      <c r="AB44" s="1">
        <v>-5.9944336258846702E-4</v>
      </c>
      <c r="AC44" s="1">
        <v>-2.3775261697429602E-3</v>
      </c>
    </row>
    <row r="45" spans="1:29" x14ac:dyDescent="0.25">
      <c r="A45">
        <v>1990</v>
      </c>
      <c r="B45" s="1">
        <v>3.7055101980665799E-2</v>
      </c>
      <c r="C45" s="1">
        <v>3.1028382700798801E-2</v>
      </c>
      <c r="D45" s="1">
        <v>3.2507945001672301E-3</v>
      </c>
      <c r="E45" s="1">
        <v>1.36161729553978E-2</v>
      </c>
      <c r="F45" s="1">
        <v>5.3501658680427597E-2</v>
      </c>
      <c r="G45" s="1">
        <v>6.1015002443116098E-2</v>
      </c>
      <c r="H45" s="1">
        <v>2.2947708040461E-2</v>
      </c>
      <c r="I45" s="1">
        <v>3.0562065192456501E-2</v>
      </c>
      <c r="J45" s="1">
        <v>0.58227927412856595</v>
      </c>
      <c r="K45" s="1">
        <v>0.57886878575149703</v>
      </c>
      <c r="L45" s="1">
        <v>8.5757938873745002E-3</v>
      </c>
      <c r="M45" s="1">
        <v>-1.53713820342684E-3</v>
      </c>
      <c r="N45" s="1">
        <v>5.6166666664999997E-2</v>
      </c>
      <c r="O45" s="1">
        <v>6.3758573286112799E-2</v>
      </c>
      <c r="P45" s="1">
        <v>1.1864686468646799</v>
      </c>
      <c r="Q45" s="1">
        <v>1.49564337055314</v>
      </c>
      <c r="R45" s="1">
        <v>6.6639988996922403E-2</v>
      </c>
      <c r="S45" s="1">
        <v>9.6675577840215798E-2</v>
      </c>
      <c r="T45" s="2">
        <f t="shared" si="0"/>
        <v>6.8145800302191306E-2</v>
      </c>
      <c r="U45" s="2">
        <f t="shared" si="1"/>
        <v>7.0028011204496792E-3</v>
      </c>
      <c r="V45" s="1">
        <v>0.39259934879061598</v>
      </c>
      <c r="W45" s="1">
        <v>-2.3398447762521299E-2</v>
      </c>
      <c r="X45" s="1">
        <v>4.1118890787985004E-3</v>
      </c>
      <c r="Y45" s="1">
        <v>9.3186814347470995E-4</v>
      </c>
      <c r="Z45" s="1">
        <v>4.0939101453580401E-2</v>
      </c>
      <c r="AA45" s="1">
        <v>1.20763663853296E-2</v>
      </c>
      <c r="AB45" s="1">
        <v>-4.8983513974104902E-4</v>
      </c>
      <c r="AC45" s="1">
        <v>-2.2928479032944199E-3</v>
      </c>
    </row>
    <row r="46" spans="1:29" x14ac:dyDescent="0.25">
      <c r="A46">
        <v>1991</v>
      </c>
      <c r="B46" s="1">
        <v>3.7864350210131098E-2</v>
      </c>
      <c r="C46" s="1">
        <v>2.8862735068250801E-2</v>
      </c>
      <c r="D46" s="1">
        <v>1.3325700371811499E-2</v>
      </c>
      <c r="E46" s="1">
        <v>1.41675901576353E-2</v>
      </c>
      <c r="F46" s="1">
        <v>3.4305407343911097E-2</v>
      </c>
      <c r="G46" s="1">
        <v>5.9048557510590301E-2</v>
      </c>
      <c r="H46" s="1">
        <v>1.4255178498223E-2</v>
      </c>
      <c r="I46" s="1">
        <v>3.0258461198691199E-2</v>
      </c>
      <c r="J46" s="1">
        <v>0.58201405787807103</v>
      </c>
      <c r="K46" s="1">
        <v>0.57789161726718297</v>
      </c>
      <c r="L46" s="1">
        <v>-4.55583224246991E-4</v>
      </c>
      <c r="M46" s="1">
        <v>-1.6956779867575E-3</v>
      </c>
      <c r="N46" s="1">
        <v>6.8500000000000005E-2</v>
      </c>
      <c r="O46" s="1">
        <v>6.2319534990904903E-2</v>
      </c>
      <c r="P46" s="1">
        <v>1.3547854785478499</v>
      </c>
      <c r="Q46" s="1">
        <v>1.5064321367312701</v>
      </c>
      <c r="R46" s="1">
        <v>9.2802805280528006E-2</v>
      </c>
      <c r="S46" s="1">
        <v>9.4929457145924906E-2</v>
      </c>
      <c r="T46" s="2">
        <f t="shared" si="0"/>
        <v>0.2195845697691273</v>
      </c>
      <c r="U46" s="2">
        <f t="shared" si="1"/>
        <v>0.14186369958275605</v>
      </c>
      <c r="V46" s="1">
        <v>0.42071045637576898</v>
      </c>
      <c r="W46" s="1">
        <v>-2.2564837759149501E-2</v>
      </c>
      <c r="X46" s="1">
        <v>8.3189687905468497E-3</v>
      </c>
      <c r="Y46" s="1">
        <v>5.3082978149945398E-3</v>
      </c>
      <c r="Z46" s="1">
        <v>3.9296879118212703E-2</v>
      </c>
      <c r="AA46" s="1">
        <v>1.2461531457064899E-2</v>
      </c>
      <c r="AB46" s="1">
        <v>-3.97974729925407E-4</v>
      </c>
      <c r="AC46" s="1">
        <v>-2.2246573579354201E-3</v>
      </c>
    </row>
    <row r="47" spans="1:29" x14ac:dyDescent="0.25">
      <c r="A47">
        <v>1992</v>
      </c>
      <c r="B47" s="1">
        <v>3.4840285965721599E-2</v>
      </c>
      <c r="C47" s="1">
        <v>2.6835347661147899E-2</v>
      </c>
      <c r="D47" s="1">
        <v>2.8177962533858701E-2</v>
      </c>
      <c r="E47" s="1">
        <v>1.4881812451069801E-2</v>
      </c>
      <c r="F47" s="1">
        <v>5.4106623367837101E-2</v>
      </c>
      <c r="G47" s="1">
        <v>5.7876265157524497E-2</v>
      </c>
      <c r="H47" s="1">
        <v>-1.1101885550351999E-3</v>
      </c>
      <c r="I47" s="1">
        <v>3.0466710774417101E-2</v>
      </c>
      <c r="J47" s="1">
        <v>0.58315846919150505</v>
      </c>
      <c r="K47" s="1">
        <v>0.57677490818497901</v>
      </c>
      <c r="L47" s="1">
        <v>1.9643643406352901E-3</v>
      </c>
      <c r="M47" s="1">
        <v>-1.9314589699694199E-3</v>
      </c>
      <c r="N47" s="1">
        <v>7.4916666667499895E-2</v>
      </c>
      <c r="O47" s="1">
        <v>6.07922180296371E-2</v>
      </c>
      <c r="P47" s="1">
        <v>1.7599009900990099</v>
      </c>
      <c r="Q47" s="1">
        <v>1.5185301322771401</v>
      </c>
      <c r="R47" s="1">
        <v>0.13184591584305</v>
      </c>
      <c r="S47" s="1">
        <v>9.3105096934422094E-2</v>
      </c>
      <c r="T47" s="2">
        <f t="shared" si="0"/>
        <v>9.3673965948903495E-2</v>
      </c>
      <c r="U47" s="2">
        <f t="shared" si="1"/>
        <v>0.29902557856273304</v>
      </c>
      <c r="V47" s="1">
        <v>-6.7056327127801602E-2</v>
      </c>
      <c r="W47" s="1">
        <v>-2.48785196516445E-2</v>
      </c>
      <c r="X47" s="1">
        <v>9.6836860966413307E-3</v>
      </c>
      <c r="Y47" s="1">
        <v>3.2171721091898298E-3</v>
      </c>
      <c r="Z47" s="1">
        <v>3.78643112407109E-2</v>
      </c>
      <c r="AA47" s="1">
        <v>1.29303984952924E-2</v>
      </c>
      <c r="AB47" s="1">
        <v>-2.9650342575750297E-4</v>
      </c>
      <c r="AC47" s="1">
        <v>-2.1520531718739401E-3</v>
      </c>
    </row>
    <row r="48" spans="1:29" x14ac:dyDescent="0.25">
      <c r="A48">
        <v>1993</v>
      </c>
      <c r="B48" s="1">
        <v>2.34322776128582E-2</v>
      </c>
      <c r="C48" s="1">
        <v>2.4933912745418601E-2</v>
      </c>
      <c r="D48" s="1">
        <v>1.0416082759800299E-2</v>
      </c>
      <c r="E48" s="1">
        <v>1.5640923079726601E-2</v>
      </c>
      <c r="F48" s="1">
        <v>4.80240039792693E-2</v>
      </c>
      <c r="G48" s="1">
        <v>5.7344781811022198E-2</v>
      </c>
      <c r="H48" s="1">
        <v>2.92613280804623E-2</v>
      </c>
      <c r="I48" s="1">
        <v>3.1290206278340602E-2</v>
      </c>
      <c r="J48" s="1">
        <v>0.58189225258111199</v>
      </c>
      <c r="K48" s="1">
        <v>0.57551274689287102</v>
      </c>
      <c r="L48" s="1">
        <v>-2.1736686399743601E-3</v>
      </c>
      <c r="M48" s="1">
        <v>-2.17224181898677E-3</v>
      </c>
      <c r="N48" s="1">
        <v>6.9083333332499997E-2</v>
      </c>
      <c r="O48" s="1">
        <v>5.9043992136297997E-2</v>
      </c>
      <c r="P48" s="1">
        <v>1.78052805280528</v>
      </c>
      <c r="Q48" s="1">
        <v>1.5261940287664399</v>
      </c>
      <c r="R48" s="1">
        <v>0.123004812979814</v>
      </c>
      <c r="S48" s="1">
        <v>9.0635857401332107E-2</v>
      </c>
      <c r="T48" s="2">
        <f t="shared" si="0"/>
        <v>-7.7864293681001381E-2</v>
      </c>
      <c r="U48" s="2">
        <f t="shared" si="1"/>
        <v>1.1720581340834221E-2</v>
      </c>
      <c r="V48" s="1">
        <v>-7.7318832710495694E-2</v>
      </c>
      <c r="W48" s="1">
        <v>-2.9282240138045899E-2</v>
      </c>
      <c r="X48" s="1">
        <v>7.2314465184180601E-3</v>
      </c>
      <c r="Y48" s="1">
        <v>-5.3259017733683E-3</v>
      </c>
      <c r="Z48" s="1">
        <v>3.6663365940367898E-2</v>
      </c>
      <c r="AA48" s="1">
        <v>1.34371939703308E-2</v>
      </c>
      <c r="AB48" s="1">
        <v>-1.49425178931848E-4</v>
      </c>
      <c r="AC48" s="1">
        <v>-2.0514768425012801E-3</v>
      </c>
    </row>
    <row r="49" spans="1:29" x14ac:dyDescent="0.25">
      <c r="A49">
        <v>1994</v>
      </c>
      <c r="B49" s="1">
        <v>2.1848914174715E-2</v>
      </c>
      <c r="C49" s="1">
        <v>2.32261719700372E-2</v>
      </c>
      <c r="D49" s="1">
        <v>1.8913570872184E-2</v>
      </c>
      <c r="E49" s="1">
        <v>1.64599667884586E-2</v>
      </c>
      <c r="F49" s="1">
        <v>6.8099699920386905E-2</v>
      </c>
      <c r="G49" s="1">
        <v>5.7263067480290399E-2</v>
      </c>
      <c r="H49" s="1">
        <v>2.5057576022201301E-2</v>
      </c>
      <c r="I49" s="1">
        <v>3.25165710758736E-2</v>
      </c>
      <c r="J49" s="1">
        <v>0.57379009878287102</v>
      </c>
      <c r="K49" s="1">
        <v>0.57416305738891005</v>
      </c>
      <c r="L49" s="1">
        <v>-1.40216496912443E-2</v>
      </c>
      <c r="M49" s="1">
        <v>-2.3068289666275999E-3</v>
      </c>
      <c r="N49" s="1">
        <v>6.0999999999999999E-2</v>
      </c>
      <c r="O49" s="1">
        <v>5.7083471531255398E-2</v>
      </c>
      <c r="P49" s="1">
        <v>1.8605610561056101</v>
      </c>
      <c r="Q49" s="1">
        <v>1.52609420635307</v>
      </c>
      <c r="R49" s="1">
        <v>0.113494224422442</v>
      </c>
      <c r="S49" s="1">
        <v>8.7342506931365693E-2</v>
      </c>
      <c r="T49" s="2">
        <f t="shared" si="0"/>
        <v>-0.11700844389767197</v>
      </c>
      <c r="U49" s="2">
        <f t="shared" si="1"/>
        <v>4.4949026876737734E-2</v>
      </c>
      <c r="V49" s="1">
        <v>-0.189024390195559</v>
      </c>
      <c r="W49" s="1">
        <v>-3.3574534325611201E-2</v>
      </c>
      <c r="X49" s="1">
        <v>2.5069630008365301E-3</v>
      </c>
      <c r="Y49" s="1">
        <v>-1.6130383789442902E-2</v>
      </c>
      <c r="Z49" s="1">
        <v>3.5873063046878199E-2</v>
      </c>
      <c r="AA49" s="1">
        <v>1.4108212414225999E-2</v>
      </c>
      <c r="AB49" s="1">
        <v>6.62017573827937E-5</v>
      </c>
      <c r="AC49" s="1">
        <v>-1.9129658785321799E-3</v>
      </c>
    </row>
    <row r="50" spans="1:29" x14ac:dyDescent="0.25">
      <c r="A50">
        <v>1995</v>
      </c>
      <c r="B50" s="1">
        <v>2.0856472363354299E-2</v>
      </c>
      <c r="C50" s="1">
        <v>2.1764850632652301E-2</v>
      </c>
      <c r="D50" s="1">
        <v>5.6961734042643699E-3</v>
      </c>
      <c r="E50" s="1">
        <v>1.7301739918919701E-2</v>
      </c>
      <c r="F50" s="1">
        <v>5.5286394128777103E-2</v>
      </c>
      <c r="G50" s="1">
        <v>5.73468743962183E-2</v>
      </c>
      <c r="H50" s="1">
        <v>4.50246158030045E-2</v>
      </c>
      <c r="I50" s="1">
        <v>3.3913139750449101E-2</v>
      </c>
      <c r="J50" s="1">
        <v>0.57041312870394001</v>
      </c>
      <c r="K50" s="1">
        <v>0.57284755872802895</v>
      </c>
      <c r="L50" s="1">
        <v>-5.9027623817230401E-3</v>
      </c>
      <c r="M50" s="1">
        <v>-2.2240371139198999E-3</v>
      </c>
      <c r="N50" s="1">
        <v>5.59166666699999E-2</v>
      </c>
      <c r="O50" s="1">
        <v>5.50196638468387E-2</v>
      </c>
      <c r="P50" s="1">
        <v>1.64603960396039</v>
      </c>
      <c r="Q50" s="1">
        <v>1.51744438543134</v>
      </c>
      <c r="R50" s="1">
        <v>9.2041047860272202E-2</v>
      </c>
      <c r="S50" s="1">
        <v>8.3369503465018605E-2</v>
      </c>
      <c r="T50" s="2">
        <f t="shared" si="0"/>
        <v>-8.333333327869015E-2</v>
      </c>
      <c r="U50" s="2">
        <f t="shared" si="1"/>
        <v>-0.11529933481153297</v>
      </c>
      <c r="V50" s="1">
        <v>-2.7453880676106698E-2</v>
      </c>
      <c r="W50" s="1">
        <v>-3.6071743713812401E-2</v>
      </c>
      <c r="X50" s="1">
        <v>-2.9008417028606398E-3</v>
      </c>
      <c r="Y50" s="1">
        <v>-2.5623038149341599E-2</v>
      </c>
      <c r="Z50" s="1">
        <v>3.5605996684916798E-2</v>
      </c>
      <c r="AA50" s="1">
        <v>1.50170952319576E-2</v>
      </c>
      <c r="AB50" s="1">
        <v>3.6058425196691701E-4</v>
      </c>
      <c r="AC50" s="1">
        <v>-1.7387192292608301E-3</v>
      </c>
    </row>
    <row r="51" spans="1:29" x14ac:dyDescent="0.25">
      <c r="A51">
        <v>1996</v>
      </c>
      <c r="B51" s="1">
        <v>2.0626435395493799E-2</v>
      </c>
      <c r="C51" s="1">
        <v>2.0588901452959298E-2</v>
      </c>
      <c r="D51" s="1">
        <v>2.1190840164535301E-2</v>
      </c>
      <c r="E51" s="1">
        <v>1.8153574853601001E-2</v>
      </c>
      <c r="F51" s="1">
        <v>6.1178196438516103E-2</v>
      </c>
      <c r="G51" s="1">
        <v>5.7420321114096097E-2</v>
      </c>
      <c r="H51" s="1">
        <v>3.3185758322124399E-2</v>
      </c>
      <c r="I51" s="1">
        <v>3.5172656934963499E-2</v>
      </c>
      <c r="J51" s="1">
        <v>0.56264227639972197</v>
      </c>
      <c r="K51" s="1">
        <v>0.57168424037910204</v>
      </c>
      <c r="L51" s="1">
        <v>-1.3716847579662499E-2</v>
      </c>
      <c r="M51" s="1">
        <v>-1.9298311691378E-3</v>
      </c>
      <c r="N51" s="1">
        <v>5.4083333332499997E-2</v>
      </c>
      <c r="O51" s="1">
        <v>5.3000742000065E-2</v>
      </c>
      <c r="P51" s="1">
        <v>1.65511551155115</v>
      </c>
      <c r="Q51" s="1">
        <v>1.5028029548930699</v>
      </c>
      <c r="R51" s="1">
        <v>8.9514163915012407E-2</v>
      </c>
      <c r="S51" s="1">
        <v>7.9122822117697195E-2</v>
      </c>
      <c r="T51" s="2">
        <f t="shared" si="0"/>
        <v>-3.2786885318461093E-2</v>
      </c>
      <c r="U51" s="2">
        <f t="shared" si="1"/>
        <v>5.513784461153492E-3</v>
      </c>
      <c r="V51" s="1">
        <v>-0.13684601047684</v>
      </c>
      <c r="W51" s="1">
        <v>-3.5998860870484803E-2</v>
      </c>
      <c r="X51" s="1">
        <v>-6.9884334082522502E-3</v>
      </c>
      <c r="Y51" s="1">
        <v>-3.0842513552582301E-2</v>
      </c>
      <c r="Z51" s="1">
        <v>3.5873048316083601E-2</v>
      </c>
      <c r="AA51" s="1">
        <v>1.61448549481229E-2</v>
      </c>
      <c r="AB51" s="1">
        <v>7.2480774557700297E-4</v>
      </c>
      <c r="AC51" s="1">
        <v>-1.54300316876176E-3</v>
      </c>
    </row>
    <row r="52" spans="1:29" x14ac:dyDescent="0.25">
      <c r="A52">
        <v>1997</v>
      </c>
      <c r="B52" s="1">
        <v>1.8851649226814898E-2</v>
      </c>
      <c r="C52" s="1">
        <v>1.9728193367960799E-2</v>
      </c>
      <c r="D52" s="1">
        <v>2.3640846722244601E-2</v>
      </c>
      <c r="E52" s="1">
        <v>1.88867483098469E-2</v>
      </c>
      <c r="F52" s="1">
        <v>6.8326399999999898E-2</v>
      </c>
      <c r="G52" s="1">
        <v>5.7286921386539798E-2</v>
      </c>
      <c r="H52" s="1">
        <v>4.0528147705710199E-2</v>
      </c>
      <c r="I52" s="1">
        <v>3.6098982022838899E-2</v>
      </c>
      <c r="J52" s="1">
        <v>0.55952469947197603</v>
      </c>
      <c r="K52" s="1">
        <v>0.57076674751076095</v>
      </c>
      <c r="L52" s="1">
        <v>-5.5563655241538303E-3</v>
      </c>
      <c r="M52" s="1">
        <v>-1.4669632932334401E-3</v>
      </c>
      <c r="N52" s="1">
        <v>4.9416666667499998E-2</v>
      </c>
      <c r="O52" s="1">
        <v>5.1183848936182802E-2</v>
      </c>
      <c r="P52" s="1">
        <v>1.5635313531353101</v>
      </c>
      <c r="Q52" s="1">
        <v>1.4860142558153699</v>
      </c>
      <c r="R52" s="1">
        <v>7.7264507702072993E-2</v>
      </c>
      <c r="S52" s="1">
        <v>7.5095153448760499E-2</v>
      </c>
      <c r="T52" s="2">
        <f t="shared" si="0"/>
        <v>-8.6286594731683916E-2</v>
      </c>
      <c r="U52" s="2">
        <f t="shared" si="1"/>
        <v>-5.5333998005981204E-2</v>
      </c>
      <c r="V52" s="1">
        <v>-0.16482088754730001</v>
      </c>
      <c r="W52" s="1">
        <v>-3.3090274695625699E-2</v>
      </c>
      <c r="X52" s="1">
        <v>-8.9483287400165899E-3</v>
      </c>
      <c r="Y52" s="1">
        <v>-3.0461472219145101E-2</v>
      </c>
      <c r="Z52" s="1">
        <v>3.6534130373183898E-2</v>
      </c>
      <c r="AA52" s="1">
        <v>1.7321159719099598E-2</v>
      </c>
      <c r="AB52" s="1">
        <v>1.12801091864284E-3</v>
      </c>
      <c r="AC52" s="1">
        <v>-1.3473835401853699E-3</v>
      </c>
    </row>
    <row r="53" spans="1:29" x14ac:dyDescent="0.25">
      <c r="A53">
        <v>1998</v>
      </c>
      <c r="B53" s="1">
        <v>1.7510743215584799E-2</v>
      </c>
      <c r="C53" s="1">
        <v>1.9212970654084501E-2</v>
      </c>
      <c r="D53" s="1">
        <v>2.4503773178369999E-2</v>
      </c>
      <c r="E53" s="1">
        <v>1.9402909658111402E-2</v>
      </c>
      <c r="F53" s="1">
        <v>6.3800726070234695E-2</v>
      </c>
      <c r="G53" s="1">
        <v>5.6787767719409202E-2</v>
      </c>
      <c r="H53" s="1">
        <v>4.8582568608285102E-2</v>
      </c>
      <c r="I53" s="1">
        <v>3.6476105421368699E-2</v>
      </c>
      <c r="J53" s="1">
        <v>0.56626543778865202</v>
      </c>
      <c r="K53" s="1">
        <v>0.57009830565184305</v>
      </c>
      <c r="L53" s="1">
        <v>1.19752672352501E-2</v>
      </c>
      <c r="M53" s="1">
        <v>-9.960558112642509E-4</v>
      </c>
      <c r="N53" s="1">
        <v>4.4999999997499998E-2</v>
      </c>
      <c r="O53" s="1">
        <v>4.97369535137651E-2</v>
      </c>
      <c r="P53" s="1">
        <v>1.4339933993399301</v>
      </c>
      <c r="Q53" s="1">
        <v>1.4724457548419401</v>
      </c>
      <c r="R53" s="1">
        <v>6.4529702966711996E-2</v>
      </c>
      <c r="S53" s="1">
        <v>7.1883101435540497E-2</v>
      </c>
      <c r="T53" s="2">
        <f t="shared" si="0"/>
        <v>-8.9376054028846949E-2</v>
      </c>
      <c r="U53" s="2">
        <f t="shared" si="1"/>
        <v>-8.2849604221636369E-2</v>
      </c>
      <c r="V53" s="1">
        <v>-0.13466947954101299</v>
      </c>
      <c r="W53" s="1">
        <v>-2.70537496839535E-2</v>
      </c>
      <c r="X53" s="1">
        <v>-7.8481735967703102E-3</v>
      </c>
      <c r="Y53" s="1">
        <v>-2.3118690040245402E-2</v>
      </c>
      <c r="Z53" s="1">
        <v>3.7353686187437299E-2</v>
      </c>
      <c r="AA53" s="1">
        <v>1.82889740410908E-2</v>
      </c>
      <c r="AB53" s="1">
        <v>1.4985717229834901E-3</v>
      </c>
      <c r="AC53" s="1">
        <v>-1.1836751874709701E-3</v>
      </c>
    </row>
    <row r="54" spans="1:29" x14ac:dyDescent="0.25">
      <c r="A54">
        <v>1999</v>
      </c>
      <c r="B54" s="1">
        <v>1.1233168667823199E-2</v>
      </c>
      <c r="C54" s="1">
        <v>1.90647121463467E-2</v>
      </c>
      <c r="D54" s="1">
        <v>2.34751773869913E-2</v>
      </c>
      <c r="E54" s="1">
        <v>1.9651249252972101E-2</v>
      </c>
      <c r="F54" s="1">
        <v>6.1472271027616397E-2</v>
      </c>
      <c r="G54" s="1">
        <v>5.5874347404699203E-2</v>
      </c>
      <c r="H54" s="1">
        <v>5.0614917183155202E-2</v>
      </c>
      <c r="I54" s="1">
        <v>3.6132309194675097E-2</v>
      </c>
      <c r="J54" s="1">
        <v>0.568625215482775</v>
      </c>
      <c r="K54" s="1">
        <v>0.56956971985080196</v>
      </c>
      <c r="L54" s="1">
        <v>4.1586052156692404E-3</v>
      </c>
      <c r="M54" s="1">
        <v>-7.1862507059683195E-4</v>
      </c>
      <c r="N54" s="1">
        <v>4.2166666667499998E-2</v>
      </c>
      <c r="O54" s="1">
        <v>4.8810352768698197E-2</v>
      </c>
      <c r="P54" s="1">
        <v>1.3242574257425701</v>
      </c>
      <c r="Q54" s="1">
        <v>1.4682400895896801</v>
      </c>
      <c r="R54" s="1">
        <v>5.5839521453248699E-2</v>
      </c>
      <c r="S54" s="1">
        <v>7.0104963597902595E-2</v>
      </c>
      <c r="T54" s="2">
        <f t="shared" si="0"/>
        <v>-6.2962962892386828E-2</v>
      </c>
      <c r="U54" s="2">
        <f t="shared" si="1"/>
        <v>-7.6524741081703485E-2</v>
      </c>
      <c r="V54" s="1">
        <v>-0.102803738335487</v>
      </c>
      <c r="W54" s="1">
        <v>-1.8168530759971501E-2</v>
      </c>
      <c r="X54" s="1">
        <v>-3.2353690997834E-3</v>
      </c>
      <c r="Y54" s="1">
        <v>-8.5167882896755899E-3</v>
      </c>
      <c r="Z54" s="1">
        <v>3.80871783804703E-2</v>
      </c>
      <c r="AA54" s="1">
        <v>1.8799303975091702E-2</v>
      </c>
      <c r="AB54" s="1">
        <v>1.7256377971252999E-3</v>
      </c>
      <c r="AC54" s="1">
        <v>-1.08986200506922E-3</v>
      </c>
    </row>
    <row r="55" spans="1:29" x14ac:dyDescent="0.25">
      <c r="A55">
        <v>2000</v>
      </c>
      <c r="B55" s="1">
        <v>1.45920258173447E-2</v>
      </c>
      <c r="C55" s="1">
        <v>1.9287874405378699E-2</v>
      </c>
      <c r="D55" s="1">
        <v>2.4277982005534399E-2</v>
      </c>
      <c r="E55" s="1">
        <v>1.96319660842098E-2</v>
      </c>
      <c r="F55" s="1">
        <v>7.0124992042102499E-2</v>
      </c>
      <c r="G55" s="1">
        <v>5.4568277317912701E-2</v>
      </c>
      <c r="H55" s="1">
        <v>4.5064853560443097E-2</v>
      </c>
      <c r="I55" s="1">
        <v>3.5016940038749597E-2</v>
      </c>
      <c r="J55" s="1">
        <v>0.57442593519966101</v>
      </c>
      <c r="K55" s="1">
        <v>0.56903346647745401</v>
      </c>
      <c r="L55" s="1">
        <v>1.0149623680500401E-2</v>
      </c>
      <c r="M55" s="1">
        <v>-7.0647418813265899E-4</v>
      </c>
      <c r="N55" s="1">
        <v>0.04</v>
      </c>
      <c r="O55" s="1">
        <v>4.8506974201705501E-2</v>
      </c>
      <c r="P55" s="1">
        <v>1.25247524752475</v>
      </c>
      <c r="Q55" s="1">
        <v>1.4791553741204599</v>
      </c>
      <c r="R55" s="1">
        <v>5.0099009900990102E-2</v>
      </c>
      <c r="S55" s="1">
        <v>7.03055034710241E-2</v>
      </c>
      <c r="T55" s="2">
        <f t="shared" si="0"/>
        <v>-5.138339922823347E-2</v>
      </c>
      <c r="U55" s="2">
        <f t="shared" si="1"/>
        <v>-5.4205607476634388E-2</v>
      </c>
      <c r="V55" s="1">
        <v>0.232487922726859</v>
      </c>
      <c r="W55" s="1">
        <v>-7.37957794646162E-3</v>
      </c>
      <c r="X55" s="1">
        <v>4.5563272487299496E-3</v>
      </c>
      <c r="Y55" s="1">
        <v>1.22245897837014E-2</v>
      </c>
      <c r="Z55" s="1">
        <v>3.8593655683382001E-2</v>
      </c>
      <c r="AA55" s="1">
        <v>1.8785057126355299E-2</v>
      </c>
      <c r="AB55" s="1">
        <v>1.6991764304277899E-3</v>
      </c>
      <c r="AC55" s="1">
        <v>-1.10056109898826E-3</v>
      </c>
    </row>
    <row r="56" spans="1:29" x14ac:dyDescent="0.25">
      <c r="A56">
        <v>2001</v>
      </c>
      <c r="B56" s="1">
        <v>2.1428781111253101E-2</v>
      </c>
      <c r="C56" s="1">
        <v>1.98085985570268E-2</v>
      </c>
      <c r="D56" s="1">
        <v>5.9638417026769202E-3</v>
      </c>
      <c r="E56" s="1">
        <v>1.93834984229448E-2</v>
      </c>
      <c r="F56" s="1">
        <v>3.0142283476277801E-2</v>
      </c>
      <c r="G56" s="1">
        <v>5.2947153570781801E-2</v>
      </c>
      <c r="H56" s="1">
        <v>4.63466755328409E-2</v>
      </c>
      <c r="I56" s="1">
        <v>3.3224170729468601E-2</v>
      </c>
      <c r="J56" s="1">
        <v>0.57601787180851305</v>
      </c>
      <c r="K56" s="1">
        <v>0.56833257685794103</v>
      </c>
      <c r="L56" s="1">
        <v>2.7675191351885699E-3</v>
      </c>
      <c r="M56" s="1">
        <v>-9.8263397791054498E-4</v>
      </c>
      <c r="N56" s="1">
        <v>4.7666666667499899E-2</v>
      </c>
      <c r="O56" s="1">
        <v>4.8863308452498699E-2</v>
      </c>
      <c r="P56" s="1">
        <v>1.29537953795379</v>
      </c>
      <c r="Q56" s="1">
        <v>1.50950989585769</v>
      </c>
      <c r="R56" s="1">
        <v>6.1746424643543699E-2</v>
      </c>
      <c r="S56" s="1">
        <v>7.28868301686353E-2</v>
      </c>
      <c r="T56" s="2">
        <f t="shared" si="0"/>
        <v>0.19166666668749746</v>
      </c>
      <c r="U56" s="2">
        <f t="shared" si="1"/>
        <v>3.4255599472988514E-2</v>
      </c>
      <c r="V56" s="1">
        <v>0.54558816974270197</v>
      </c>
      <c r="W56" s="1">
        <v>3.8995093394386098E-3</v>
      </c>
      <c r="X56" s="1">
        <v>1.44293989349411E-2</v>
      </c>
      <c r="Y56" s="1">
        <v>3.6724274018509299E-2</v>
      </c>
      <c r="Z56" s="1">
        <v>3.87737202565476E-2</v>
      </c>
      <c r="AA56" s="1">
        <v>1.8267653015290899E-2</v>
      </c>
      <c r="AB56" s="1">
        <v>1.3775730291165399E-3</v>
      </c>
      <c r="AC56" s="1">
        <v>-1.23560792153121E-3</v>
      </c>
    </row>
    <row r="57" spans="1:29" x14ac:dyDescent="0.25">
      <c r="A57">
        <v>2002</v>
      </c>
      <c r="B57" s="1">
        <v>2.2335840779059101E-2</v>
      </c>
      <c r="C57" s="1">
        <v>2.0506067241256701E-2</v>
      </c>
      <c r="D57" s="1">
        <v>1.9613356563788899E-2</v>
      </c>
      <c r="E57" s="1">
        <v>1.8990744699511199E-2</v>
      </c>
      <c r="F57" s="1">
        <v>2.6459406131190098E-2</v>
      </c>
      <c r="G57" s="1">
        <v>5.1244139422280399E-2</v>
      </c>
      <c r="H57" s="1">
        <v>7.3610912194881804E-3</v>
      </c>
      <c r="I57" s="1">
        <v>3.0948653177925101E-2</v>
      </c>
      <c r="J57" s="1">
        <v>0.57353291719557198</v>
      </c>
      <c r="K57" s="1">
        <v>0.56736400700562295</v>
      </c>
      <c r="L57" s="1">
        <v>-4.3233557095814197E-3</v>
      </c>
      <c r="M57" s="1">
        <v>-1.46157427528297E-3</v>
      </c>
      <c r="N57" s="1">
        <v>5.78333333325E-2</v>
      </c>
      <c r="O57" s="1">
        <v>4.9830776418772302E-2</v>
      </c>
      <c r="P57" s="1">
        <v>1.6501650165016499</v>
      </c>
      <c r="Q57" s="1">
        <v>1.56135514095883</v>
      </c>
      <c r="R57" s="1">
        <v>9.5434543452970394E-2</v>
      </c>
      <c r="S57" s="1">
        <v>7.8048987868766503E-2</v>
      </c>
      <c r="T57" s="2">
        <f t="shared" si="0"/>
        <v>0.21328671324802204</v>
      </c>
      <c r="U57" s="2">
        <f t="shared" si="1"/>
        <v>0.27388535031847644</v>
      </c>
      <c r="V57" s="1">
        <v>0.19723342941206301</v>
      </c>
      <c r="W57" s="1">
        <v>1.38014218060033E-2</v>
      </c>
      <c r="X57" s="1">
        <v>2.4683465396449E-2</v>
      </c>
      <c r="Y57" s="1">
        <v>6.1450810972179998E-2</v>
      </c>
      <c r="Z57" s="1">
        <v>3.8700569660744998E-2</v>
      </c>
      <c r="AA57" s="1">
        <v>1.7424904737168501E-2</v>
      </c>
      <c r="AB57" s="1">
        <v>8.2631362372352396E-4</v>
      </c>
      <c r="AC57" s="1">
        <v>-1.4918428546104501E-3</v>
      </c>
    </row>
    <row r="58" spans="1:29" x14ac:dyDescent="0.25">
      <c r="A58">
        <v>2003</v>
      </c>
      <c r="B58" s="1">
        <v>1.6061748176946802E-2</v>
      </c>
      <c r="C58" s="1">
        <v>2.12756649235765E-2</v>
      </c>
      <c r="D58" s="1">
        <v>2.6329840091803999E-2</v>
      </c>
      <c r="E58" s="1">
        <v>1.8404406777040201E-2</v>
      </c>
      <c r="F58" s="1">
        <v>4.32373129289974E-2</v>
      </c>
      <c r="G58" s="1">
        <v>4.9464349430437801E-2</v>
      </c>
      <c r="H58" s="1">
        <v>1.0053662615548201E-2</v>
      </c>
      <c r="I58" s="1">
        <v>2.8516264343246198E-2</v>
      </c>
      <c r="J58" s="1">
        <v>0.57421813854435699</v>
      </c>
      <c r="K58" s="1">
        <v>0.56610156588336702</v>
      </c>
      <c r="L58" s="1">
        <v>1.1940244825174801E-3</v>
      </c>
      <c r="M58" s="1">
        <v>-2.02026338447142E-3</v>
      </c>
      <c r="N58" s="1">
        <v>0.06</v>
      </c>
      <c r="O58" s="1">
        <v>5.13488325803707E-2</v>
      </c>
      <c r="P58" s="1">
        <v>1.9042904290428999</v>
      </c>
      <c r="Q58" s="1">
        <v>1.6346012920022699</v>
      </c>
      <c r="R58" s="1">
        <v>0.114257425742574</v>
      </c>
      <c r="S58" s="1">
        <v>8.5880616694196998E-2</v>
      </c>
      <c r="T58" s="2">
        <f t="shared" si="0"/>
        <v>3.7463976960193962E-2</v>
      </c>
      <c r="U58" s="2">
        <f t="shared" si="1"/>
        <v>0.1539999999999975</v>
      </c>
      <c r="V58" s="1">
        <v>-6.1212810514154101E-2</v>
      </c>
      <c r="W58" s="1">
        <v>2.21733839430657E-2</v>
      </c>
      <c r="X58" s="1">
        <v>3.3810671485370598E-2</v>
      </c>
      <c r="Y58" s="1">
        <v>8.4830383689228794E-2</v>
      </c>
      <c r="Z58" s="1">
        <v>3.8370053697576102E-2</v>
      </c>
      <c r="AA58" s="1">
        <v>1.63389798927039E-2</v>
      </c>
      <c r="AB58" s="1">
        <v>1.6984629327099801E-4</v>
      </c>
      <c r="AC58" s="1">
        <v>-1.84979361323178E-3</v>
      </c>
    </row>
    <row r="59" spans="1:29" x14ac:dyDescent="0.25">
      <c r="A59">
        <v>2004</v>
      </c>
      <c r="B59" s="1">
        <v>2.0813176503176999E-2</v>
      </c>
      <c r="C59" s="1">
        <v>2.2031073804872198E-2</v>
      </c>
      <c r="D59" s="1">
        <v>2.83004600248099E-2</v>
      </c>
      <c r="E59" s="1">
        <v>1.7581412637305699E-2</v>
      </c>
      <c r="F59" s="1">
        <v>6.7421688912857797E-2</v>
      </c>
      <c r="G59" s="1">
        <v>4.7365050820371901E-2</v>
      </c>
      <c r="H59" s="1">
        <v>2.15155028091156E-2</v>
      </c>
      <c r="I59" s="1">
        <v>2.6017005564974299E-2</v>
      </c>
      <c r="J59" s="1">
        <v>0.56416251003804796</v>
      </c>
      <c r="K59" s="1">
        <v>0.56458075155594101</v>
      </c>
      <c r="L59" s="1">
        <v>-1.7667008073315699E-2</v>
      </c>
      <c r="M59" s="1">
        <v>-2.5642874240403698E-3</v>
      </c>
      <c r="N59" s="1">
        <v>5.525E-2</v>
      </c>
      <c r="O59" s="1">
        <v>5.3436956986275902E-2</v>
      </c>
      <c r="P59" s="1">
        <v>1.94141914191419</v>
      </c>
      <c r="Q59" s="1">
        <v>1.73004663032187</v>
      </c>
      <c r="R59" s="1">
        <v>0.107263407590759</v>
      </c>
      <c r="S59" s="1">
        <v>9.6644212323548306E-2</v>
      </c>
      <c r="T59" s="2">
        <f t="shared" si="0"/>
        <v>-7.9166666666666621E-2</v>
      </c>
      <c r="U59" s="2">
        <f t="shared" si="1"/>
        <v>1.9497400346622028E-2</v>
      </c>
      <c r="V59" s="1">
        <v>-0.13302167445813801</v>
      </c>
      <c r="W59" s="1">
        <v>3.0657935713350098E-2</v>
      </c>
      <c r="X59" s="1">
        <v>4.24770430118558E-2</v>
      </c>
      <c r="Y59" s="1">
        <v>0.110130548801876</v>
      </c>
      <c r="Z59" s="1">
        <v>3.7704622358596597E-2</v>
      </c>
      <c r="AA59" s="1">
        <v>1.50707854400329E-2</v>
      </c>
      <c r="AB59" s="1">
        <v>-4.8822824148215703E-4</v>
      </c>
      <c r="AC59" s="1">
        <v>-2.29163393731735E-3</v>
      </c>
    </row>
    <row r="60" spans="1:29" x14ac:dyDescent="0.25">
      <c r="A60">
        <v>2005</v>
      </c>
      <c r="B60" s="1">
        <v>2.77724335470305E-2</v>
      </c>
      <c r="C60" s="1">
        <v>2.2633836918563702E-2</v>
      </c>
      <c r="D60" s="1">
        <v>1.7806904891129901E-2</v>
      </c>
      <c r="E60" s="1">
        <v>1.6557944595229499E-2</v>
      </c>
      <c r="F60" s="1">
        <v>7.0935363265856005E-2</v>
      </c>
      <c r="G60" s="1">
        <v>4.4641240452186502E-2</v>
      </c>
      <c r="H60" s="1">
        <v>3.7473670550467103E-2</v>
      </c>
      <c r="I60" s="1">
        <v>2.33562521653751E-2</v>
      </c>
      <c r="J60" s="1">
        <v>0.55605990996483201</v>
      </c>
      <c r="K60" s="1">
        <v>0.56291822781472001</v>
      </c>
      <c r="L60" s="1">
        <v>-1.4466308178415601E-2</v>
      </c>
      <c r="M60" s="1">
        <v>-2.9670896338844198E-3</v>
      </c>
      <c r="N60" s="1">
        <v>5.0999999999999997E-2</v>
      </c>
      <c r="O60" s="1">
        <v>5.6201141359666099E-2</v>
      </c>
      <c r="P60" s="1">
        <v>1.82343234323432</v>
      </c>
      <c r="Q60" s="1">
        <v>1.8511863286218599</v>
      </c>
      <c r="R60" s="1">
        <v>9.2995049504950494E-2</v>
      </c>
      <c r="S60" s="1">
        <v>0.110886038525925</v>
      </c>
      <c r="T60" s="2">
        <f t="shared" si="0"/>
        <v>-7.6923076923076997E-2</v>
      </c>
      <c r="U60" s="2">
        <f t="shared" si="1"/>
        <v>-6.0773480662984478E-2</v>
      </c>
      <c r="V60" s="1">
        <v>-0.17069248513885199</v>
      </c>
      <c r="W60" s="1">
        <v>4.1043675755327101E-2</v>
      </c>
      <c r="X60" s="1">
        <v>5.2442840752060002E-2</v>
      </c>
      <c r="Y60" s="1">
        <v>0.141742893399571</v>
      </c>
      <c r="Z60" s="1">
        <v>3.6726113512981197E-2</v>
      </c>
      <c r="AA60" s="1">
        <v>1.37927951879275E-2</v>
      </c>
      <c r="AB60" s="1">
        <v>-1.08521528259457E-3</v>
      </c>
      <c r="AC60" s="1">
        <v>-2.80578100392547E-3</v>
      </c>
    </row>
    <row r="61" spans="1:29" x14ac:dyDescent="0.25">
      <c r="A61">
        <v>2006</v>
      </c>
      <c r="B61" s="1">
        <v>3.2667830264385599E-2</v>
      </c>
      <c r="C61" s="1">
        <v>2.29333183250537E-2</v>
      </c>
      <c r="D61" s="1">
        <v>1.86959563979988E-2</v>
      </c>
      <c r="E61" s="1">
        <v>1.54773754396081E-2</v>
      </c>
      <c r="F61" s="1">
        <v>7.0883786758924303E-2</v>
      </c>
      <c r="G61" s="1">
        <v>4.1188481566910198E-2</v>
      </c>
      <c r="H61" s="1">
        <v>3.5864607620747301E-2</v>
      </c>
      <c r="I61" s="1">
        <v>2.0394364439155599E-2</v>
      </c>
      <c r="J61" s="1">
        <v>0.54947022275017099</v>
      </c>
      <c r="K61" s="1">
        <v>0.56122647603590303</v>
      </c>
      <c r="L61" s="1">
        <v>-1.19214575233432E-2</v>
      </c>
      <c r="M61" s="1">
        <v>-3.2531404603908902E-3</v>
      </c>
      <c r="N61" s="1">
        <v>4.6249999999999999E-2</v>
      </c>
      <c r="O61" s="1">
        <v>5.9765507853856398E-2</v>
      </c>
      <c r="P61" s="1">
        <v>1.6674917491749099</v>
      </c>
      <c r="Q61" s="1">
        <v>2.00362928472242</v>
      </c>
      <c r="R61" s="1">
        <v>7.7121493399339894E-2</v>
      </c>
      <c r="S61" s="1">
        <v>0.12925855102310499</v>
      </c>
      <c r="T61" s="2">
        <f t="shared" si="0"/>
        <v>-9.3137254901960731E-2</v>
      </c>
      <c r="U61" s="2">
        <f t="shared" si="1"/>
        <v>-8.5520361990952656E-2</v>
      </c>
      <c r="V61" s="1">
        <v>4.9480455220191402E-4</v>
      </c>
      <c r="W61" s="1">
        <v>5.39878611320916E-2</v>
      </c>
      <c r="X61" s="1">
        <v>6.5236652663013595E-2</v>
      </c>
      <c r="Y61" s="1">
        <v>0.18234557097860199</v>
      </c>
      <c r="Z61" s="1">
        <v>3.5463383009764898E-2</v>
      </c>
      <c r="AA61" s="1">
        <v>1.26331149587349E-2</v>
      </c>
      <c r="AB61" s="1">
        <v>-1.5863978494104901E-3</v>
      </c>
      <c r="AC61" s="1">
        <v>-3.3788817730895301E-3</v>
      </c>
    </row>
    <row r="62" spans="1:29" x14ac:dyDescent="0.25">
      <c r="A62">
        <v>2007</v>
      </c>
      <c r="B62" s="1">
        <v>3.1799009548948799E-2</v>
      </c>
      <c r="C62" s="1">
        <v>2.28302680510299E-2</v>
      </c>
      <c r="D62" s="1">
        <v>-9.0097648603839394E-3</v>
      </c>
      <c r="E62" s="1">
        <v>1.4495567562197199E-2</v>
      </c>
      <c r="F62" s="1">
        <v>3.0926245456881701E-2</v>
      </c>
      <c r="G62" s="1">
        <v>3.71652786337082E-2</v>
      </c>
      <c r="H62" s="1">
        <v>3.6685266933816303E-2</v>
      </c>
      <c r="I62" s="1">
        <v>1.7132876864873699E-2</v>
      </c>
      <c r="J62" s="1">
        <v>0.56000303273153496</v>
      </c>
      <c r="K62" s="1">
        <v>0.55954939441718798</v>
      </c>
      <c r="L62" s="1">
        <v>1.8987616648811101E-2</v>
      </c>
      <c r="M62" s="1">
        <v>-3.5619025353924401E-3</v>
      </c>
      <c r="N62" s="1">
        <v>4.6249999999999999E-2</v>
      </c>
      <c r="O62" s="1">
        <v>6.42021672085656E-2</v>
      </c>
      <c r="P62" s="1">
        <v>1.66831683168316</v>
      </c>
      <c r="Q62" s="1">
        <v>2.19270685658983</v>
      </c>
      <c r="R62" s="1">
        <v>7.7159653465346506E-2</v>
      </c>
      <c r="S62" s="1">
        <v>0.152235295646656</v>
      </c>
      <c r="T62" s="2">
        <f t="shared" si="0"/>
        <v>0</v>
      </c>
      <c r="U62" s="2">
        <f t="shared" si="1"/>
        <v>4.9480455220143904E-4</v>
      </c>
      <c r="V62" s="1">
        <v>0.32413719357339499</v>
      </c>
      <c r="W62" s="1">
        <v>6.8936885072449799E-2</v>
      </c>
      <c r="X62" s="1">
        <v>8.12356523520706E-2</v>
      </c>
      <c r="Y62" s="1">
        <v>0.23186908935668099</v>
      </c>
      <c r="Z62" s="1">
        <v>3.3937696517186602E-2</v>
      </c>
      <c r="AA62" s="1">
        <v>1.1614915274613599E-2</v>
      </c>
      <c r="AB62" s="1">
        <v>-1.9787517732667401E-3</v>
      </c>
      <c r="AC62" s="1">
        <v>-3.9901297082924796E-3</v>
      </c>
    </row>
    <row r="63" spans="1:29" x14ac:dyDescent="0.25">
      <c r="A63">
        <v>2008</v>
      </c>
      <c r="B63" s="1">
        <v>2.86091182461111E-2</v>
      </c>
      <c r="C63" s="1">
        <v>2.2322781242573E-2</v>
      </c>
      <c r="D63" s="1">
        <v>4.1457788748451999E-3</v>
      </c>
      <c r="E63" s="1">
        <v>1.38005691643365E-2</v>
      </c>
      <c r="F63" s="1">
        <v>1.8040411090615001E-2</v>
      </c>
      <c r="G63" s="1">
        <v>3.3027089173665897E-2</v>
      </c>
      <c r="H63" s="1">
        <v>1.8485473305839E-3</v>
      </c>
      <c r="I63" s="1">
        <v>1.37280263529034E-2</v>
      </c>
      <c r="J63" s="1">
        <v>0.56524453051374601</v>
      </c>
      <c r="K63" s="1">
        <v>0.55781331862341599</v>
      </c>
      <c r="L63" s="1">
        <v>9.3162355795776107E-3</v>
      </c>
      <c r="M63" s="1">
        <v>-4.1195216613512404E-3</v>
      </c>
      <c r="N63" s="1">
        <v>5.8000000000000003E-2</v>
      </c>
      <c r="O63" s="1">
        <v>6.9448075084973707E-2</v>
      </c>
      <c r="P63" s="1">
        <v>1.7615511551155101</v>
      </c>
      <c r="Q63" s="1">
        <v>2.4203890268349202</v>
      </c>
      <c r="R63" s="1">
        <v>0.102169966996699</v>
      </c>
      <c r="S63" s="1">
        <v>0.179768447651907</v>
      </c>
      <c r="T63" s="2">
        <f t="shared" si="0"/>
        <v>0.25405405405405412</v>
      </c>
      <c r="U63" s="2">
        <f t="shared" si="1"/>
        <v>5.5885262116720485E-2</v>
      </c>
      <c r="V63" s="1">
        <v>1.1922555115884601</v>
      </c>
      <c r="W63" s="1">
        <v>8.3819620506228001E-2</v>
      </c>
      <c r="X63" s="1">
        <v>9.9270646128873402E-2</v>
      </c>
      <c r="Y63" s="1">
        <v>0.28671357579034501</v>
      </c>
      <c r="Z63" s="1">
        <v>3.2202206148898002E-2</v>
      </c>
      <c r="AA63" s="1">
        <v>1.0703565688155E-2</v>
      </c>
      <c r="AB63" s="1">
        <v>-2.2674057839825001E-3</v>
      </c>
      <c r="AC63" s="1">
        <v>-4.6108220775749002E-3</v>
      </c>
    </row>
    <row r="64" spans="1:29" x14ac:dyDescent="0.25">
      <c r="A64">
        <v>2009</v>
      </c>
      <c r="B64" s="1">
        <v>2.19273341229674E-2</v>
      </c>
      <c r="C64" s="1">
        <v>2.1498640460742999E-2</v>
      </c>
      <c r="D64" s="1">
        <v>1.09148029112986E-2</v>
      </c>
      <c r="E64" s="1">
        <v>1.3345375123139699E-2</v>
      </c>
      <c r="F64" s="1">
        <v>-3.0684203162165899E-2</v>
      </c>
      <c r="G64" s="1">
        <v>2.9166980376100601E-2</v>
      </c>
      <c r="H64" s="1">
        <v>-4.0477202298567199E-3</v>
      </c>
      <c r="I64" s="1">
        <v>1.05315737143077E-2</v>
      </c>
      <c r="J64" s="1">
        <v>0.56384659495982703</v>
      </c>
      <c r="K64" s="1">
        <v>0.55594912070257396</v>
      </c>
      <c r="L64" s="1">
        <v>-2.4762151374384499E-3</v>
      </c>
      <c r="M64" s="1">
        <v>-4.9266484488874399E-3</v>
      </c>
      <c r="N64" s="1">
        <v>9.2999999999999902E-2</v>
      </c>
      <c r="O64" s="1">
        <v>7.5260665472175206E-2</v>
      </c>
      <c r="P64" s="1">
        <v>2.4084158415841501</v>
      </c>
      <c r="Q64" s="1">
        <v>2.6834018778194402</v>
      </c>
      <c r="R64" s="1">
        <v>0.22398267326732599</v>
      </c>
      <c r="S64" s="1">
        <v>0.211059425872375</v>
      </c>
      <c r="T64" s="2">
        <f t="shared" si="0"/>
        <v>0.60344827586206717</v>
      </c>
      <c r="U64" s="2">
        <f t="shared" si="1"/>
        <v>0.36721311475409479</v>
      </c>
      <c r="V64" s="1">
        <v>0.40758361053093001</v>
      </c>
      <c r="W64" s="1">
        <v>9.5875571512527902E-2</v>
      </c>
      <c r="X64" s="1">
        <v>0.117365030601311</v>
      </c>
      <c r="Y64" s="1">
        <v>0.340965414688085</v>
      </c>
      <c r="Z64" s="1">
        <v>3.03566464673433E-2</v>
      </c>
      <c r="AA64" s="1">
        <v>9.8481548307079603E-3</v>
      </c>
      <c r="AB64" s="1">
        <v>-2.46968481996882E-3</v>
      </c>
      <c r="AC64" s="1">
        <v>-5.2096001715433698E-3</v>
      </c>
    </row>
    <row r="65" spans="1:29" x14ac:dyDescent="0.25">
      <c r="A65">
        <v>2010</v>
      </c>
      <c r="B65" s="1">
        <v>8.6837064691145903E-3</v>
      </c>
      <c r="C65" s="1">
        <v>2.0508491636635401E-2</v>
      </c>
      <c r="D65" s="1">
        <v>3.6933048904455798E-2</v>
      </c>
      <c r="E65" s="1">
        <v>1.29864324128257E-2</v>
      </c>
      <c r="F65" s="1">
        <v>4.4762330932344101E-2</v>
      </c>
      <c r="G65" s="1">
        <v>2.5828152649498899E-2</v>
      </c>
      <c r="H65" s="1">
        <v>-3.9848526924820001E-2</v>
      </c>
      <c r="I65" s="1">
        <v>7.7764849699268803E-3</v>
      </c>
      <c r="J65" s="1">
        <v>0.54942399894763205</v>
      </c>
      <c r="K65" s="1">
        <v>0.55396198482154801</v>
      </c>
      <c r="L65" s="1">
        <v>-2.5911764938114801E-2</v>
      </c>
      <c r="M65" s="1">
        <v>-5.8495759362118798E-3</v>
      </c>
      <c r="N65" s="1">
        <v>9.6249999999999905E-2</v>
      </c>
      <c r="O65" s="1">
        <v>8.1282891608414801E-2</v>
      </c>
      <c r="P65" s="1">
        <v>3.2755775577557702</v>
      </c>
      <c r="Q65" s="1">
        <v>2.9718831131879502</v>
      </c>
      <c r="R65" s="1">
        <v>0.31527433993399301</v>
      </c>
      <c r="S65" s="1">
        <v>0.24453366433502499</v>
      </c>
      <c r="T65" s="2">
        <f t="shared" si="0"/>
        <v>3.4946236559139851E-2</v>
      </c>
      <c r="U65" s="2">
        <f t="shared" si="1"/>
        <v>0.36005481329222583</v>
      </c>
      <c r="V65" s="1">
        <v>0.11819599376274401</v>
      </c>
      <c r="W65" s="1">
        <v>0.103769861431269</v>
      </c>
      <c r="X65" s="1">
        <v>0.13309329117680799</v>
      </c>
      <c r="Y65" s="1">
        <v>0.38908522663622602</v>
      </c>
      <c r="Z65" s="1">
        <v>2.8531787634010201E-2</v>
      </c>
      <c r="AA65" s="1">
        <v>9.0245199960424707E-3</v>
      </c>
      <c r="AB65" s="1">
        <v>-2.6068883213423099E-3</v>
      </c>
      <c r="AC65" s="1">
        <v>-5.75859829346137E-3</v>
      </c>
    </row>
    <row r="66" spans="1:29" x14ac:dyDescent="0.25">
      <c r="A66">
        <v>2011</v>
      </c>
      <c r="B66" s="1">
        <v>1.3277781885478899E-2</v>
      </c>
      <c r="C66" s="1">
        <v>1.9507267637967798E-2</v>
      </c>
      <c r="D66" s="1">
        <v>5.3951405838196702E-3</v>
      </c>
      <c r="E66" s="1">
        <v>1.2555882285495E-2</v>
      </c>
      <c r="F66" s="1">
        <v>3.9252258973721199E-2</v>
      </c>
      <c r="G66" s="1">
        <v>2.26552945669647E-2</v>
      </c>
      <c r="H66" s="1">
        <v>3.0511643149640701E-2</v>
      </c>
      <c r="I66" s="1">
        <v>5.5499332011592897E-3</v>
      </c>
      <c r="J66" s="1">
        <v>0.54805816481762903</v>
      </c>
      <c r="K66" s="1">
        <v>0.55193606988980104</v>
      </c>
      <c r="L66" s="1">
        <v>-2.48903331688188E-3</v>
      </c>
      <c r="M66" s="1">
        <v>-6.7300928284209204E-3</v>
      </c>
      <c r="N66" s="1">
        <v>9.0333333333333196E-2</v>
      </c>
      <c r="O66" s="1">
        <v>8.7335100077215594E-2</v>
      </c>
      <c r="P66" s="1">
        <v>3.9026402640264002</v>
      </c>
      <c r="Q66" s="1">
        <v>3.27322057622266</v>
      </c>
      <c r="R66" s="1">
        <v>0.35253850385038399</v>
      </c>
      <c r="S66" s="1">
        <v>0.27874582954077098</v>
      </c>
      <c r="T66" s="2">
        <f t="shared" si="0"/>
        <v>-6.1471861471861969E-2</v>
      </c>
      <c r="U66" s="2">
        <f t="shared" si="1"/>
        <v>0.19143576826196596</v>
      </c>
      <c r="V66" s="1"/>
      <c r="W66" s="1">
        <v>0.109930422713314</v>
      </c>
      <c r="X66" s="1">
        <v>0.145984007408689</v>
      </c>
      <c r="Y66" s="1">
        <v>0.43404653319009301</v>
      </c>
      <c r="Z66" s="1">
        <v>2.67201256958879E-2</v>
      </c>
      <c r="AA66" s="1">
        <v>8.18847221510525E-3</v>
      </c>
      <c r="AB66" s="1">
        <v>-2.6997638946437202E-3</v>
      </c>
      <c r="AC66" s="1">
        <v>-6.2466847164117604E-3</v>
      </c>
    </row>
    <row r="67" spans="1:29" x14ac:dyDescent="0.25">
      <c r="A67">
        <v>2012</v>
      </c>
      <c r="B67" s="1">
        <v>2.1092637629027602E-2</v>
      </c>
      <c r="C67" s="1">
        <v>1.85316534807826E-2</v>
      </c>
      <c r="D67" s="1"/>
      <c r="E67" s="1"/>
      <c r="F67" s="1"/>
      <c r="G67" s="1"/>
      <c r="H67" s="1">
        <v>1.7408835176877802E-2</v>
      </c>
      <c r="I67" s="1">
        <v>3.4628413704559098E-3</v>
      </c>
      <c r="J67" s="1"/>
      <c r="K67" s="1"/>
      <c r="L67" s="1"/>
      <c r="M67" s="1"/>
      <c r="N67" s="1"/>
      <c r="O67" s="1"/>
      <c r="P67" s="1">
        <v>3.9059405940594001</v>
      </c>
      <c r="Q67" s="1">
        <v>3.5778390546514398</v>
      </c>
      <c r="R67" s="1"/>
      <c r="S67" s="1"/>
      <c r="T67" s="1"/>
      <c r="U67" s="1">
        <v>8.4566596194416061E-4</v>
      </c>
      <c r="V67" s="1"/>
      <c r="W67" s="1"/>
      <c r="X67" s="1">
        <v>0.15731007596678201</v>
      </c>
      <c r="Y67" s="1"/>
      <c r="Z67" s="1"/>
      <c r="AA67" s="1"/>
      <c r="AB67" s="1"/>
      <c r="AC67" s="1"/>
    </row>
  </sheetData>
  <pageMargins left="0.7" right="0.7" top="0.75" bottom="0.75" header="0.3" footer="0.3"/>
  <headerFooter>
    <oddHeader>&amp;L&amp;"Calibri"&amp;11&amp;K000000 PERSONAL/NONWORK // EXTERNAL&amp;1#_x000D_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2025-10-02T15:18:00Z</dcterms:created>
  <dcterms:modified xsi:type="dcterms:W3CDTF">2025-10-02T20:36:23Z</dcterms:modified>
</cp:coreProperties>
</file>
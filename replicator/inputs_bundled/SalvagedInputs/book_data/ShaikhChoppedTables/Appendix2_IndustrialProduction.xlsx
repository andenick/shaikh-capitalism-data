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n\Desktop\Shaikh Chopped\"/>
    </mc:Choice>
  </mc:AlternateContent>
  <xr:revisionPtr revIDLastSave="0" documentId="13_ncr:1_{82B66FBC-8273-4C29-82A3-9099AFA58341}" xr6:coauthVersionLast="47" xr6:coauthVersionMax="47" xr10:uidLastSave="{00000000-0000-0000-0000-000000000000}"/>
  <bookViews>
    <workbookView xWindow="4188" yWindow="4188" windowWidth="30960" windowHeight="12204" xr2:uid="{3E72F21B-1FBE-4716-AEBA-E4A7C584C622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3" i="1" l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142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83" i="1"/>
  <c r="A230" i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2" i="1"/>
  <c r="A21" i="1" s="1"/>
  <c r="A20" i="1" s="1"/>
  <c r="A19" i="1" s="1"/>
  <c r="A18" i="1" s="1"/>
  <c r="A17" i="1" s="1"/>
  <c r="A16" i="1" s="1"/>
  <c r="A15" i="1" s="1"/>
  <c r="A14" i="1" s="1"/>
  <c r="A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Anwar Shaikh</author>
  </authors>
  <commentList>
    <comment ref="A3" authorId="0" shapeId="0" xr:uid="{59881F87-6A7E-4FB0-9A2C-9AF644F06729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KONDRATIEFF'S FAMOUS PRICE CHART BEGINS IN 1780, SO I HAVE USED THE SAME STARTING POINT (KONDRATIEFF, LONG WAVE CYCLE, 1984, CHART 1, p. 39)</t>
        </r>
      </text>
    </comment>
  </commentList>
</comments>
</file>

<file path=xl/sharedStrings.xml><?xml version="1.0" encoding="utf-8"?>
<sst xmlns="http://schemas.openxmlformats.org/spreadsheetml/2006/main" count="10" uniqueCount="10">
  <si>
    <t>Year</t>
  </si>
  <si>
    <t>1860-1959 from Long Term Eco Growth, US BEA, TA15, p. 185, indexed to 1913 = 100</t>
  </si>
  <si>
    <t>1860-1959 from Long Term Eco Growth, US BEA, TA15, p. 185, indexed to 1958 = 100</t>
  </si>
  <si>
    <t>1919-2010 from FRB, G-17, Industrial Production Index, All</t>
  </si>
  <si>
    <t>IndProdHS_BEA</t>
  </si>
  <si>
    <t>IndProdHS1_BEA</t>
  </si>
  <si>
    <t>IndProd_FRB</t>
  </si>
  <si>
    <t>IndProd1_FRB</t>
  </si>
  <si>
    <t>IndProd_Final</t>
  </si>
  <si>
    <t>INDUSTRIAL PRODUCTION, U.S.: 1860- present_Spliced at 1919: HS series 1860-1918, FRB series 1919-2010, reindexed to 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</si>
</sst>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2" fontId="0" fillId="0" borderId="0" xfId="0" applyNumberFormat="1"/>
    <xf numFmtId="164" fontId="5" fillId="0" borderId="0" xfId="0" applyNumberFormat="1" applyFont="1"/>
    <xf numFmtId="164" fontId="6" fillId="0" borderId="0" xfId="0" applyNumberFormat="1" applyFont="1"/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C07C-04BE-49F7-93A6-3BE8A607D9D2}">
  <dimension ref="A1:F253"/>
  <sheetViews>
    <sheetView tabSelected="1" workbookViewId="0">
      <selection activeCell="M6" sqref="M6"/>
    </sheetView>
  </sheetViews>
  <sheetFormatPr defaultRowHeight="14.4" x14ac:dyDescent="0.3"/>
  <sheetData>
    <row r="1" spans="1:6" x14ac:dyDescent="0.3">
      <c r="A1" t="s">
        <v>9</v>
      </c>
      <c r="B1" t="s">
        <v>1</v>
      </c>
      <c r="C1" t="s">
        <v>2</v>
      </c>
      <c r="D1" t="s">
        <v>3</v>
      </c>
    </row>
    <row r="2" spans="1:6" x14ac:dyDescent="0.3">
      <c r="A2" t="s">
        <v>0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3">
      <c r="A3" s="1">
        <v>1780</v>
      </c>
      <c r="B3" s="1"/>
      <c r="C3" s="2"/>
      <c r="D3" s="2"/>
      <c r="E3" s="2"/>
      <c r="F3" s="3"/>
    </row>
    <row r="4" spans="1:6" x14ac:dyDescent="0.3">
      <c r="A4" s="1">
        <v>1781</v>
      </c>
      <c r="B4" s="1"/>
      <c r="C4" s="2"/>
      <c r="D4" s="2"/>
      <c r="E4" s="2"/>
      <c r="F4" s="3"/>
    </row>
    <row r="5" spans="1:6" x14ac:dyDescent="0.3">
      <c r="A5" s="1">
        <v>1782</v>
      </c>
      <c r="B5" s="1"/>
      <c r="C5" s="2"/>
      <c r="D5" s="2"/>
      <c r="E5" s="2"/>
      <c r="F5" s="3"/>
    </row>
    <row r="6" spans="1:6" x14ac:dyDescent="0.3">
      <c r="A6" s="1">
        <v>1783</v>
      </c>
      <c r="B6" s="1"/>
      <c r="C6" s="2"/>
      <c r="D6" s="2"/>
      <c r="E6" s="2"/>
      <c r="F6" s="3"/>
    </row>
    <row r="7" spans="1:6" x14ac:dyDescent="0.3">
      <c r="A7" s="1">
        <v>1784</v>
      </c>
      <c r="B7" s="1"/>
      <c r="C7" s="2"/>
      <c r="D7" s="2"/>
      <c r="E7" s="2"/>
      <c r="F7" s="3"/>
    </row>
    <row r="8" spans="1:6" x14ac:dyDescent="0.3">
      <c r="A8" s="1">
        <v>1785</v>
      </c>
      <c r="B8" s="1"/>
      <c r="C8" s="2"/>
      <c r="D8" s="2"/>
      <c r="E8" s="2"/>
      <c r="F8" s="3"/>
    </row>
    <row r="9" spans="1:6" x14ac:dyDescent="0.3">
      <c r="A9" s="1">
        <v>1786</v>
      </c>
      <c r="B9" s="1"/>
      <c r="C9" s="1"/>
      <c r="D9" s="1"/>
      <c r="E9" s="1"/>
      <c r="F9" s="3"/>
    </row>
    <row r="10" spans="1:6" x14ac:dyDescent="0.3">
      <c r="A10" s="1">
        <v>1787</v>
      </c>
      <c r="B10" s="1"/>
      <c r="C10" s="1"/>
      <c r="D10" s="1"/>
      <c r="E10" s="1"/>
      <c r="F10" s="3"/>
    </row>
    <row r="11" spans="1:6" x14ac:dyDescent="0.3">
      <c r="A11" s="1">
        <v>1788</v>
      </c>
      <c r="B11" s="1"/>
      <c r="C11" s="1"/>
      <c r="D11" s="1"/>
      <c r="E11" s="1"/>
      <c r="F11" s="3"/>
    </row>
    <row r="12" spans="1:6" x14ac:dyDescent="0.3">
      <c r="A12" s="1">
        <v>1789</v>
      </c>
      <c r="B12" s="1"/>
      <c r="C12" s="1"/>
      <c r="D12" s="1"/>
      <c r="E12" s="1"/>
      <c r="F12" s="3"/>
    </row>
    <row r="13" spans="1:6" x14ac:dyDescent="0.3">
      <c r="A13">
        <f t="shared" ref="A13:A21" si="0">A14-1</f>
        <v>1790</v>
      </c>
      <c r="F13" s="4"/>
    </row>
    <row r="14" spans="1:6" x14ac:dyDescent="0.3">
      <c r="A14">
        <f t="shared" si="0"/>
        <v>1791</v>
      </c>
      <c r="F14" s="4"/>
    </row>
    <row r="15" spans="1:6" x14ac:dyDescent="0.3">
      <c r="A15">
        <f t="shared" si="0"/>
        <v>1792</v>
      </c>
      <c r="F15" s="4"/>
    </row>
    <row r="16" spans="1:6" x14ac:dyDescent="0.3">
      <c r="A16">
        <f t="shared" si="0"/>
        <v>1793</v>
      </c>
      <c r="F16" s="4"/>
    </row>
    <row r="17" spans="1:6" x14ac:dyDescent="0.3">
      <c r="A17">
        <f t="shared" si="0"/>
        <v>1794</v>
      </c>
      <c r="F17" s="4"/>
    </row>
    <row r="18" spans="1:6" x14ac:dyDescent="0.3">
      <c r="A18">
        <f t="shared" si="0"/>
        <v>1795</v>
      </c>
      <c r="F18" s="4"/>
    </row>
    <row r="19" spans="1:6" x14ac:dyDescent="0.3">
      <c r="A19">
        <f t="shared" si="0"/>
        <v>1796</v>
      </c>
      <c r="F19" s="4"/>
    </row>
    <row r="20" spans="1:6" x14ac:dyDescent="0.3">
      <c r="A20">
        <f t="shared" si="0"/>
        <v>1797</v>
      </c>
      <c r="F20" s="4"/>
    </row>
    <row r="21" spans="1:6" x14ac:dyDescent="0.3">
      <c r="A21">
        <f t="shared" si="0"/>
        <v>1798</v>
      </c>
      <c r="F21" s="4"/>
    </row>
    <row r="22" spans="1:6" x14ac:dyDescent="0.3">
      <c r="A22">
        <f>A23-1</f>
        <v>1799</v>
      </c>
      <c r="F22" s="4"/>
    </row>
    <row r="23" spans="1:6" x14ac:dyDescent="0.3">
      <c r="A23">
        <v>1800</v>
      </c>
      <c r="F23" s="4"/>
    </row>
    <row r="24" spans="1:6" x14ac:dyDescent="0.3">
      <c r="A24">
        <v>1801</v>
      </c>
      <c r="F24" s="4"/>
    </row>
    <row r="25" spans="1:6" x14ac:dyDescent="0.3">
      <c r="A25">
        <v>1802</v>
      </c>
      <c r="F25" s="4"/>
    </row>
    <row r="26" spans="1:6" x14ac:dyDescent="0.3">
      <c r="A26">
        <v>1803</v>
      </c>
      <c r="F26" s="4"/>
    </row>
    <row r="27" spans="1:6" x14ac:dyDescent="0.3">
      <c r="A27">
        <v>1804</v>
      </c>
      <c r="F27" s="4"/>
    </row>
    <row r="28" spans="1:6" x14ac:dyDescent="0.3">
      <c r="A28">
        <v>1805</v>
      </c>
      <c r="F28" s="4"/>
    </row>
    <row r="29" spans="1:6" x14ac:dyDescent="0.3">
      <c r="A29">
        <v>1806</v>
      </c>
      <c r="F29" s="4"/>
    </row>
    <row r="30" spans="1:6" x14ac:dyDescent="0.3">
      <c r="A30">
        <v>1807</v>
      </c>
      <c r="F30" s="4"/>
    </row>
    <row r="31" spans="1:6" x14ac:dyDescent="0.3">
      <c r="A31">
        <v>1808</v>
      </c>
      <c r="F31" s="4"/>
    </row>
    <row r="32" spans="1:6" x14ac:dyDescent="0.3">
      <c r="A32">
        <v>1809</v>
      </c>
      <c r="F32" s="4"/>
    </row>
    <row r="33" spans="1:6" x14ac:dyDescent="0.3">
      <c r="A33">
        <v>1810</v>
      </c>
      <c r="F33" s="4"/>
    </row>
    <row r="34" spans="1:6" x14ac:dyDescent="0.3">
      <c r="A34">
        <v>1811</v>
      </c>
      <c r="F34" s="4"/>
    </row>
    <row r="35" spans="1:6" x14ac:dyDescent="0.3">
      <c r="A35">
        <v>1812</v>
      </c>
      <c r="F35" s="4"/>
    </row>
    <row r="36" spans="1:6" x14ac:dyDescent="0.3">
      <c r="A36">
        <v>1813</v>
      </c>
      <c r="F36" s="4"/>
    </row>
    <row r="37" spans="1:6" x14ac:dyDescent="0.3">
      <c r="A37">
        <v>1814</v>
      </c>
      <c r="F37" s="4"/>
    </row>
    <row r="38" spans="1:6" x14ac:dyDescent="0.3">
      <c r="A38">
        <v>1815</v>
      </c>
      <c r="F38" s="4"/>
    </row>
    <row r="39" spans="1:6" x14ac:dyDescent="0.3">
      <c r="A39">
        <v>1816</v>
      </c>
      <c r="F39" s="4"/>
    </row>
    <row r="40" spans="1:6" x14ac:dyDescent="0.3">
      <c r="A40">
        <v>1817</v>
      </c>
      <c r="F40" s="4"/>
    </row>
    <row r="41" spans="1:6" x14ac:dyDescent="0.3">
      <c r="A41">
        <v>1818</v>
      </c>
      <c r="F41" s="4"/>
    </row>
    <row r="42" spans="1:6" x14ac:dyDescent="0.3">
      <c r="A42">
        <v>1819</v>
      </c>
      <c r="F42" s="4"/>
    </row>
    <row r="43" spans="1:6" x14ac:dyDescent="0.3">
      <c r="A43">
        <v>1820</v>
      </c>
      <c r="F43" s="4"/>
    </row>
    <row r="44" spans="1:6" x14ac:dyDescent="0.3">
      <c r="A44">
        <v>1821</v>
      </c>
      <c r="F44" s="4"/>
    </row>
    <row r="45" spans="1:6" x14ac:dyDescent="0.3">
      <c r="A45">
        <v>1822</v>
      </c>
      <c r="F45" s="4"/>
    </row>
    <row r="46" spans="1:6" x14ac:dyDescent="0.3">
      <c r="A46">
        <v>1823</v>
      </c>
      <c r="F46" s="4"/>
    </row>
    <row r="47" spans="1:6" x14ac:dyDescent="0.3">
      <c r="A47">
        <v>1824</v>
      </c>
      <c r="F47" s="4"/>
    </row>
    <row r="48" spans="1:6" x14ac:dyDescent="0.3">
      <c r="A48">
        <v>1825</v>
      </c>
      <c r="F48" s="4"/>
    </row>
    <row r="49" spans="1:6" x14ac:dyDescent="0.3">
      <c r="A49">
        <v>1826</v>
      </c>
      <c r="F49" s="4"/>
    </row>
    <row r="50" spans="1:6" x14ac:dyDescent="0.3">
      <c r="A50">
        <v>1827</v>
      </c>
      <c r="F50" s="4"/>
    </row>
    <row r="51" spans="1:6" x14ac:dyDescent="0.3">
      <c r="A51">
        <v>1828</v>
      </c>
      <c r="F51" s="4"/>
    </row>
    <row r="52" spans="1:6" x14ac:dyDescent="0.3">
      <c r="A52">
        <v>1829</v>
      </c>
      <c r="F52" s="4"/>
    </row>
    <row r="53" spans="1:6" x14ac:dyDescent="0.3">
      <c r="A53">
        <v>1830</v>
      </c>
      <c r="F53" s="4"/>
    </row>
    <row r="54" spans="1:6" x14ac:dyDescent="0.3">
      <c r="A54">
        <v>1831</v>
      </c>
      <c r="F54" s="4"/>
    </row>
    <row r="55" spans="1:6" x14ac:dyDescent="0.3">
      <c r="A55">
        <v>1832</v>
      </c>
      <c r="F55" s="4"/>
    </row>
    <row r="56" spans="1:6" x14ac:dyDescent="0.3">
      <c r="A56">
        <v>1833</v>
      </c>
      <c r="F56" s="4"/>
    </row>
    <row r="57" spans="1:6" x14ac:dyDescent="0.3">
      <c r="A57">
        <v>1834</v>
      </c>
      <c r="F57" s="4"/>
    </row>
    <row r="58" spans="1:6" x14ac:dyDescent="0.3">
      <c r="A58">
        <v>1835</v>
      </c>
      <c r="F58" s="4"/>
    </row>
    <row r="59" spans="1:6" x14ac:dyDescent="0.3">
      <c r="A59">
        <v>1836</v>
      </c>
      <c r="F59" s="4"/>
    </row>
    <row r="60" spans="1:6" x14ac:dyDescent="0.3">
      <c r="A60">
        <v>1837</v>
      </c>
      <c r="F60" s="4"/>
    </row>
    <row r="61" spans="1:6" x14ac:dyDescent="0.3">
      <c r="A61">
        <v>1838</v>
      </c>
      <c r="F61" s="4"/>
    </row>
    <row r="62" spans="1:6" x14ac:dyDescent="0.3">
      <c r="A62">
        <v>1839</v>
      </c>
      <c r="F62" s="4"/>
    </row>
    <row r="63" spans="1:6" x14ac:dyDescent="0.3">
      <c r="A63">
        <v>1840</v>
      </c>
      <c r="F63" s="4"/>
    </row>
    <row r="64" spans="1:6" x14ac:dyDescent="0.3">
      <c r="A64">
        <v>1841</v>
      </c>
      <c r="F64" s="4"/>
    </row>
    <row r="65" spans="1:6" x14ac:dyDescent="0.3">
      <c r="A65">
        <v>1842</v>
      </c>
      <c r="F65" s="4"/>
    </row>
    <row r="66" spans="1:6" x14ac:dyDescent="0.3">
      <c r="A66">
        <v>1843</v>
      </c>
      <c r="F66" s="4"/>
    </row>
    <row r="67" spans="1:6" x14ac:dyDescent="0.3">
      <c r="A67">
        <v>1844</v>
      </c>
      <c r="F67" s="4"/>
    </row>
    <row r="68" spans="1:6" x14ac:dyDescent="0.3">
      <c r="A68">
        <v>1845</v>
      </c>
      <c r="F68" s="4"/>
    </row>
    <row r="69" spans="1:6" x14ac:dyDescent="0.3">
      <c r="A69">
        <v>1846</v>
      </c>
      <c r="F69" s="4"/>
    </row>
    <row r="70" spans="1:6" x14ac:dyDescent="0.3">
      <c r="A70">
        <v>1847</v>
      </c>
      <c r="F70" s="4"/>
    </row>
    <row r="71" spans="1:6" x14ac:dyDescent="0.3">
      <c r="A71">
        <v>1848</v>
      </c>
      <c r="F71" s="4"/>
    </row>
    <row r="72" spans="1:6" x14ac:dyDescent="0.3">
      <c r="A72">
        <v>1849</v>
      </c>
      <c r="F72" s="4"/>
    </row>
    <row r="73" spans="1:6" x14ac:dyDescent="0.3">
      <c r="A73">
        <v>1850</v>
      </c>
      <c r="F73" s="4"/>
    </row>
    <row r="74" spans="1:6" x14ac:dyDescent="0.3">
      <c r="A74">
        <v>1851</v>
      </c>
      <c r="F74" s="4"/>
    </row>
    <row r="75" spans="1:6" x14ac:dyDescent="0.3">
      <c r="A75">
        <v>1852</v>
      </c>
      <c r="F75" s="4"/>
    </row>
    <row r="76" spans="1:6" x14ac:dyDescent="0.3">
      <c r="A76">
        <v>1853</v>
      </c>
      <c r="F76" s="4"/>
    </row>
    <row r="77" spans="1:6" x14ac:dyDescent="0.3">
      <c r="A77">
        <v>1854</v>
      </c>
      <c r="F77" s="4"/>
    </row>
    <row r="78" spans="1:6" x14ac:dyDescent="0.3">
      <c r="A78">
        <v>1855</v>
      </c>
      <c r="F78" s="4"/>
    </row>
    <row r="79" spans="1:6" x14ac:dyDescent="0.3">
      <c r="A79">
        <v>1856</v>
      </c>
      <c r="F79" s="4"/>
    </row>
    <row r="80" spans="1:6" x14ac:dyDescent="0.3">
      <c r="A80">
        <v>1857</v>
      </c>
      <c r="F80" s="4"/>
    </row>
    <row r="81" spans="1:6" x14ac:dyDescent="0.3">
      <c r="A81">
        <v>1858</v>
      </c>
      <c r="F81" s="4"/>
    </row>
    <row r="82" spans="1:6" x14ac:dyDescent="0.3">
      <c r="A82">
        <v>1859</v>
      </c>
      <c r="F82" s="4"/>
    </row>
    <row r="83" spans="1:6" x14ac:dyDescent="0.3">
      <c r="A83">
        <v>1860</v>
      </c>
      <c r="B83">
        <v>7.48</v>
      </c>
      <c r="C83" s="7">
        <f>B83*100/$B$181</f>
        <v>1.636761487964989</v>
      </c>
      <c r="E83" s="5"/>
      <c r="F83" s="6">
        <v>1.636761487964989</v>
      </c>
    </row>
    <row r="84" spans="1:6" x14ac:dyDescent="0.3">
      <c r="A84">
        <v>1861</v>
      </c>
      <c r="B84">
        <v>7.49</v>
      </c>
      <c r="C84" s="7">
        <f t="shared" ref="C84:C147" si="1">B84*100/$B$181</f>
        <v>1.6389496717724288</v>
      </c>
      <c r="E84" s="5"/>
      <c r="F84" s="6">
        <v>1.6389496717724288</v>
      </c>
    </row>
    <row r="85" spans="1:6" x14ac:dyDescent="0.3">
      <c r="A85">
        <v>1862</v>
      </c>
      <c r="B85">
        <v>6.94</v>
      </c>
      <c r="C85" s="7">
        <f t="shared" si="1"/>
        <v>1.5185995623632385</v>
      </c>
      <c r="E85" s="5"/>
      <c r="F85" s="6">
        <v>1.5185995623632385</v>
      </c>
    </row>
    <row r="86" spans="1:6" x14ac:dyDescent="0.3">
      <c r="A86">
        <v>1863</v>
      </c>
      <c r="B86">
        <v>7.88</v>
      </c>
      <c r="C86" s="7">
        <f t="shared" si="1"/>
        <v>1.724288840262582</v>
      </c>
      <c r="E86" s="5"/>
      <c r="F86" s="6">
        <v>1.724288840262582</v>
      </c>
    </row>
    <row r="87" spans="1:6" x14ac:dyDescent="0.3">
      <c r="A87">
        <v>1864</v>
      </c>
      <c r="B87">
        <v>8.35</v>
      </c>
      <c r="C87" s="7">
        <f t="shared" si="1"/>
        <v>1.8271334792122538</v>
      </c>
      <c r="E87" s="5"/>
      <c r="F87" s="6">
        <v>1.8271334792122538</v>
      </c>
    </row>
    <row r="88" spans="1:6" x14ac:dyDescent="0.3">
      <c r="A88">
        <v>1865</v>
      </c>
      <c r="B88">
        <v>8</v>
      </c>
      <c r="C88" s="7">
        <f t="shared" si="1"/>
        <v>1.7505470459518599</v>
      </c>
      <c r="E88" s="5"/>
      <c r="F88" s="6">
        <v>1.7505470459518599</v>
      </c>
    </row>
    <row r="89" spans="1:6" x14ac:dyDescent="0.3">
      <c r="A89">
        <v>1866</v>
      </c>
      <c r="B89">
        <v>9.84</v>
      </c>
      <c r="C89" s="7">
        <f t="shared" si="1"/>
        <v>2.1531728665207877</v>
      </c>
      <c r="E89" s="5"/>
      <c r="F89" s="6">
        <v>2.1531728665207877</v>
      </c>
    </row>
    <row r="90" spans="1:6" x14ac:dyDescent="0.3">
      <c r="A90">
        <v>1867</v>
      </c>
      <c r="B90">
        <v>10.3</v>
      </c>
      <c r="C90" s="7">
        <f t="shared" si="1"/>
        <v>2.2538293216630199</v>
      </c>
      <c r="E90" s="5"/>
      <c r="F90" s="6">
        <v>2.2538293216630199</v>
      </c>
    </row>
    <row r="91" spans="1:6" x14ac:dyDescent="0.3">
      <c r="A91">
        <v>1868</v>
      </c>
      <c r="B91">
        <v>10.8</v>
      </c>
      <c r="C91" s="7">
        <f t="shared" si="1"/>
        <v>2.3632385120350108</v>
      </c>
      <c r="E91" s="5"/>
      <c r="F91" s="6">
        <v>2.3632385120350108</v>
      </c>
    </row>
    <row r="92" spans="1:6" x14ac:dyDescent="0.3">
      <c r="A92">
        <v>1869</v>
      </c>
      <c r="B92">
        <v>11.6</v>
      </c>
      <c r="C92" s="7">
        <f t="shared" si="1"/>
        <v>2.5382932166301968</v>
      </c>
      <c r="E92" s="5"/>
      <c r="F92" s="6">
        <v>2.5382932166301968</v>
      </c>
    </row>
    <row r="93" spans="1:6" x14ac:dyDescent="0.3">
      <c r="A93">
        <v>1870</v>
      </c>
      <c r="B93">
        <v>11.7</v>
      </c>
      <c r="C93" s="7">
        <f t="shared" si="1"/>
        <v>2.5601750547045952</v>
      </c>
      <c r="E93" s="5"/>
      <c r="F93" s="6">
        <v>2.5601750547045952</v>
      </c>
    </row>
    <row r="94" spans="1:6" x14ac:dyDescent="0.3">
      <c r="A94">
        <v>1871</v>
      </c>
      <c r="B94">
        <v>12.3</v>
      </c>
      <c r="C94" s="7">
        <f t="shared" si="1"/>
        <v>2.6914660831509849</v>
      </c>
      <c r="E94" s="5"/>
      <c r="F94" s="6">
        <v>2.6914660831509849</v>
      </c>
    </row>
    <row r="95" spans="1:6" x14ac:dyDescent="0.3">
      <c r="A95">
        <v>1872</v>
      </c>
      <c r="B95">
        <v>14.6</v>
      </c>
      <c r="C95" s="7">
        <f t="shared" si="1"/>
        <v>3.1947483588621446</v>
      </c>
      <c r="E95" s="5"/>
      <c r="F95" s="6">
        <v>3.1947483588621446</v>
      </c>
    </row>
    <row r="96" spans="1:6" x14ac:dyDescent="0.3">
      <c r="A96">
        <v>1873</v>
      </c>
      <c r="B96">
        <v>14.4</v>
      </c>
      <c r="C96" s="7">
        <f t="shared" si="1"/>
        <v>3.1509846827133479</v>
      </c>
      <c r="E96" s="5"/>
      <c r="F96" s="6">
        <v>3.1509846827133479</v>
      </c>
    </row>
    <row r="97" spans="1:6" x14ac:dyDescent="0.3">
      <c r="A97">
        <v>1874</v>
      </c>
      <c r="B97">
        <v>13.9</v>
      </c>
      <c r="C97" s="7">
        <f t="shared" si="1"/>
        <v>3.0415754923413565</v>
      </c>
      <c r="E97" s="5"/>
      <c r="F97" s="6">
        <v>3.0415754923413565</v>
      </c>
    </row>
    <row r="98" spans="1:6" x14ac:dyDescent="0.3">
      <c r="A98">
        <v>1875</v>
      </c>
      <c r="B98">
        <v>13.5</v>
      </c>
      <c r="C98" s="7">
        <f t="shared" si="1"/>
        <v>2.9540481400437635</v>
      </c>
      <c r="E98" s="5"/>
      <c r="F98" s="6">
        <v>2.9540481400437635</v>
      </c>
    </row>
    <row r="99" spans="1:6" x14ac:dyDescent="0.3">
      <c r="A99">
        <v>1876</v>
      </c>
      <c r="B99">
        <v>13.4</v>
      </c>
      <c r="C99" s="7">
        <f t="shared" si="1"/>
        <v>2.9321663019693656</v>
      </c>
      <c r="E99" s="5"/>
      <c r="F99" s="6">
        <v>2.9321663019693656</v>
      </c>
    </row>
    <row r="100" spans="1:6" x14ac:dyDescent="0.3">
      <c r="A100">
        <v>1877</v>
      </c>
      <c r="B100">
        <v>14.6</v>
      </c>
      <c r="C100" s="7">
        <f t="shared" si="1"/>
        <v>3.1947483588621446</v>
      </c>
      <c r="E100" s="5"/>
      <c r="F100" s="6">
        <v>3.1947483588621446</v>
      </c>
    </row>
    <row r="101" spans="1:6" x14ac:dyDescent="0.3">
      <c r="A101">
        <v>1878</v>
      </c>
      <c r="B101">
        <v>15.5</v>
      </c>
      <c r="C101" s="7">
        <f t="shared" si="1"/>
        <v>3.3916849015317285</v>
      </c>
      <c r="E101" s="5"/>
      <c r="F101" s="6">
        <v>3.3916849015317285</v>
      </c>
    </row>
    <row r="102" spans="1:6" x14ac:dyDescent="0.3">
      <c r="A102">
        <v>1879</v>
      </c>
      <c r="B102">
        <v>17.5</v>
      </c>
      <c r="C102" s="7">
        <f t="shared" si="1"/>
        <v>3.8293216630196936</v>
      </c>
      <c r="E102" s="5"/>
      <c r="F102" s="6">
        <v>3.8293216630196936</v>
      </c>
    </row>
    <row r="103" spans="1:6" x14ac:dyDescent="0.3">
      <c r="A103">
        <v>1880</v>
      </c>
      <c r="B103">
        <v>20.3</v>
      </c>
      <c r="C103" s="7">
        <f t="shared" si="1"/>
        <v>4.4420131291028451</v>
      </c>
      <c r="E103" s="5"/>
      <c r="F103" s="6">
        <v>4.4420131291028451</v>
      </c>
    </row>
    <row r="104" spans="1:6" x14ac:dyDescent="0.3">
      <c r="A104">
        <v>1881</v>
      </c>
      <c r="B104">
        <v>22.3</v>
      </c>
      <c r="C104" s="7">
        <f t="shared" si="1"/>
        <v>4.8796498905908097</v>
      </c>
      <c r="E104" s="5"/>
      <c r="F104" s="6">
        <v>4.8796498905908097</v>
      </c>
    </row>
    <row r="105" spans="1:6" x14ac:dyDescent="0.3">
      <c r="A105">
        <v>1882</v>
      </c>
      <c r="B105">
        <v>23.9</v>
      </c>
      <c r="C105" s="7">
        <f t="shared" si="1"/>
        <v>5.2297592997811817</v>
      </c>
      <c r="E105" s="5"/>
      <c r="F105" s="6">
        <v>5.2297592997811817</v>
      </c>
    </row>
    <row r="106" spans="1:6" x14ac:dyDescent="0.3">
      <c r="A106">
        <v>1883</v>
      </c>
      <c r="B106">
        <v>24.4</v>
      </c>
      <c r="C106" s="7">
        <f t="shared" si="1"/>
        <v>5.3391684901531731</v>
      </c>
      <c r="E106" s="5"/>
      <c r="F106" s="6">
        <v>5.3391684901531731</v>
      </c>
    </row>
    <row r="107" spans="1:6" x14ac:dyDescent="0.3">
      <c r="A107">
        <v>1884</v>
      </c>
      <c r="B107">
        <v>23.1</v>
      </c>
      <c r="C107" s="7">
        <f t="shared" si="1"/>
        <v>5.0547045951859957</v>
      </c>
      <c r="E107" s="5"/>
      <c r="F107" s="6">
        <v>5.0547045951859957</v>
      </c>
    </row>
    <row r="108" spans="1:6" x14ac:dyDescent="0.3">
      <c r="A108">
        <v>1885</v>
      </c>
      <c r="B108">
        <v>23.2</v>
      </c>
      <c r="C108" s="7">
        <f t="shared" si="1"/>
        <v>5.0765864332603936</v>
      </c>
      <c r="E108" s="5"/>
      <c r="F108" s="6">
        <v>5.0765864332603936</v>
      </c>
    </row>
    <row r="109" spans="1:6" x14ac:dyDescent="0.3">
      <c r="A109">
        <v>1886</v>
      </c>
      <c r="B109">
        <v>27.9</v>
      </c>
      <c r="C109" s="7">
        <f t="shared" si="1"/>
        <v>6.1050328227571118</v>
      </c>
      <c r="E109" s="5"/>
      <c r="F109" s="6">
        <v>6.1050328227571118</v>
      </c>
    </row>
    <row r="110" spans="1:6" x14ac:dyDescent="0.3">
      <c r="A110">
        <v>1887</v>
      </c>
      <c r="B110">
        <v>29.5</v>
      </c>
      <c r="C110" s="7">
        <f t="shared" si="1"/>
        <v>6.4551422319474838</v>
      </c>
      <c r="E110" s="5"/>
      <c r="F110" s="6">
        <v>6.4551422319474838</v>
      </c>
    </row>
    <row r="111" spans="1:6" x14ac:dyDescent="0.3">
      <c r="A111">
        <v>1888</v>
      </c>
      <c r="B111">
        <v>30.6</v>
      </c>
      <c r="C111" s="7">
        <f t="shared" si="1"/>
        <v>6.6958424507658645</v>
      </c>
      <c r="E111" s="5"/>
      <c r="F111" s="6">
        <v>6.6958424507658645</v>
      </c>
    </row>
    <row r="112" spans="1:6" x14ac:dyDescent="0.3">
      <c r="A112">
        <v>1889</v>
      </c>
      <c r="B112">
        <v>32.6</v>
      </c>
      <c r="C112" s="7">
        <f t="shared" si="1"/>
        <v>7.1334792122538291</v>
      </c>
      <c r="E112" s="5"/>
      <c r="F112" s="6">
        <v>7.1334792122538291</v>
      </c>
    </row>
    <row r="113" spans="1:6" x14ac:dyDescent="0.3">
      <c r="A113">
        <v>1890</v>
      </c>
      <c r="B113">
        <v>35</v>
      </c>
      <c r="C113" s="7">
        <f t="shared" si="1"/>
        <v>7.6586433260393871</v>
      </c>
      <c r="E113" s="5"/>
      <c r="F113" s="6">
        <v>7.6586433260393871</v>
      </c>
    </row>
    <row r="114" spans="1:6" x14ac:dyDescent="0.3">
      <c r="A114">
        <v>1891</v>
      </c>
      <c r="B114">
        <v>36</v>
      </c>
      <c r="C114" s="7">
        <f t="shared" si="1"/>
        <v>7.8774617067833699</v>
      </c>
      <c r="E114" s="5"/>
      <c r="F114" s="6">
        <v>7.8774617067833699</v>
      </c>
    </row>
    <row r="115" spans="1:6" x14ac:dyDescent="0.3">
      <c r="A115">
        <v>1892</v>
      </c>
      <c r="B115">
        <v>38.799999999999997</v>
      </c>
      <c r="C115" s="7">
        <f t="shared" si="1"/>
        <v>8.4901531728665205</v>
      </c>
      <c r="E115" s="5"/>
      <c r="F115" s="6">
        <v>8.4901531728665205</v>
      </c>
    </row>
    <row r="116" spans="1:6" x14ac:dyDescent="0.3">
      <c r="A116">
        <v>1893</v>
      </c>
      <c r="B116">
        <v>34.700000000000003</v>
      </c>
      <c r="C116" s="7">
        <f t="shared" si="1"/>
        <v>7.5929978118161934</v>
      </c>
      <c r="E116" s="5"/>
      <c r="F116" s="6">
        <v>7.5929978118161934</v>
      </c>
    </row>
    <row r="117" spans="1:6" x14ac:dyDescent="0.3">
      <c r="A117">
        <v>1894</v>
      </c>
      <c r="B117">
        <v>33.700000000000003</v>
      </c>
      <c r="C117" s="7">
        <f t="shared" si="1"/>
        <v>7.3741794310722106</v>
      </c>
      <c r="E117" s="5"/>
      <c r="F117" s="6">
        <v>7.3741794310722106</v>
      </c>
    </row>
    <row r="118" spans="1:6" x14ac:dyDescent="0.3">
      <c r="A118">
        <v>1895</v>
      </c>
      <c r="B118">
        <v>39.700000000000003</v>
      </c>
      <c r="C118" s="7">
        <f t="shared" si="1"/>
        <v>8.6870897155361053</v>
      </c>
      <c r="E118" s="5"/>
      <c r="F118" s="6">
        <v>8.6870897155361053</v>
      </c>
    </row>
    <row r="119" spans="1:6" x14ac:dyDescent="0.3">
      <c r="A119">
        <v>1896</v>
      </c>
      <c r="B119">
        <v>36.9</v>
      </c>
      <c r="C119" s="7">
        <f t="shared" si="1"/>
        <v>8.0743982494529547</v>
      </c>
      <c r="E119" s="5"/>
      <c r="F119" s="6">
        <v>8.0743982494529547</v>
      </c>
    </row>
    <row r="120" spans="1:6" x14ac:dyDescent="0.3">
      <c r="A120">
        <v>1897</v>
      </c>
      <c r="B120">
        <v>39.700000000000003</v>
      </c>
      <c r="C120" s="7">
        <f t="shared" si="1"/>
        <v>8.6870897155361053</v>
      </c>
      <c r="E120" s="5"/>
      <c r="F120" s="6">
        <v>8.6870897155361053</v>
      </c>
    </row>
    <row r="121" spans="1:6" x14ac:dyDescent="0.3">
      <c r="A121">
        <v>1898</v>
      </c>
      <c r="B121">
        <v>44.7</v>
      </c>
      <c r="C121" s="7">
        <f t="shared" si="1"/>
        <v>9.7811816192560173</v>
      </c>
      <c r="E121" s="5"/>
      <c r="F121" s="6">
        <v>9.7811816192560173</v>
      </c>
    </row>
    <row r="122" spans="1:6" x14ac:dyDescent="0.3">
      <c r="A122">
        <v>1899</v>
      </c>
      <c r="B122">
        <v>49.2</v>
      </c>
      <c r="C122" s="7">
        <f t="shared" si="1"/>
        <v>10.76586433260394</v>
      </c>
      <c r="E122" s="5"/>
      <c r="F122" s="6">
        <v>10.76586433260394</v>
      </c>
    </row>
    <row r="123" spans="1:6" x14ac:dyDescent="0.3">
      <c r="A123">
        <v>1900</v>
      </c>
      <c r="B123">
        <v>50.6</v>
      </c>
      <c r="C123" s="7">
        <f t="shared" si="1"/>
        <v>11.072210065645514</v>
      </c>
      <c r="E123" s="5"/>
      <c r="F123" s="6">
        <v>11.072210065645514</v>
      </c>
    </row>
    <row r="124" spans="1:6" x14ac:dyDescent="0.3">
      <c r="A124">
        <v>1901</v>
      </c>
      <c r="B124">
        <v>56.7</v>
      </c>
      <c r="C124" s="7">
        <f t="shared" si="1"/>
        <v>12.407002188183807</v>
      </c>
      <c r="E124" s="5"/>
      <c r="F124" s="6">
        <v>12.407002188183807</v>
      </c>
    </row>
    <row r="125" spans="1:6" x14ac:dyDescent="0.3">
      <c r="A125">
        <v>1902</v>
      </c>
      <c r="B125">
        <v>63.2</v>
      </c>
      <c r="C125" s="7">
        <f t="shared" si="1"/>
        <v>13.829321663019694</v>
      </c>
      <c r="E125" s="5"/>
      <c r="F125" s="6">
        <v>13.829321663019694</v>
      </c>
    </row>
    <row r="126" spans="1:6" x14ac:dyDescent="0.3">
      <c r="A126">
        <v>1903</v>
      </c>
      <c r="B126">
        <v>65.400000000000006</v>
      </c>
      <c r="C126" s="7">
        <f t="shared" si="1"/>
        <v>14.310722100656458</v>
      </c>
      <c r="E126" s="5"/>
      <c r="F126" s="6">
        <v>14.310722100656458</v>
      </c>
    </row>
    <row r="127" spans="1:6" x14ac:dyDescent="0.3">
      <c r="A127">
        <v>1904</v>
      </c>
      <c r="B127">
        <v>62.3</v>
      </c>
      <c r="C127" s="7">
        <f t="shared" si="1"/>
        <v>13.63238512035011</v>
      </c>
      <c r="E127" s="5"/>
      <c r="F127" s="6">
        <v>13.63238512035011</v>
      </c>
    </row>
    <row r="128" spans="1:6" x14ac:dyDescent="0.3">
      <c r="A128">
        <v>1905</v>
      </c>
      <c r="B128">
        <v>73.599999999999994</v>
      </c>
      <c r="C128" s="7">
        <f t="shared" si="1"/>
        <v>16.10503282275711</v>
      </c>
      <c r="E128" s="5"/>
      <c r="F128" s="6">
        <v>16.10503282275711</v>
      </c>
    </row>
    <row r="129" spans="1:6" x14ac:dyDescent="0.3">
      <c r="A129">
        <v>1906</v>
      </c>
      <c r="B129">
        <v>78.900000000000006</v>
      </c>
      <c r="C129" s="7">
        <f t="shared" si="1"/>
        <v>17.264770240700219</v>
      </c>
      <c r="E129" s="5"/>
      <c r="F129" s="6">
        <v>17.264770240700219</v>
      </c>
    </row>
    <row r="130" spans="1:6" x14ac:dyDescent="0.3">
      <c r="A130">
        <v>1907</v>
      </c>
      <c r="B130">
        <v>80.599999999999994</v>
      </c>
      <c r="C130" s="7">
        <f t="shared" si="1"/>
        <v>17.636761487964986</v>
      </c>
      <c r="E130" s="5"/>
      <c r="F130" s="6">
        <v>17.636761487964986</v>
      </c>
    </row>
    <row r="131" spans="1:6" x14ac:dyDescent="0.3">
      <c r="A131">
        <v>1908</v>
      </c>
      <c r="B131">
        <v>68</v>
      </c>
      <c r="C131" s="7">
        <f t="shared" si="1"/>
        <v>14.879649890590809</v>
      </c>
      <c r="E131" s="5"/>
      <c r="F131" s="6">
        <v>14.879649890590809</v>
      </c>
    </row>
    <row r="132" spans="1:6" x14ac:dyDescent="0.3">
      <c r="A132">
        <v>1909</v>
      </c>
      <c r="B132">
        <v>80.2</v>
      </c>
      <c r="C132" s="7">
        <f t="shared" si="1"/>
        <v>17.549234135667398</v>
      </c>
      <c r="E132" s="5"/>
      <c r="F132" s="6">
        <v>17.549234135667398</v>
      </c>
    </row>
    <row r="133" spans="1:6" x14ac:dyDescent="0.3">
      <c r="A133">
        <v>1910</v>
      </c>
      <c r="B133">
        <v>85.3</v>
      </c>
      <c r="C133" s="7">
        <f t="shared" si="1"/>
        <v>18.665207877461707</v>
      </c>
      <c r="E133" s="5"/>
      <c r="F133" s="6">
        <v>18.665207877461707</v>
      </c>
    </row>
    <row r="134" spans="1:6" x14ac:dyDescent="0.3">
      <c r="A134">
        <v>1911</v>
      </c>
      <c r="B134">
        <v>82.2</v>
      </c>
      <c r="C134" s="7">
        <f t="shared" si="1"/>
        <v>17.986870897155359</v>
      </c>
      <c r="E134" s="5"/>
      <c r="F134" s="6">
        <v>17.986870897155359</v>
      </c>
    </row>
    <row r="135" spans="1:6" x14ac:dyDescent="0.3">
      <c r="A135">
        <v>1912</v>
      </c>
      <c r="B135">
        <v>93.7</v>
      </c>
      <c r="C135" s="7">
        <f t="shared" si="1"/>
        <v>20.503282275711161</v>
      </c>
      <c r="E135" s="5"/>
      <c r="F135" s="6">
        <v>20.503282275711161</v>
      </c>
    </row>
    <row r="136" spans="1:6" x14ac:dyDescent="0.3">
      <c r="A136">
        <v>1913</v>
      </c>
      <c r="B136">
        <v>100</v>
      </c>
      <c r="C136" s="7">
        <f t="shared" si="1"/>
        <v>21.881838074398249</v>
      </c>
      <c r="E136" s="5"/>
      <c r="F136" s="6">
        <v>21.881838074398249</v>
      </c>
    </row>
    <row r="137" spans="1:6" x14ac:dyDescent="0.3">
      <c r="A137">
        <v>1914</v>
      </c>
      <c r="B137">
        <v>94.1</v>
      </c>
      <c r="C137" s="7">
        <f t="shared" si="1"/>
        <v>20.590809628008753</v>
      </c>
      <c r="E137" s="5"/>
      <c r="F137" s="6">
        <v>20.590809628008753</v>
      </c>
    </row>
    <row r="138" spans="1:6" x14ac:dyDescent="0.3">
      <c r="A138">
        <v>1915</v>
      </c>
      <c r="B138">
        <v>109.3</v>
      </c>
      <c r="C138" s="7">
        <f t="shared" si="1"/>
        <v>23.916849015317286</v>
      </c>
      <c r="E138" s="5"/>
      <c r="F138" s="6">
        <v>23.916849015317286</v>
      </c>
    </row>
    <row r="139" spans="1:6" x14ac:dyDescent="0.3">
      <c r="A139">
        <v>1916</v>
      </c>
      <c r="B139">
        <v>129.6</v>
      </c>
      <c r="C139" s="7">
        <f t="shared" si="1"/>
        <v>28.358862144420133</v>
      </c>
      <c r="E139" s="5"/>
      <c r="F139" s="6">
        <v>28.358862144420133</v>
      </c>
    </row>
    <row r="140" spans="1:6" x14ac:dyDescent="0.3">
      <c r="A140">
        <v>1917</v>
      </c>
      <c r="B140">
        <v>129.69999999999999</v>
      </c>
      <c r="C140" s="7">
        <f t="shared" si="1"/>
        <v>28.380743982494526</v>
      </c>
      <c r="E140" s="5"/>
      <c r="F140" s="6">
        <v>28.380743982494526</v>
      </c>
    </row>
    <row r="141" spans="1:6" x14ac:dyDescent="0.3">
      <c r="A141">
        <v>1918</v>
      </c>
      <c r="B141">
        <v>128.80000000000001</v>
      </c>
      <c r="C141" s="7">
        <f t="shared" si="1"/>
        <v>28.18380743982495</v>
      </c>
      <c r="E141" s="5"/>
      <c r="F141" s="6">
        <v>28.18380743982495</v>
      </c>
    </row>
    <row r="142" spans="1:6" x14ac:dyDescent="0.3">
      <c r="A142">
        <v>1919</v>
      </c>
      <c r="B142">
        <v>113.2</v>
      </c>
      <c r="C142" s="7">
        <f t="shared" si="1"/>
        <v>24.770240700218817</v>
      </c>
      <c r="D142">
        <v>4.9172000000000002</v>
      </c>
      <c r="E142" s="8">
        <f>D142*100/$D$181</f>
        <v>24.310020492360479</v>
      </c>
      <c r="F142" s="6">
        <v>24.310020492360479</v>
      </c>
    </row>
    <row r="143" spans="1:6" x14ac:dyDescent="0.3">
      <c r="A143">
        <v>1920</v>
      </c>
      <c r="B143">
        <v>124</v>
      </c>
      <c r="C143" s="7">
        <f t="shared" si="1"/>
        <v>27.133479212253828</v>
      </c>
      <c r="D143">
        <v>5.1494499999999999</v>
      </c>
      <c r="E143" s="8">
        <f t="shared" ref="E143:E206" si="2">D143*100/$D$181</f>
        <v>25.458235382816575</v>
      </c>
      <c r="F143" s="6">
        <v>25.458235382816575</v>
      </c>
    </row>
    <row r="144" spans="1:6" x14ac:dyDescent="0.3">
      <c r="A144">
        <v>1921</v>
      </c>
      <c r="B144">
        <v>100.1</v>
      </c>
      <c r="C144" s="7">
        <f t="shared" si="1"/>
        <v>21.903719912472649</v>
      </c>
      <c r="D144">
        <v>3.959225</v>
      </c>
      <c r="E144" s="8">
        <f t="shared" si="2"/>
        <v>19.573912162178868</v>
      </c>
      <c r="F144" s="6">
        <v>19.573912162178868</v>
      </c>
    </row>
    <row r="145" spans="1:6" x14ac:dyDescent="0.3">
      <c r="A145">
        <v>1922</v>
      </c>
      <c r="B145">
        <v>125.9</v>
      </c>
      <c r="C145" s="7">
        <f t="shared" si="1"/>
        <v>27.549234135667398</v>
      </c>
      <c r="D145">
        <v>5.04</v>
      </c>
      <c r="E145" s="8">
        <f t="shared" si="2"/>
        <v>24.917128300963316</v>
      </c>
      <c r="F145" s="6">
        <v>24.917128300963316</v>
      </c>
    </row>
    <row r="146" spans="1:6" x14ac:dyDescent="0.3">
      <c r="A146">
        <v>1923</v>
      </c>
      <c r="B146">
        <v>144.4</v>
      </c>
      <c r="C146" s="7">
        <f t="shared" si="1"/>
        <v>31.597374179431071</v>
      </c>
      <c r="D146">
        <v>6.0069249999999998</v>
      </c>
      <c r="E146" s="8">
        <f t="shared" si="2"/>
        <v>29.697484309377792</v>
      </c>
      <c r="F146" s="6">
        <v>29.697484309377792</v>
      </c>
    </row>
    <row r="147" spans="1:6" x14ac:dyDescent="0.3">
      <c r="A147">
        <v>1924</v>
      </c>
      <c r="B147">
        <v>137.69999999999999</v>
      </c>
      <c r="C147" s="7">
        <f t="shared" si="1"/>
        <v>30.131291028446384</v>
      </c>
      <c r="D147">
        <v>5.6273</v>
      </c>
      <c r="E147" s="8">
        <f t="shared" si="2"/>
        <v>27.820665890478349</v>
      </c>
      <c r="F147" s="6">
        <v>27.820665890478349</v>
      </c>
    </row>
    <row r="148" spans="1:6" x14ac:dyDescent="0.3">
      <c r="A148">
        <v>1925</v>
      </c>
      <c r="B148">
        <v>153</v>
      </c>
      <c r="C148" s="7">
        <f t="shared" ref="C148:C182" si="3">B148*100/$B$181</f>
        <v>33.479212253829324</v>
      </c>
      <c r="D148">
        <v>6.1989999999999998</v>
      </c>
      <c r="E148" s="8">
        <f t="shared" si="2"/>
        <v>30.6470790352523</v>
      </c>
      <c r="F148" s="6">
        <v>30.6470790352523</v>
      </c>
    </row>
    <row r="149" spans="1:6" x14ac:dyDescent="0.3">
      <c r="A149">
        <v>1926</v>
      </c>
      <c r="B149">
        <v>163.1</v>
      </c>
      <c r="C149" s="7">
        <f t="shared" si="3"/>
        <v>35.689277899343544</v>
      </c>
      <c r="D149">
        <v>6.5585000000000004</v>
      </c>
      <c r="E149" s="8">
        <f t="shared" si="2"/>
        <v>32.424401976561093</v>
      </c>
      <c r="F149" s="6">
        <v>32.424401976561093</v>
      </c>
    </row>
    <row r="150" spans="1:6" x14ac:dyDescent="0.3">
      <c r="A150">
        <v>1927</v>
      </c>
      <c r="B150">
        <v>164.5</v>
      </c>
      <c r="C150" s="7">
        <f t="shared" si="3"/>
        <v>35.995623632385119</v>
      </c>
      <c r="D150">
        <v>6.5540500000000002</v>
      </c>
      <c r="E150" s="8">
        <f t="shared" si="2"/>
        <v>32.402401734311233</v>
      </c>
      <c r="F150" s="6">
        <v>32.402401734311233</v>
      </c>
    </row>
    <row r="151" spans="1:6" x14ac:dyDescent="0.3">
      <c r="A151">
        <v>1928</v>
      </c>
      <c r="B151">
        <v>171.8</v>
      </c>
      <c r="C151" s="7">
        <f t="shared" si="3"/>
        <v>37.59299781181619</v>
      </c>
      <c r="D151">
        <v>6.8242500000000001</v>
      </c>
      <c r="E151" s="8">
        <f t="shared" si="2"/>
        <v>33.73823666822399</v>
      </c>
      <c r="F151" s="6">
        <v>33.73823666822399</v>
      </c>
    </row>
    <row r="152" spans="1:6" x14ac:dyDescent="0.3">
      <c r="A152">
        <v>1929</v>
      </c>
      <c r="B152">
        <v>188.3</v>
      </c>
      <c r="C152" s="7">
        <f t="shared" si="3"/>
        <v>41.203501094091905</v>
      </c>
      <c r="D152">
        <v>7.5745750000000003</v>
      </c>
      <c r="E152" s="8">
        <f t="shared" si="2"/>
        <v>37.447749424656585</v>
      </c>
      <c r="F152" s="6">
        <v>37.447749424656585</v>
      </c>
    </row>
    <row r="153" spans="1:6" x14ac:dyDescent="0.3">
      <c r="A153">
        <v>1930</v>
      </c>
      <c r="B153">
        <v>155.6</v>
      </c>
      <c r="C153" s="7">
        <f t="shared" si="3"/>
        <v>34.048140043763674</v>
      </c>
      <c r="D153">
        <v>6.2927749999999998</v>
      </c>
      <c r="E153" s="8">
        <f t="shared" si="2"/>
        <v>31.110690881764768</v>
      </c>
      <c r="F153" s="6">
        <v>31.110690881764768</v>
      </c>
    </row>
    <row r="154" spans="1:6" x14ac:dyDescent="0.3">
      <c r="A154">
        <v>1931</v>
      </c>
      <c r="B154">
        <v>129.69999999999999</v>
      </c>
      <c r="C154" s="7">
        <f t="shared" si="3"/>
        <v>28.380743982494526</v>
      </c>
      <c r="D154">
        <v>5.2119749999999998</v>
      </c>
      <c r="E154" s="8">
        <f t="shared" si="2"/>
        <v>25.767351146113747</v>
      </c>
      <c r="F154" s="6">
        <v>25.767351146113747</v>
      </c>
    </row>
    <row r="155" spans="1:6" x14ac:dyDescent="0.3">
      <c r="A155">
        <v>1932</v>
      </c>
      <c r="B155">
        <v>100.5</v>
      </c>
      <c r="C155" s="7">
        <f t="shared" si="3"/>
        <v>21.991247264770241</v>
      </c>
      <c r="D155">
        <v>4.0686249999999999</v>
      </c>
      <c r="E155" s="8">
        <f t="shared" si="2"/>
        <v>20.114772050298981</v>
      </c>
      <c r="F155" s="6">
        <v>20.114772050298981</v>
      </c>
    </row>
    <row r="156" spans="1:6" x14ac:dyDescent="0.3">
      <c r="A156">
        <v>1933</v>
      </c>
      <c r="B156">
        <v>119.9</v>
      </c>
      <c r="C156" s="7">
        <f t="shared" si="3"/>
        <v>26.236323851203501</v>
      </c>
      <c r="D156">
        <v>4.8189500000000001</v>
      </c>
      <c r="E156" s="8">
        <f t="shared" si="2"/>
        <v>23.82428480673158</v>
      </c>
      <c r="F156" s="6">
        <v>23.82428480673158</v>
      </c>
    </row>
    <row r="157" spans="1:6" x14ac:dyDescent="0.3">
      <c r="A157">
        <v>1934</v>
      </c>
      <c r="B157">
        <v>129.69999999999999</v>
      </c>
      <c r="C157" s="7">
        <f t="shared" si="3"/>
        <v>28.380743982494526</v>
      </c>
      <c r="D157">
        <v>5.2231500000000004</v>
      </c>
      <c r="E157" s="8">
        <f t="shared" si="2"/>
        <v>25.82259894547154</v>
      </c>
      <c r="F157" s="6">
        <v>25.82259894547154</v>
      </c>
    </row>
    <row r="158" spans="1:6" x14ac:dyDescent="0.3">
      <c r="A158">
        <v>1935</v>
      </c>
      <c r="B158">
        <v>149.1</v>
      </c>
      <c r="C158" s="7">
        <f t="shared" si="3"/>
        <v>32.625820568927793</v>
      </c>
      <c r="D158">
        <v>6.0493499999999996</v>
      </c>
      <c r="E158" s="8">
        <f t="shared" si="2"/>
        <v>29.907228191950878</v>
      </c>
      <c r="F158" s="6">
        <v>29.907228191950878</v>
      </c>
    </row>
    <row r="159" spans="1:6" x14ac:dyDescent="0.3">
      <c r="A159">
        <v>1936</v>
      </c>
      <c r="B159">
        <v>178.3</v>
      </c>
      <c r="C159" s="7">
        <f t="shared" si="3"/>
        <v>39.015317286652078</v>
      </c>
      <c r="D159">
        <v>7.1391</v>
      </c>
      <c r="E159" s="8">
        <f t="shared" si="2"/>
        <v>35.294815605834764</v>
      </c>
      <c r="F159" s="6">
        <v>35.294815605834764</v>
      </c>
    </row>
    <row r="160" spans="1:6" x14ac:dyDescent="0.3">
      <c r="A160">
        <v>1937</v>
      </c>
      <c r="B160">
        <v>194.5</v>
      </c>
      <c r="C160" s="7">
        <f t="shared" si="3"/>
        <v>42.560175054704594</v>
      </c>
      <c r="D160">
        <v>7.8201749999999999</v>
      </c>
      <c r="E160" s="8">
        <f t="shared" si="2"/>
        <v>38.661965041862267</v>
      </c>
      <c r="F160" s="6">
        <v>38.661965041862267</v>
      </c>
    </row>
    <row r="161" spans="1:6" x14ac:dyDescent="0.3">
      <c r="A161">
        <v>1938</v>
      </c>
      <c r="B161">
        <v>152.30000000000001</v>
      </c>
      <c r="C161" s="7">
        <f t="shared" si="3"/>
        <v>33.326039387308541</v>
      </c>
      <c r="D161">
        <v>6.183325</v>
      </c>
      <c r="E161" s="8">
        <f t="shared" si="2"/>
        <v>30.569583799911506</v>
      </c>
      <c r="F161" s="6">
        <v>30.569583799911506</v>
      </c>
    </row>
    <row r="162" spans="1:6" x14ac:dyDescent="0.3">
      <c r="A162">
        <v>1939</v>
      </c>
      <c r="B162">
        <v>188</v>
      </c>
      <c r="C162" s="7">
        <f t="shared" si="3"/>
        <v>41.137855579868706</v>
      </c>
      <c r="D162">
        <v>7.5879500000000002</v>
      </c>
      <c r="E162" s="8">
        <f t="shared" si="2"/>
        <v>37.513873748272744</v>
      </c>
      <c r="F162" s="6">
        <v>37.513873748272744</v>
      </c>
    </row>
    <row r="163" spans="1:6" x14ac:dyDescent="0.3">
      <c r="A163">
        <v>1940</v>
      </c>
      <c r="B163">
        <v>213.9</v>
      </c>
      <c r="C163" s="7">
        <f t="shared" si="3"/>
        <v>46.805251641137858</v>
      </c>
      <c r="D163">
        <v>8.7647750000000002</v>
      </c>
      <c r="E163" s="8">
        <f t="shared" si="2"/>
        <v>43.331949048427724</v>
      </c>
      <c r="F163" s="6">
        <v>43.331949048427724</v>
      </c>
    </row>
    <row r="164" spans="1:6" x14ac:dyDescent="0.3">
      <c r="A164">
        <v>1941</v>
      </c>
      <c r="B164">
        <v>275.5</v>
      </c>
      <c r="C164" s="7">
        <f t="shared" si="3"/>
        <v>60.284463894967175</v>
      </c>
      <c r="D164">
        <v>11.0693</v>
      </c>
      <c r="E164" s="8">
        <f t="shared" si="2"/>
        <v>54.725231805923265</v>
      </c>
      <c r="F164" s="6">
        <v>54.725231805923265</v>
      </c>
    </row>
    <row r="165" spans="1:6" x14ac:dyDescent="0.3">
      <c r="A165">
        <v>1942</v>
      </c>
      <c r="B165">
        <v>340.3</v>
      </c>
      <c r="C165" s="7">
        <f t="shared" si="3"/>
        <v>74.463894967177239</v>
      </c>
      <c r="D165">
        <v>12.701625</v>
      </c>
      <c r="E165" s="8">
        <f t="shared" si="2"/>
        <v>62.795242015024435</v>
      </c>
      <c r="F165" s="6">
        <v>62.795242015024435</v>
      </c>
    </row>
    <row r="166" spans="1:6" x14ac:dyDescent="0.3">
      <c r="A166">
        <v>1943</v>
      </c>
      <c r="B166">
        <v>405.2</v>
      </c>
      <c r="C166" s="7">
        <f t="shared" si="3"/>
        <v>88.665207877461711</v>
      </c>
      <c r="D166">
        <v>15.428224999999999</v>
      </c>
      <c r="E166" s="8">
        <f t="shared" si="2"/>
        <v>76.275210670859082</v>
      </c>
      <c r="F166" s="6">
        <v>76.275210670859082</v>
      </c>
    </row>
    <row r="167" spans="1:6" x14ac:dyDescent="0.3">
      <c r="A167">
        <v>1944</v>
      </c>
      <c r="B167">
        <v>398.7</v>
      </c>
      <c r="C167" s="7">
        <f t="shared" si="3"/>
        <v>87.242888402625823</v>
      </c>
      <c r="D167">
        <v>16.584975</v>
      </c>
      <c r="E167" s="8">
        <f t="shared" si="2"/>
        <v>81.994037687156563</v>
      </c>
      <c r="F167" s="6">
        <v>81.994037687156563</v>
      </c>
    </row>
    <row r="168" spans="1:6" x14ac:dyDescent="0.3">
      <c r="A168">
        <v>1945</v>
      </c>
      <c r="B168">
        <v>343.6</v>
      </c>
      <c r="C168" s="7">
        <f t="shared" si="3"/>
        <v>75.18599562363238</v>
      </c>
      <c r="D168">
        <v>14.195575</v>
      </c>
      <c r="E168" s="8">
        <f t="shared" si="2"/>
        <v>70.181143567648277</v>
      </c>
      <c r="F168" s="6">
        <v>70.181143567648277</v>
      </c>
    </row>
    <row r="169" spans="1:6" x14ac:dyDescent="0.3">
      <c r="A169">
        <v>1946</v>
      </c>
      <c r="B169">
        <v>291.7</v>
      </c>
      <c r="C169" s="7">
        <f t="shared" si="3"/>
        <v>63.829321663019691</v>
      </c>
      <c r="D169">
        <v>12.26845</v>
      </c>
      <c r="E169" s="8">
        <f t="shared" si="2"/>
        <v>60.65367910792726</v>
      </c>
      <c r="F169" s="6">
        <v>60.65367910792726</v>
      </c>
    </row>
    <row r="170" spans="1:6" x14ac:dyDescent="0.3">
      <c r="A170">
        <v>1947</v>
      </c>
      <c r="B170">
        <v>320.89999999999998</v>
      </c>
      <c r="C170" s="7">
        <f t="shared" si="3"/>
        <v>70.218818380743969</v>
      </c>
      <c r="D170">
        <v>13.807024999999999</v>
      </c>
      <c r="E170" s="8">
        <f t="shared" si="2"/>
        <v>68.260201067382539</v>
      </c>
      <c r="F170" s="6">
        <v>68.260201067382539</v>
      </c>
    </row>
    <row r="171" spans="1:6" x14ac:dyDescent="0.3">
      <c r="A171">
        <v>1948</v>
      </c>
      <c r="B171">
        <v>333.9</v>
      </c>
      <c r="C171" s="7">
        <f t="shared" si="3"/>
        <v>73.063457330415758</v>
      </c>
      <c r="D171">
        <v>14.389849999999999</v>
      </c>
      <c r="E171" s="8">
        <f t="shared" si="2"/>
        <v>71.141614817781146</v>
      </c>
      <c r="F171" s="6">
        <v>71.141614817781146</v>
      </c>
    </row>
    <row r="172" spans="1:6" x14ac:dyDescent="0.3">
      <c r="A172">
        <v>1949</v>
      </c>
      <c r="B172">
        <v>317.7</v>
      </c>
      <c r="C172" s="7">
        <f t="shared" si="3"/>
        <v>69.518599562363235</v>
      </c>
      <c r="D172">
        <v>13.58595</v>
      </c>
      <c r="E172" s="8">
        <f t="shared" si="2"/>
        <v>67.167233976284237</v>
      </c>
      <c r="F172" s="6">
        <v>67.167233976284237</v>
      </c>
    </row>
    <row r="173" spans="1:6" x14ac:dyDescent="0.3">
      <c r="A173">
        <v>1950</v>
      </c>
      <c r="B173">
        <v>366.3</v>
      </c>
      <c r="C173" s="7">
        <f t="shared" si="3"/>
        <v>80.153172866520791</v>
      </c>
      <c r="D173">
        <v>15.727449999999999</v>
      </c>
      <c r="E173" s="8">
        <f t="shared" si="2"/>
        <v>77.754541566862201</v>
      </c>
      <c r="F173" s="6">
        <v>77.754541566862201</v>
      </c>
    </row>
    <row r="174" spans="1:6" x14ac:dyDescent="0.3">
      <c r="A174">
        <v>1951</v>
      </c>
      <c r="B174">
        <v>398.7</v>
      </c>
      <c r="C174" s="7">
        <f t="shared" si="3"/>
        <v>87.242888402625823</v>
      </c>
      <c r="D174">
        <v>17.058375000000002</v>
      </c>
      <c r="E174" s="8">
        <f t="shared" si="2"/>
        <v>84.334467952568474</v>
      </c>
      <c r="F174" s="6">
        <v>84.334467952568474</v>
      </c>
    </row>
    <row r="175" spans="1:6" x14ac:dyDescent="0.3">
      <c r="A175">
        <v>1952</v>
      </c>
      <c r="B175">
        <v>411.7</v>
      </c>
      <c r="C175" s="7">
        <f t="shared" si="3"/>
        <v>90.087527352297599</v>
      </c>
      <c r="D175">
        <v>17.723800000000001</v>
      </c>
      <c r="E175" s="8">
        <f t="shared" si="2"/>
        <v>87.624245750121759</v>
      </c>
      <c r="F175" s="6">
        <v>87.624245750121759</v>
      </c>
    </row>
    <row r="176" spans="1:6" x14ac:dyDescent="0.3">
      <c r="A176">
        <v>1953</v>
      </c>
      <c r="B176">
        <v>447.3</v>
      </c>
      <c r="C176" s="7">
        <f t="shared" si="3"/>
        <v>97.877461706783365</v>
      </c>
      <c r="D176">
        <v>19.211024999999999</v>
      </c>
      <c r="E176" s="8">
        <f t="shared" si="2"/>
        <v>94.976899745637652</v>
      </c>
      <c r="F176" s="6">
        <v>94.976899745637652</v>
      </c>
    </row>
    <row r="177" spans="1:6" x14ac:dyDescent="0.3">
      <c r="A177">
        <v>1954</v>
      </c>
      <c r="B177">
        <v>421.4</v>
      </c>
      <c r="C177" s="7">
        <f t="shared" si="3"/>
        <v>92.21006564551422</v>
      </c>
      <c r="D177">
        <v>18.123525000000001</v>
      </c>
      <c r="E177" s="8">
        <f t="shared" si="2"/>
        <v>89.600436049745269</v>
      </c>
      <c r="F177" s="6">
        <v>89.600436049745269</v>
      </c>
    </row>
    <row r="178" spans="1:6" x14ac:dyDescent="0.3">
      <c r="A178">
        <v>1955</v>
      </c>
      <c r="B178">
        <v>473.2</v>
      </c>
      <c r="C178" s="7">
        <f t="shared" si="3"/>
        <v>103.54485776805252</v>
      </c>
      <c r="D178">
        <v>20.441475000000001</v>
      </c>
      <c r="E178" s="8">
        <f t="shared" si="2"/>
        <v>101.06009032459011</v>
      </c>
      <c r="F178" s="6">
        <v>101.06009032459011</v>
      </c>
    </row>
    <row r="179" spans="1:6" x14ac:dyDescent="0.3">
      <c r="A179">
        <v>1956</v>
      </c>
      <c r="B179">
        <v>489.4</v>
      </c>
      <c r="C179" s="7">
        <f t="shared" si="3"/>
        <v>107.08971553610503</v>
      </c>
      <c r="D179">
        <v>21.325749999999999</v>
      </c>
      <c r="E179" s="8">
        <f t="shared" si="2"/>
        <v>105.43183509211674</v>
      </c>
      <c r="F179" s="6">
        <v>105.43183509211674</v>
      </c>
    </row>
    <row r="180" spans="1:6" x14ac:dyDescent="0.3">
      <c r="A180">
        <v>1957</v>
      </c>
      <c r="B180">
        <v>492.7</v>
      </c>
      <c r="C180" s="7">
        <f t="shared" si="3"/>
        <v>107.81181619256017</v>
      </c>
      <c r="D180">
        <v>21.629425000000001</v>
      </c>
      <c r="E180" s="8">
        <f t="shared" si="2"/>
        <v>106.93316623036974</v>
      </c>
      <c r="F180" s="6">
        <v>106.93316623036974</v>
      </c>
    </row>
    <row r="181" spans="1:6" x14ac:dyDescent="0.3">
      <c r="A181">
        <v>1958</v>
      </c>
      <c r="B181">
        <v>457</v>
      </c>
      <c r="C181" s="7">
        <f t="shared" si="3"/>
        <v>100</v>
      </c>
      <c r="D181">
        <v>20.227049999999998</v>
      </c>
      <c r="E181" s="8">
        <f t="shared" si="2"/>
        <v>100</v>
      </c>
      <c r="F181" s="6">
        <v>100</v>
      </c>
    </row>
    <row r="182" spans="1:6" x14ac:dyDescent="0.3">
      <c r="A182">
        <v>1959</v>
      </c>
      <c r="B182">
        <v>517.29999999999995</v>
      </c>
      <c r="C182" s="7">
        <f t="shared" si="3"/>
        <v>113.19474835886213</v>
      </c>
      <c r="D182">
        <v>22.645499999999998</v>
      </c>
      <c r="E182" s="8">
        <f t="shared" si="2"/>
        <v>111.95651367846521</v>
      </c>
      <c r="F182" s="6">
        <v>111.95651367846521</v>
      </c>
    </row>
    <row r="183" spans="1:6" x14ac:dyDescent="0.3">
      <c r="A183">
        <v>1960</v>
      </c>
      <c r="C183" s="5"/>
      <c r="D183">
        <v>23.156825000000001</v>
      </c>
      <c r="E183" s="8">
        <f t="shared" si="2"/>
        <v>114.48444039046724</v>
      </c>
      <c r="F183" s="6">
        <v>114.48444039046724</v>
      </c>
    </row>
    <row r="184" spans="1:6" x14ac:dyDescent="0.3">
      <c r="A184">
        <v>1961</v>
      </c>
      <c r="C184" s="5"/>
      <c r="D184">
        <v>23.310925000000001</v>
      </c>
      <c r="E184" s="8">
        <f t="shared" si="2"/>
        <v>115.24629147601851</v>
      </c>
      <c r="F184" s="6">
        <v>115.24629147601851</v>
      </c>
    </row>
    <row r="185" spans="1:6" x14ac:dyDescent="0.3">
      <c r="A185">
        <v>1962</v>
      </c>
      <c r="C185" s="5"/>
      <c r="D185">
        <v>25.253699999999998</v>
      </c>
      <c r="E185" s="8">
        <f t="shared" si="2"/>
        <v>124.85112757421375</v>
      </c>
      <c r="F185" s="6">
        <v>124.85112757421375</v>
      </c>
    </row>
    <row r="186" spans="1:6" x14ac:dyDescent="0.3">
      <c r="A186">
        <v>1963</v>
      </c>
      <c r="C186" s="5"/>
      <c r="D186">
        <v>26.801224999999999</v>
      </c>
      <c r="E186" s="8">
        <f t="shared" si="2"/>
        <v>132.50189721190191</v>
      </c>
      <c r="F186" s="6">
        <v>132.50189721190191</v>
      </c>
    </row>
    <row r="187" spans="1:6" x14ac:dyDescent="0.3">
      <c r="A187">
        <v>1964</v>
      </c>
      <c r="C187" s="5"/>
      <c r="D187">
        <v>28.605550000000001</v>
      </c>
      <c r="E187" s="8">
        <f t="shared" si="2"/>
        <v>141.4222538630201</v>
      </c>
      <c r="F187" s="6">
        <v>141.4222538630201</v>
      </c>
    </row>
    <row r="188" spans="1:6" x14ac:dyDescent="0.3">
      <c r="A188">
        <v>1965</v>
      </c>
      <c r="C188" s="5"/>
      <c r="D188">
        <v>31.448225000000001</v>
      </c>
      <c r="E188" s="8">
        <f t="shared" si="2"/>
        <v>155.47608277034962</v>
      </c>
      <c r="F188" s="6">
        <v>155.47608277034962</v>
      </c>
    </row>
    <row r="189" spans="1:6" x14ac:dyDescent="0.3">
      <c r="A189">
        <v>1966</v>
      </c>
      <c r="C189" s="5"/>
      <c r="D189">
        <v>34.230625000000003</v>
      </c>
      <c r="E189" s="8">
        <f t="shared" si="2"/>
        <v>169.23191963237352</v>
      </c>
      <c r="F189" s="6">
        <v>169.23191963237352</v>
      </c>
    </row>
    <row r="190" spans="1:6" x14ac:dyDescent="0.3">
      <c r="A190">
        <v>1967</v>
      </c>
      <c r="C190" s="5"/>
      <c r="D190">
        <v>34.969524999999997</v>
      </c>
      <c r="E190" s="8">
        <f t="shared" si="2"/>
        <v>172.88494862078258</v>
      </c>
      <c r="F190" s="6">
        <v>172.88494862078258</v>
      </c>
    </row>
    <row r="191" spans="1:6" x14ac:dyDescent="0.3">
      <c r="A191">
        <v>1968</v>
      </c>
      <c r="C191" s="5"/>
      <c r="D191">
        <v>36.912050000000001</v>
      </c>
      <c r="E191" s="8">
        <f t="shared" si="2"/>
        <v>182.48854875031211</v>
      </c>
      <c r="F191" s="6">
        <v>182.48854875031211</v>
      </c>
    </row>
    <row r="192" spans="1:6" x14ac:dyDescent="0.3">
      <c r="A192">
        <v>1969</v>
      </c>
      <c r="C192" s="5"/>
      <c r="D192">
        <v>38.625574999999998</v>
      </c>
      <c r="E192" s="8">
        <f t="shared" si="2"/>
        <v>190.96000158203989</v>
      </c>
      <c r="F192" s="6">
        <v>190.96000158203989</v>
      </c>
    </row>
    <row r="193" spans="1:6" x14ac:dyDescent="0.3">
      <c r="A193">
        <v>1970</v>
      </c>
      <c r="C193" s="5"/>
      <c r="D193">
        <v>37.351875</v>
      </c>
      <c r="E193" s="8">
        <f t="shared" si="2"/>
        <v>184.66298842391748</v>
      </c>
      <c r="F193" s="6">
        <v>184.66298842391748</v>
      </c>
    </row>
    <row r="194" spans="1:6" x14ac:dyDescent="0.3">
      <c r="A194">
        <v>1971</v>
      </c>
      <c r="C194" s="5"/>
      <c r="D194">
        <v>37.862499999999997</v>
      </c>
      <c r="E194" s="8">
        <f t="shared" si="2"/>
        <v>187.18745442365545</v>
      </c>
      <c r="F194" s="6">
        <v>187.18745442365545</v>
      </c>
    </row>
    <row r="195" spans="1:6" x14ac:dyDescent="0.3">
      <c r="A195">
        <v>1972</v>
      </c>
      <c r="C195" s="5"/>
      <c r="D195">
        <v>41.50365</v>
      </c>
      <c r="E195" s="8">
        <f t="shared" si="2"/>
        <v>205.18884365243574</v>
      </c>
      <c r="F195" s="6">
        <v>205.18884365243574</v>
      </c>
    </row>
    <row r="196" spans="1:6" x14ac:dyDescent="0.3">
      <c r="A196">
        <v>1973</v>
      </c>
      <c r="C196" s="5"/>
      <c r="D196">
        <v>44.902850000000001</v>
      </c>
      <c r="E196" s="8">
        <f t="shared" si="2"/>
        <v>221.99406240652988</v>
      </c>
      <c r="F196" s="6">
        <v>221.99406240652988</v>
      </c>
    </row>
    <row r="197" spans="1:6" x14ac:dyDescent="0.3">
      <c r="A197">
        <v>1974</v>
      </c>
      <c r="C197" s="5"/>
      <c r="D197">
        <v>44.772725000000001</v>
      </c>
      <c r="E197" s="8">
        <f t="shared" si="2"/>
        <v>221.35074071602139</v>
      </c>
      <c r="F197" s="6">
        <v>221.35074071602139</v>
      </c>
    </row>
    <row r="198" spans="1:6" x14ac:dyDescent="0.3">
      <c r="A198">
        <v>1975</v>
      </c>
      <c r="C198" s="5"/>
      <c r="D198">
        <v>40.820025000000001</v>
      </c>
      <c r="E198" s="8">
        <f t="shared" si="2"/>
        <v>201.80908733601788</v>
      </c>
      <c r="F198" s="6">
        <v>201.80908733601788</v>
      </c>
    </row>
    <row r="199" spans="1:6" x14ac:dyDescent="0.3">
      <c r="A199">
        <v>1976</v>
      </c>
      <c r="C199" s="5"/>
      <c r="D199">
        <v>44.024825</v>
      </c>
      <c r="E199" s="8">
        <f t="shared" si="2"/>
        <v>217.65321685564629</v>
      </c>
      <c r="F199" s="6">
        <v>217.65321685564629</v>
      </c>
    </row>
    <row r="200" spans="1:6" x14ac:dyDescent="0.3">
      <c r="A200">
        <v>1977</v>
      </c>
      <c r="C200" s="5"/>
      <c r="D200">
        <v>47.374000000000002</v>
      </c>
      <c r="E200" s="8">
        <f t="shared" si="2"/>
        <v>234.21111827972942</v>
      </c>
      <c r="F200" s="6">
        <v>234.21111827972942</v>
      </c>
    </row>
    <row r="201" spans="1:6" x14ac:dyDescent="0.3">
      <c r="A201">
        <v>1978</v>
      </c>
      <c r="C201" s="5"/>
      <c r="D201">
        <v>49.968325</v>
      </c>
      <c r="E201" s="8">
        <f t="shared" si="2"/>
        <v>247.03713591453032</v>
      </c>
      <c r="F201" s="6">
        <v>247.03713591453032</v>
      </c>
    </row>
    <row r="202" spans="1:6" x14ac:dyDescent="0.3">
      <c r="A202">
        <v>1979</v>
      </c>
      <c r="C202" s="5"/>
      <c r="D202">
        <v>51.479075000000002</v>
      </c>
      <c r="E202" s="8">
        <f t="shared" si="2"/>
        <v>254.5060945614907</v>
      </c>
      <c r="F202" s="6">
        <v>254.5060945614907</v>
      </c>
    </row>
    <row r="203" spans="1:6" x14ac:dyDescent="0.3">
      <c r="A203">
        <v>1980</v>
      </c>
      <c r="C203" s="5"/>
      <c r="D203">
        <v>50.169249999999998</v>
      </c>
      <c r="E203" s="8">
        <f t="shared" si="2"/>
        <v>248.0304839311714</v>
      </c>
      <c r="F203" s="6">
        <v>248.0304839311714</v>
      </c>
    </row>
    <row r="204" spans="1:6" x14ac:dyDescent="0.3">
      <c r="A204">
        <v>1981</v>
      </c>
      <c r="C204" s="5"/>
      <c r="D204">
        <v>50.839275000000001</v>
      </c>
      <c r="E204" s="8">
        <f t="shared" si="2"/>
        <v>251.34300355217397</v>
      </c>
      <c r="F204" s="6">
        <v>251.34300355217397</v>
      </c>
    </row>
    <row r="205" spans="1:6" x14ac:dyDescent="0.3">
      <c r="A205">
        <v>1982</v>
      </c>
      <c r="C205" s="5"/>
      <c r="D205">
        <v>48.21575</v>
      </c>
      <c r="E205" s="8">
        <f t="shared" si="2"/>
        <v>238.37262477721666</v>
      </c>
      <c r="F205" s="6">
        <v>238.37262477721666</v>
      </c>
    </row>
    <row r="206" spans="1:6" x14ac:dyDescent="0.3">
      <c r="A206">
        <v>1983</v>
      </c>
      <c r="C206" s="5"/>
      <c r="D206">
        <v>49.542475000000003</v>
      </c>
      <c r="E206" s="8">
        <f t="shared" si="2"/>
        <v>244.93178688933881</v>
      </c>
      <c r="F206" s="6">
        <v>244.93178688933881</v>
      </c>
    </row>
    <row r="207" spans="1:6" x14ac:dyDescent="0.3">
      <c r="A207">
        <v>1984</v>
      </c>
      <c r="C207" s="5"/>
      <c r="D207">
        <v>53.955824999999997</v>
      </c>
      <c r="E207" s="8">
        <f t="shared" ref="E207:E233" si="4">D207*100/$D$181</f>
        <v>266.75083613280236</v>
      </c>
      <c r="F207" s="6">
        <v>266.75083613280236</v>
      </c>
    </row>
    <row r="208" spans="1:6" x14ac:dyDescent="0.3">
      <c r="A208">
        <v>1985</v>
      </c>
      <c r="C208" s="5"/>
      <c r="D208">
        <v>54.607349999999997</v>
      </c>
      <c r="E208" s="8">
        <f t="shared" si="4"/>
        <v>269.97189407254149</v>
      </c>
      <c r="F208" s="6">
        <v>269.97189407254149</v>
      </c>
    </row>
    <row r="209" spans="1:6" x14ac:dyDescent="0.3">
      <c r="A209">
        <v>1986</v>
      </c>
      <c r="C209" s="5"/>
      <c r="D209">
        <v>55.157575000000001</v>
      </c>
      <c r="E209" s="8">
        <f t="shared" si="4"/>
        <v>272.69213750892987</v>
      </c>
      <c r="F209" s="6">
        <v>272.69213750892987</v>
      </c>
    </row>
    <row r="210" spans="1:6" x14ac:dyDescent="0.3">
      <c r="A210">
        <v>1987</v>
      </c>
      <c r="C210" s="5"/>
      <c r="D210">
        <v>58.008299999999998</v>
      </c>
      <c r="E210" s="8">
        <f t="shared" si="4"/>
        <v>286.78576460729568</v>
      </c>
      <c r="F210" s="6">
        <v>286.78576460729568</v>
      </c>
    </row>
    <row r="211" spans="1:6" x14ac:dyDescent="0.3">
      <c r="A211">
        <v>1988</v>
      </c>
      <c r="C211" s="5"/>
      <c r="D211">
        <v>61.001824999999997</v>
      </c>
      <c r="E211" s="8">
        <f t="shared" si="4"/>
        <v>301.58537700752214</v>
      </c>
      <c r="F211" s="6">
        <v>301.58537700752214</v>
      </c>
    </row>
    <row r="212" spans="1:6" x14ac:dyDescent="0.3">
      <c r="A212">
        <v>1989</v>
      </c>
      <c r="C212" s="5"/>
      <c r="D212">
        <v>61.542850000000001</v>
      </c>
      <c r="E212" s="8">
        <f t="shared" si="4"/>
        <v>304.26013679701197</v>
      </c>
      <c r="F212" s="6">
        <v>304.26013679701197</v>
      </c>
    </row>
    <row r="213" spans="1:6" x14ac:dyDescent="0.3">
      <c r="A213">
        <v>1990</v>
      </c>
      <c r="C213" s="5"/>
      <c r="D213">
        <v>62.127749999999999</v>
      </c>
      <c r="E213" s="8">
        <f t="shared" si="4"/>
        <v>307.15180908733601</v>
      </c>
      <c r="F213" s="6">
        <v>307.15180908733601</v>
      </c>
    </row>
    <row r="214" spans="1:6" x14ac:dyDescent="0.3">
      <c r="A214">
        <v>1991</v>
      </c>
      <c r="C214" s="5"/>
      <c r="D214">
        <v>61.167625000000001</v>
      </c>
      <c r="E214" s="8">
        <f t="shared" si="4"/>
        <v>302.40507142662921</v>
      </c>
      <c r="F214" s="6">
        <v>302.40507142662921</v>
      </c>
    </row>
    <row r="215" spans="1:6" x14ac:dyDescent="0.3">
      <c r="A215">
        <v>1992</v>
      </c>
      <c r="C215" s="5"/>
      <c r="D215">
        <v>62.896574999999999</v>
      </c>
      <c r="E215" s="8">
        <f t="shared" si="4"/>
        <v>310.95278352503209</v>
      </c>
      <c r="F215" s="6">
        <v>310.95278352503209</v>
      </c>
    </row>
    <row r="216" spans="1:6" x14ac:dyDescent="0.3">
      <c r="A216">
        <v>1993</v>
      </c>
      <c r="C216" s="5"/>
      <c r="D216">
        <v>64.951475000000002</v>
      </c>
      <c r="E216" s="8">
        <f t="shared" si="4"/>
        <v>321.11195156980381</v>
      </c>
      <c r="F216" s="6">
        <v>321.11195156980381</v>
      </c>
    </row>
    <row r="217" spans="1:6" x14ac:dyDescent="0.3">
      <c r="A217">
        <v>1994</v>
      </c>
      <c r="C217" s="5"/>
      <c r="D217">
        <v>68.381450000000001</v>
      </c>
      <c r="E217" s="8">
        <f t="shared" si="4"/>
        <v>338.06931806664841</v>
      </c>
      <c r="F217" s="6">
        <v>338.06931806664841</v>
      </c>
    </row>
    <row r="218" spans="1:6" x14ac:dyDescent="0.3">
      <c r="A218">
        <v>1995</v>
      </c>
      <c r="C218" s="5"/>
      <c r="D218">
        <v>71.626575000000003</v>
      </c>
      <c r="E218" s="8">
        <f t="shared" si="4"/>
        <v>354.11280933205785</v>
      </c>
      <c r="F218" s="6">
        <v>354.11280933205785</v>
      </c>
    </row>
    <row r="219" spans="1:6" x14ac:dyDescent="0.3">
      <c r="A219">
        <v>1996</v>
      </c>
      <c r="C219" s="5"/>
      <c r="D219">
        <v>74.810550000000006</v>
      </c>
      <c r="E219" s="8">
        <f t="shared" si="4"/>
        <v>369.85398266183159</v>
      </c>
      <c r="F219" s="6">
        <v>369.85398266183159</v>
      </c>
    </row>
    <row r="220" spans="1:6" x14ac:dyDescent="0.3">
      <c r="A220">
        <v>1997</v>
      </c>
      <c r="C220" s="5"/>
      <c r="D220">
        <v>80.203249999999997</v>
      </c>
      <c r="E220" s="8">
        <f t="shared" si="4"/>
        <v>396.51481555639606</v>
      </c>
      <c r="F220" s="6">
        <v>396.51481555639606</v>
      </c>
    </row>
    <row r="221" spans="1:6" x14ac:dyDescent="0.3">
      <c r="A221">
        <v>1998</v>
      </c>
      <c r="C221" s="5"/>
      <c r="D221">
        <v>84.863600000000005</v>
      </c>
      <c r="E221" s="8">
        <f t="shared" si="4"/>
        <v>419.55500184159337</v>
      </c>
      <c r="F221" s="6">
        <v>419.55500184159337</v>
      </c>
    </row>
    <row r="222" spans="1:6" x14ac:dyDescent="0.3">
      <c r="A222">
        <v>1999</v>
      </c>
      <c r="D222">
        <v>88.500574999999998</v>
      </c>
      <c r="E222" s="8">
        <f t="shared" si="4"/>
        <v>437.53575039365603</v>
      </c>
      <c r="F222" s="6">
        <v>437.53575039365603</v>
      </c>
    </row>
    <row r="223" spans="1:6" x14ac:dyDescent="0.3">
      <c r="A223">
        <v>2000</v>
      </c>
      <c r="D223">
        <v>92.053025000000005</v>
      </c>
      <c r="E223" s="8">
        <f t="shared" si="4"/>
        <v>455.09861793983799</v>
      </c>
      <c r="F223" s="6">
        <v>455.09861793983799</v>
      </c>
    </row>
    <row r="224" spans="1:6" x14ac:dyDescent="0.3">
      <c r="A224">
        <v>2001</v>
      </c>
      <c r="D224">
        <v>88.917249999999996</v>
      </c>
      <c r="E224" s="8">
        <f t="shared" si="4"/>
        <v>439.5957393688156</v>
      </c>
      <c r="F224" s="6">
        <v>439.5957393688156</v>
      </c>
    </row>
    <row r="225" spans="1:6" x14ac:dyDescent="0.3">
      <c r="A225">
        <v>2002</v>
      </c>
      <c r="D225">
        <v>89.100624999999994</v>
      </c>
      <c r="E225" s="8">
        <f t="shared" si="4"/>
        <v>440.50232238512291</v>
      </c>
      <c r="F225" s="6">
        <v>440.50232238512291</v>
      </c>
    </row>
    <row r="226" spans="1:6" x14ac:dyDescent="0.3">
      <c r="A226">
        <v>2003</v>
      </c>
      <c r="D226">
        <v>90.230400000000003</v>
      </c>
      <c r="E226" s="8">
        <f t="shared" si="4"/>
        <v>446.08778838238902</v>
      </c>
      <c r="F226" s="6">
        <v>446.08778838238902</v>
      </c>
    </row>
    <row r="227" spans="1:6" x14ac:dyDescent="0.3">
      <c r="A227">
        <v>2004</v>
      </c>
      <c r="D227">
        <v>92.328824999999995</v>
      </c>
      <c r="E227" s="8">
        <f t="shared" si="4"/>
        <v>456.46213857186297</v>
      </c>
      <c r="F227" s="6">
        <v>456.46213857186297</v>
      </c>
    </row>
    <row r="228" spans="1:6" x14ac:dyDescent="0.3">
      <c r="A228">
        <v>2005</v>
      </c>
      <c r="D228">
        <v>95.318275</v>
      </c>
      <c r="E228" s="8">
        <f t="shared" si="4"/>
        <v>471.2416046828381</v>
      </c>
      <c r="F228" s="6">
        <v>471.2416046828381</v>
      </c>
    </row>
    <row r="229" spans="1:6" x14ac:dyDescent="0.3">
      <c r="A229">
        <v>2006</v>
      </c>
      <c r="D229">
        <v>97.406175000000005</v>
      </c>
      <c r="E229" s="8">
        <f t="shared" si="4"/>
        <v>481.56392059148521</v>
      </c>
      <c r="F229" s="6">
        <v>481.56392059148521</v>
      </c>
    </row>
    <row r="230" spans="1:6" x14ac:dyDescent="0.3">
      <c r="A230">
        <f>A229+1</f>
        <v>2007</v>
      </c>
      <c r="D230">
        <v>100</v>
      </c>
      <c r="E230" s="8">
        <f t="shared" si="4"/>
        <v>494.38746628895467</v>
      </c>
      <c r="F230" s="6">
        <v>494.38746628895467</v>
      </c>
    </row>
    <row r="231" spans="1:6" x14ac:dyDescent="0.3">
      <c r="A231">
        <f t="shared" ref="A231:A253" si="5">A230+1</f>
        <v>2008</v>
      </c>
      <c r="D231">
        <v>96.290649999999999</v>
      </c>
      <c r="E231" s="8">
        <f t="shared" si="4"/>
        <v>476.04890480816539</v>
      </c>
      <c r="F231" s="6">
        <v>476.04890480816539</v>
      </c>
    </row>
    <row r="232" spans="1:6" x14ac:dyDescent="0.3">
      <c r="A232">
        <f t="shared" si="5"/>
        <v>2009</v>
      </c>
      <c r="D232">
        <v>85.545249999999996</v>
      </c>
      <c r="E232" s="8">
        <f t="shared" si="4"/>
        <v>422.92499400555198</v>
      </c>
      <c r="F232" s="6">
        <v>422.92499400555198</v>
      </c>
    </row>
    <row r="233" spans="1:6" x14ac:dyDescent="0.3">
      <c r="A233">
        <f t="shared" si="5"/>
        <v>2010</v>
      </c>
      <c r="D233">
        <v>90.065775000000002</v>
      </c>
      <c r="E233" s="8">
        <f t="shared" si="4"/>
        <v>445.27390301601076</v>
      </c>
      <c r="F233" s="6">
        <v>445.27390301601076</v>
      </c>
    </row>
    <row r="234" spans="1:6" x14ac:dyDescent="0.3">
      <c r="A234">
        <f t="shared" si="5"/>
        <v>2011</v>
      </c>
      <c r="E234" s="5"/>
    </row>
    <row r="235" spans="1:6" x14ac:dyDescent="0.3">
      <c r="A235">
        <f t="shared" si="5"/>
        <v>2012</v>
      </c>
    </row>
    <row r="236" spans="1:6" x14ac:dyDescent="0.3">
      <c r="A236">
        <f t="shared" si="5"/>
        <v>2013</v>
      </c>
    </row>
    <row r="237" spans="1:6" x14ac:dyDescent="0.3">
      <c r="A237">
        <f t="shared" si="5"/>
        <v>2014</v>
      </c>
    </row>
    <row r="238" spans="1:6" x14ac:dyDescent="0.3">
      <c r="A238">
        <f t="shared" si="5"/>
        <v>2015</v>
      </c>
    </row>
    <row r="239" spans="1:6" x14ac:dyDescent="0.3">
      <c r="A239">
        <f t="shared" si="5"/>
        <v>2016</v>
      </c>
    </row>
    <row r="240" spans="1:6" x14ac:dyDescent="0.3">
      <c r="A240">
        <f t="shared" si="5"/>
        <v>2017</v>
      </c>
    </row>
    <row r="241" spans="1:1" x14ac:dyDescent="0.3">
      <c r="A241">
        <f t="shared" si="5"/>
        <v>2018</v>
      </c>
    </row>
    <row r="242" spans="1:1" x14ac:dyDescent="0.3">
      <c r="A242">
        <f t="shared" si="5"/>
        <v>2019</v>
      </c>
    </row>
    <row r="243" spans="1:1" x14ac:dyDescent="0.3">
      <c r="A243">
        <f t="shared" si="5"/>
        <v>2020</v>
      </c>
    </row>
    <row r="244" spans="1:1" x14ac:dyDescent="0.3">
      <c r="A244">
        <f t="shared" si="5"/>
        <v>2021</v>
      </c>
    </row>
    <row r="245" spans="1:1" x14ac:dyDescent="0.3">
      <c r="A245">
        <f t="shared" si="5"/>
        <v>2022</v>
      </c>
    </row>
    <row r="246" spans="1:1" x14ac:dyDescent="0.3">
      <c r="A246">
        <f t="shared" si="5"/>
        <v>2023</v>
      </c>
    </row>
    <row r="247" spans="1:1" x14ac:dyDescent="0.3">
      <c r="A247">
        <f t="shared" si="5"/>
        <v>2024</v>
      </c>
    </row>
    <row r="248" spans="1:1" x14ac:dyDescent="0.3">
      <c r="A248">
        <f t="shared" si="5"/>
        <v>2025</v>
      </c>
    </row>
    <row r="249" spans="1:1" x14ac:dyDescent="0.3">
      <c r="A249">
        <f t="shared" si="5"/>
        <v>2026</v>
      </c>
    </row>
    <row r="250" spans="1:1" x14ac:dyDescent="0.3">
      <c r="A250">
        <f t="shared" si="5"/>
        <v>2027</v>
      </c>
    </row>
    <row r="251" spans="1:1" x14ac:dyDescent="0.3">
      <c r="A251">
        <f t="shared" si="5"/>
        <v>2028</v>
      </c>
    </row>
    <row r="252" spans="1:1" x14ac:dyDescent="0.3">
      <c r="A252">
        <f t="shared" si="5"/>
        <v>2029</v>
      </c>
    </row>
    <row r="253" spans="1:1" x14ac:dyDescent="0.3">
      <c r="A253">
        <f t="shared" si="5"/>
        <v>2030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</dc:creator>
  <cp:lastModifiedBy>Nick A</cp:lastModifiedBy>
  <dcterms:created xsi:type="dcterms:W3CDTF">2025-10-01T00:33:32Z</dcterms:created>
  <dcterms:modified xsi:type="dcterms:W3CDTF">2025-10-02T00:54:19Z</dcterms:modified>
</cp:coreProperties>
</file>
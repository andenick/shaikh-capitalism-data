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52" documentId="8_{262E313C-ABD7-430F-8361-3065F47D3064}" xr6:coauthVersionLast="47" xr6:coauthVersionMax="47" xr10:uidLastSave="{603671E0-3BE0-402C-8AAD-353DD71508EE}"/>
  <bookViews>
    <workbookView xWindow="-28920" yWindow="-300" windowWidth="29040" windowHeight="15720" xr2:uid="{4B3D6934-2252-4B3D-9DA8-EC9A8BB0F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3" i="1" l="1"/>
  <c r="AN14" i="1"/>
  <c r="AN15" i="1"/>
  <c r="AN12" i="1"/>
  <c r="AN11" i="1"/>
  <c r="AN10" i="1"/>
  <c r="AN9" i="1"/>
  <c r="AN8" i="1"/>
  <c r="AN7" i="1"/>
  <c r="AN6" i="1"/>
  <c r="AN5" i="1"/>
  <c r="AN4" i="1"/>
  <c r="AN3" i="1"/>
  <c r="Z4" i="1"/>
  <c r="AF4" i="1" s="1"/>
  <c r="Z5" i="1"/>
  <c r="AF5" i="1" s="1"/>
  <c r="Z6" i="1"/>
  <c r="AF6" i="1" s="1"/>
  <c r="AH6" i="1" s="1"/>
  <c r="Z7" i="1"/>
  <c r="AF7" i="1" s="1"/>
  <c r="Z8" i="1"/>
  <c r="AF8" i="1" s="1"/>
  <c r="Z9" i="1"/>
  <c r="AF9" i="1" s="1"/>
  <c r="AH9" i="1" s="1"/>
  <c r="Z10" i="1"/>
  <c r="AF10" i="1" s="1"/>
  <c r="Z11" i="1"/>
  <c r="AF11" i="1" s="1"/>
  <c r="AH11" i="1" s="1"/>
  <c r="Z12" i="1"/>
  <c r="AF12" i="1" s="1"/>
  <c r="Z13" i="1"/>
  <c r="AF13" i="1" s="1"/>
  <c r="AG13" i="1" s="1"/>
  <c r="Z14" i="1"/>
  <c r="AF14" i="1" s="1"/>
  <c r="Z15" i="1"/>
  <c r="AF15" i="1" s="1"/>
  <c r="AH15" i="1" s="1"/>
  <c r="AM15" i="1" s="1"/>
  <c r="Z3" i="1"/>
  <c r="AF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H3" i="1"/>
  <c r="K3" i="1" s="1"/>
  <c r="L3" i="1" s="1"/>
  <c r="J3" i="1"/>
  <c r="M3" i="1"/>
  <c r="N3" i="1"/>
  <c r="O3" i="1"/>
  <c r="P3" i="1"/>
  <c r="U3" i="1" s="1"/>
  <c r="H4" i="1"/>
  <c r="K4" i="1" s="1"/>
  <c r="L4" i="1" s="1"/>
  <c r="J4" i="1"/>
  <c r="M4" i="1"/>
  <c r="N4" i="1"/>
  <c r="O4" i="1"/>
  <c r="P4" i="1"/>
  <c r="U4" i="1" s="1"/>
  <c r="V4" i="1" s="1"/>
  <c r="H5" i="1"/>
  <c r="K5" i="1" s="1"/>
  <c r="L5" i="1" s="1"/>
  <c r="J5" i="1"/>
  <c r="M5" i="1"/>
  <c r="N5" i="1"/>
  <c r="O5" i="1"/>
  <c r="P5" i="1"/>
  <c r="U5" i="1" s="1"/>
  <c r="V5" i="1" s="1"/>
  <c r="H6" i="1"/>
  <c r="K6" i="1" s="1"/>
  <c r="L6" i="1" s="1"/>
  <c r="J6" i="1"/>
  <c r="M6" i="1"/>
  <c r="N6" i="1"/>
  <c r="O6" i="1"/>
  <c r="P6" i="1"/>
  <c r="U6" i="1" s="1"/>
  <c r="V6" i="1" s="1"/>
  <c r="H7" i="1"/>
  <c r="K7" i="1" s="1"/>
  <c r="L7" i="1" s="1"/>
  <c r="J7" i="1"/>
  <c r="M7" i="1"/>
  <c r="N7" i="1"/>
  <c r="O7" i="1"/>
  <c r="P7" i="1"/>
  <c r="U7" i="1" s="1"/>
  <c r="V7" i="1" s="1"/>
  <c r="H8" i="1"/>
  <c r="K8" i="1" s="1"/>
  <c r="L8" i="1" s="1"/>
  <c r="J8" i="1"/>
  <c r="M8" i="1"/>
  <c r="N8" i="1"/>
  <c r="O8" i="1"/>
  <c r="P8" i="1"/>
  <c r="U8" i="1" s="1"/>
  <c r="H9" i="1"/>
  <c r="J9" i="1"/>
  <c r="K9" i="1" s="1"/>
  <c r="L9" i="1" s="1"/>
  <c r="M9" i="1"/>
  <c r="N9" i="1"/>
  <c r="O9" i="1"/>
  <c r="P9" i="1"/>
  <c r="U9" i="1"/>
  <c r="V9" i="1" s="1"/>
  <c r="H10" i="1"/>
  <c r="J10" i="1"/>
  <c r="K10" i="1" s="1"/>
  <c r="L10" i="1" s="1"/>
  <c r="M10" i="1"/>
  <c r="N10" i="1"/>
  <c r="O10" i="1"/>
  <c r="P10" i="1"/>
  <c r="U10" i="1" s="1"/>
  <c r="V10" i="1" s="1"/>
  <c r="H11" i="1"/>
  <c r="J11" i="1"/>
  <c r="K11" i="1" s="1"/>
  <c r="L11" i="1" s="1"/>
  <c r="M11" i="1"/>
  <c r="N11" i="1"/>
  <c r="O11" i="1"/>
  <c r="P11" i="1"/>
  <c r="U11" i="1" s="1"/>
  <c r="V11" i="1" s="1"/>
  <c r="H12" i="1"/>
  <c r="J12" i="1"/>
  <c r="K12" i="1" s="1"/>
  <c r="L12" i="1" s="1"/>
  <c r="M12" i="1"/>
  <c r="N12" i="1"/>
  <c r="O12" i="1"/>
  <c r="P12" i="1"/>
  <c r="U12" i="1" s="1"/>
  <c r="V12" i="1" s="1"/>
  <c r="H13" i="1"/>
  <c r="J13" i="1"/>
  <c r="K13" i="1" s="1"/>
  <c r="L13" i="1" s="1"/>
  <c r="M13" i="1"/>
  <c r="N13" i="1"/>
  <c r="O13" i="1"/>
  <c r="P13" i="1"/>
  <c r="U13" i="1" s="1"/>
  <c r="V13" i="1" s="1"/>
  <c r="J14" i="1"/>
  <c r="K14" i="1" s="1"/>
  <c r="L14" i="1" s="1"/>
  <c r="M14" i="1"/>
  <c r="N14" i="1"/>
  <c r="O14" i="1"/>
  <c r="J15" i="1"/>
  <c r="K15" i="1" s="1"/>
  <c r="L15" i="1" s="1"/>
  <c r="M15" i="1"/>
  <c r="N15" i="1"/>
  <c r="O15" i="1"/>
  <c r="AH13" i="1" l="1"/>
  <c r="AH8" i="1"/>
  <c r="AG8" i="1"/>
  <c r="AH7" i="1"/>
  <c r="AG7" i="1"/>
  <c r="AH10" i="1"/>
  <c r="AG10" i="1"/>
  <c r="AH5" i="1"/>
  <c r="AG5" i="1"/>
  <c r="AH3" i="1"/>
  <c r="AM3" i="1" s="1"/>
  <c r="AG3" i="1"/>
  <c r="AH4" i="1"/>
  <c r="AM4" i="1" s="1"/>
  <c r="AG4" i="1"/>
  <c r="AH14" i="1"/>
  <c r="AM14" i="1" s="1"/>
  <c r="AG14" i="1"/>
  <c r="AG12" i="1"/>
  <c r="AH12" i="1"/>
  <c r="AG11" i="1"/>
  <c r="AI11" i="1" s="1"/>
  <c r="AJ11" i="1" s="1"/>
  <c r="AG9" i="1"/>
  <c r="AI9" i="1" s="1"/>
  <c r="AJ9" i="1" s="1"/>
  <c r="AG6" i="1"/>
  <c r="AI6" i="1" s="1"/>
  <c r="AJ6" i="1" s="1"/>
  <c r="AG15" i="1"/>
  <c r="AI15" i="1" s="1"/>
  <c r="AJ15" i="1" s="1"/>
  <c r="AK15" i="1" s="1"/>
  <c r="AL15" i="1" s="1"/>
  <c r="W9" i="1"/>
  <c r="W7" i="1"/>
  <c r="V3" i="1"/>
  <c r="W3" i="1"/>
  <c r="V8" i="1"/>
  <c r="W8" i="1"/>
  <c r="AM8" i="1" s="1"/>
  <c r="W13" i="1"/>
  <c r="W4" i="1"/>
  <c r="W12" i="1"/>
  <c r="AM12" i="1" s="1"/>
  <c r="W11" i="1"/>
  <c r="AM11" i="1" s="1"/>
  <c r="W10" i="1"/>
  <c r="AM10" i="1" s="1"/>
  <c r="W6" i="1"/>
  <c r="AM6" i="1" s="1"/>
  <c r="W5" i="1"/>
  <c r="AM5" i="1" s="1"/>
  <c r="X7" i="1" l="1"/>
  <c r="Y7" i="1" s="1"/>
  <c r="AK7" i="1" s="1"/>
  <c r="AL7" i="1" s="1"/>
  <c r="AM7" i="1"/>
  <c r="AI13" i="1"/>
  <c r="AJ13" i="1" s="1"/>
  <c r="AK13" i="1" s="1"/>
  <c r="AL13" i="1" s="1"/>
  <c r="AM13" i="1"/>
  <c r="X9" i="1"/>
  <c r="Y9" i="1" s="1"/>
  <c r="AK9" i="1" s="1"/>
  <c r="AL9" i="1" s="1"/>
  <c r="AM9" i="1"/>
  <c r="AI3" i="1"/>
  <c r="AJ3" i="1" s="1"/>
  <c r="AK3" i="1" s="1"/>
  <c r="AL3" i="1" s="1"/>
  <c r="AI12" i="1"/>
  <c r="AJ12" i="1" s="1"/>
  <c r="AI5" i="1"/>
  <c r="AJ5" i="1" s="1"/>
  <c r="AI10" i="1"/>
  <c r="AJ10" i="1" s="1"/>
  <c r="AI8" i="1"/>
  <c r="AJ8" i="1" s="1"/>
  <c r="AI4" i="1"/>
  <c r="AJ4" i="1" s="1"/>
  <c r="AK4" i="1" s="1"/>
  <c r="AL4" i="1" s="1"/>
  <c r="AI14" i="1"/>
  <c r="AJ14" i="1" s="1"/>
  <c r="AK14" i="1" s="1"/>
  <c r="AL14" i="1" s="1"/>
  <c r="AI7" i="1"/>
  <c r="AJ7" i="1" s="1"/>
  <c r="X6" i="1"/>
  <c r="Y6" i="1" s="1"/>
  <c r="AK6" i="1" s="1"/>
  <c r="AL6" i="1" s="1"/>
  <c r="X10" i="1"/>
  <c r="Y10" i="1" s="1"/>
  <c r="AK10" i="1" s="1"/>
  <c r="AL10" i="1" s="1"/>
  <c r="X5" i="1"/>
  <c r="Y5" i="1" s="1"/>
  <c r="AK5" i="1" s="1"/>
  <c r="AL5" i="1" s="1"/>
  <c r="X11" i="1"/>
  <c r="Y11" i="1" s="1"/>
  <c r="AK11" i="1" s="1"/>
  <c r="AL11" i="1" s="1"/>
  <c r="X13" i="1"/>
  <c r="Y13" i="1" s="1"/>
  <c r="X8" i="1"/>
  <c r="Y8" i="1"/>
  <c r="AK8" i="1" s="1"/>
  <c r="AL8" i="1" s="1"/>
  <c r="X12" i="1"/>
  <c r="Y12" i="1" s="1"/>
  <c r="AK12" i="1" s="1"/>
  <c r="AL12" i="1" s="1"/>
  <c r="X3" i="1"/>
  <c r="Y3" i="1" s="1"/>
  <c r="X4" i="1"/>
  <c r="Y4" i="1" s="1"/>
</calcChain>
</file>

<file path=xl/sharedStrings.xml><?xml version="1.0" encoding="utf-8"?>
<sst xmlns="http://schemas.openxmlformats.org/spreadsheetml/2006/main" count="54" uniqueCount="37">
  <si>
    <t>Linear Curves</t>
  </si>
  <si>
    <t>r</t>
  </si>
  <si>
    <t>w(r)</t>
  </si>
  <si>
    <t>w(r)A</t>
  </si>
  <si>
    <t>w(r)B</t>
  </si>
  <si>
    <t>Nonlinear curves</t>
  </si>
  <si>
    <t>R_A</t>
  </si>
  <si>
    <t>y_A</t>
  </si>
  <si>
    <t>R_B</t>
  </si>
  <si>
    <t>y_B</t>
  </si>
  <si>
    <t>Offset for Frontier Curve</t>
  </si>
  <si>
    <t>Frontier</t>
  </si>
  <si>
    <t>w(r)A/B</t>
  </si>
  <si>
    <t>SplicedA_Bat.5/.6</t>
  </si>
  <si>
    <t>yA/B</t>
  </si>
  <si>
    <t>SplicedA/Bat.5/.6</t>
  </si>
  <si>
    <t>k = y/R_A</t>
  </si>
  <si>
    <t>k = y/R_B</t>
  </si>
  <si>
    <t>y = y0+(r/R)*yfinal</t>
  </si>
  <si>
    <t>Index</t>
  </si>
  <si>
    <t>Compares frontiers of linear w-r curves with frontier of non linear w-r curves  1.  Since y = w + r*k,  we can write actual wage curve in terms of the prices of some common reference basket as w = y - r*k = (y/k - r)*k 2. We know from Sraffa that y/k starts at (y/k)0 and ends at (y/k)' = R for all industries. So in simulations, we have two choices   i. If all industries have the same OCC, then direct and indirect OCCs are the same for each industry ==&gt; each industry is the standard industry        ** Then w-r curve is linear so y, k must be constant: i.e. w = y - r*k is linear only if the intercept y and the slope k is constant         ** (y/k) = R for all industries since each industry is also the standard industry due to equal OCCs       ** For the curves to intersect, higher y must be associated with lower R  ==&gt; Marx-biased technical change! 3. More generally, aggregate y(r) and k(r) are variables which satisfy the requirement that they originate at some (y/k)0 and end at (y/k)' = R   i. To get nonlinearity in (y/k), let   (y/k) = R0 + ((r/R) + (r/R)^2)*(R - R0)/2   or  (y/k) = R0 + (2*(r/R) - (r/R)^2)*(R - R0)     Then at r = 0, (y/k)0 = R0   and at r = R, (y/k)' = R</t>
  </si>
  <si>
    <t>w = y - r*k</t>
  </si>
  <si>
    <t>r_B</t>
  </si>
  <si>
    <t>r_A</t>
  </si>
  <si>
    <t>R0_A</t>
  </si>
  <si>
    <t>yfinal_A</t>
  </si>
  <si>
    <t>r/R_A</t>
  </si>
  <si>
    <t>y/k_A</t>
  </si>
  <si>
    <t>k = y/(y/k)_A</t>
  </si>
  <si>
    <t>w(r)_A</t>
  </si>
  <si>
    <t>r/R_B</t>
  </si>
  <si>
    <t>y/k_B</t>
  </si>
  <si>
    <t>k = y/(y/k)_B</t>
  </si>
  <si>
    <t>w(r)_B</t>
  </si>
  <si>
    <t>R0_B</t>
  </si>
  <si>
    <t>yfinal_B</t>
  </si>
  <si>
    <t>SplicedA/Bat0.2/0.9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</si>
</sst>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BB63-AA06-4340-91EB-FF3791B97D02}">
  <dimension ref="A1:AQ15"/>
  <sheetViews>
    <sheetView tabSelected="1" workbookViewId="0"/>
  </sheetViews>
  <sheetFormatPr defaultRowHeight="15" x14ac:dyDescent="0.25"/>
  <sheetData>
    <row r="1" spans="1:43" x14ac:dyDescent="0.25">
      <c r="A1" t="s">
        <v>20</v>
      </c>
      <c r="B1" t="s">
        <v>0</v>
      </c>
      <c r="K1" t="s">
        <v>13</v>
      </c>
      <c r="L1" t="s">
        <v>11</v>
      </c>
      <c r="M1" t="s">
        <v>15</v>
      </c>
      <c r="N1" t="s">
        <v>11</v>
      </c>
      <c r="P1" t="s">
        <v>5</v>
      </c>
      <c r="W1" t="s">
        <v>18</v>
      </c>
      <c r="Y1" t="s">
        <v>21</v>
      </c>
      <c r="AJ1" t="s">
        <v>21</v>
      </c>
      <c r="AK1" t="s">
        <v>36</v>
      </c>
      <c r="AL1" t="s">
        <v>11</v>
      </c>
      <c r="AM1" t="s">
        <v>36</v>
      </c>
      <c r="AN1" t="s">
        <v>36</v>
      </c>
    </row>
    <row r="2" spans="1:43" x14ac:dyDescent="0.25">
      <c r="A2" t="s">
        <v>19</v>
      </c>
      <c r="B2" s="1" t="s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3</v>
      </c>
      <c r="I2" t="s">
        <v>1</v>
      </c>
      <c r="J2" t="s">
        <v>4</v>
      </c>
      <c r="K2" t="s">
        <v>12</v>
      </c>
      <c r="L2" t="s">
        <v>2</v>
      </c>
      <c r="M2" t="s">
        <v>14</v>
      </c>
      <c r="N2" t="s">
        <v>16</v>
      </c>
      <c r="O2" t="s">
        <v>17</v>
      </c>
      <c r="P2" t="s">
        <v>23</v>
      </c>
      <c r="Q2" t="s">
        <v>6</v>
      </c>
      <c r="R2" t="s">
        <v>24</v>
      </c>
      <c r="S2" t="s">
        <v>7</v>
      </c>
      <c r="T2" t="s">
        <v>25</v>
      </c>
      <c r="U2" t="s">
        <v>26</v>
      </c>
      <c r="V2" t="s">
        <v>27</v>
      </c>
      <c r="W2" t="s">
        <v>7</v>
      </c>
      <c r="X2" t="s">
        <v>28</v>
      </c>
      <c r="Y2" t="s">
        <v>29</v>
      </c>
      <c r="Z2" t="s">
        <v>22</v>
      </c>
      <c r="AA2" t="s">
        <v>8</v>
      </c>
      <c r="AB2" t="s">
        <v>34</v>
      </c>
      <c r="AC2" t="s">
        <v>9</v>
      </c>
      <c r="AD2" t="s">
        <v>35</v>
      </c>
      <c r="AE2" t="s">
        <v>10</v>
      </c>
      <c r="AF2" t="s">
        <v>30</v>
      </c>
      <c r="AG2" t="s">
        <v>31</v>
      </c>
      <c r="AH2" t="s">
        <v>9</v>
      </c>
      <c r="AI2" t="s">
        <v>32</v>
      </c>
      <c r="AJ2" t="s">
        <v>33</v>
      </c>
      <c r="AK2" t="s">
        <v>12</v>
      </c>
      <c r="AL2" t="s">
        <v>2</v>
      </c>
      <c r="AM2" t="s">
        <v>9</v>
      </c>
      <c r="AN2" t="s">
        <v>17</v>
      </c>
    </row>
    <row r="3" spans="1:43" x14ac:dyDescent="0.25">
      <c r="A3">
        <v>1</v>
      </c>
      <c r="B3">
        <v>0</v>
      </c>
      <c r="C3" s="2">
        <v>1</v>
      </c>
      <c r="D3" s="2">
        <v>1.2</v>
      </c>
      <c r="E3" s="2">
        <v>1.2</v>
      </c>
      <c r="F3" s="2">
        <v>1</v>
      </c>
      <c r="G3" s="2">
        <v>0.02</v>
      </c>
      <c r="H3" s="4">
        <f>D3*(1-B3/C3)</f>
        <v>1.2</v>
      </c>
      <c r="I3">
        <v>0</v>
      </c>
      <c r="J3" s="3">
        <f>F3*(1-I3/E3)</f>
        <v>1</v>
      </c>
      <c r="K3" s="4">
        <f>+H3</f>
        <v>1.2</v>
      </c>
      <c r="L3" s="4">
        <f>+K3+G3</f>
        <v>1.22</v>
      </c>
      <c r="M3" s="3">
        <f>+D3</f>
        <v>1.2</v>
      </c>
      <c r="N3" s="3">
        <f>+D3/C3</f>
        <v>1.2</v>
      </c>
      <c r="O3" s="3">
        <f>+F3/E3</f>
        <v>0.83333333333333337</v>
      </c>
      <c r="P3" s="3">
        <f>+B3</f>
        <v>0</v>
      </c>
      <c r="Q3">
        <v>1</v>
      </c>
      <c r="R3">
        <v>1.5</v>
      </c>
      <c r="S3">
        <v>1.2</v>
      </c>
      <c r="T3">
        <v>0.5</v>
      </c>
      <c r="U3" s="4">
        <f>+P3/Q3</f>
        <v>0</v>
      </c>
      <c r="V3" s="4">
        <f>R3+(U3+U3^2)*(Q3-R3)/2</f>
        <v>1.5</v>
      </c>
      <c r="W3" s="4">
        <f>D3+U3*T3</f>
        <v>1.2</v>
      </c>
      <c r="X3" s="4">
        <f>W3/V3</f>
        <v>0.79999999999999993</v>
      </c>
      <c r="Y3" s="4">
        <f>W3-P3*X3</f>
        <v>1.2</v>
      </c>
      <c r="Z3" s="3">
        <f>+I3</f>
        <v>0</v>
      </c>
      <c r="AA3" s="5">
        <v>1.2</v>
      </c>
      <c r="AB3" s="5">
        <v>0.5</v>
      </c>
      <c r="AC3" s="5">
        <v>1.5</v>
      </c>
      <c r="AD3" s="5">
        <v>-0.5</v>
      </c>
      <c r="AE3" s="5">
        <v>0.03</v>
      </c>
      <c r="AF3" s="4">
        <f>+Z3/AA3</f>
        <v>0</v>
      </c>
      <c r="AG3" s="4">
        <f>AB3+(2*AF3-AF3^2)*(AA3-AB3)</f>
        <v>0.5</v>
      </c>
      <c r="AH3" s="4">
        <f>AC3+AF3*AD3</f>
        <v>1.5</v>
      </c>
      <c r="AI3" s="4">
        <f>AH3/AG3</f>
        <v>3</v>
      </c>
      <c r="AJ3" s="4">
        <f>AH3-Z3*AI3</f>
        <v>1.5</v>
      </c>
      <c r="AK3" s="4">
        <f>+AJ3</f>
        <v>1.5</v>
      </c>
      <c r="AL3" s="4">
        <f>+AK3+AE3</f>
        <v>1.53</v>
      </c>
      <c r="AM3" s="4">
        <f>+AH3</f>
        <v>1.5</v>
      </c>
      <c r="AN3" s="4">
        <f>+AI3</f>
        <v>3</v>
      </c>
      <c r="AP3" s="6"/>
      <c r="AQ3" s="6"/>
    </row>
    <row r="4" spans="1:43" x14ac:dyDescent="0.25">
      <c r="A4">
        <f>+A3+1</f>
        <v>2</v>
      </c>
      <c r="B4">
        <v>0.1</v>
      </c>
      <c r="C4" s="2">
        <v>1</v>
      </c>
      <c r="D4" s="2">
        <v>1.2</v>
      </c>
      <c r="E4" s="2">
        <v>1.2</v>
      </c>
      <c r="F4" s="2">
        <v>1</v>
      </c>
      <c r="G4" s="2">
        <v>0.02</v>
      </c>
      <c r="H4" s="4">
        <f t="shared" ref="H4:H13" si="0">D4*(1-B4/C4)</f>
        <v>1.08</v>
      </c>
      <c r="I4">
        <v>0.1</v>
      </c>
      <c r="J4" s="3">
        <f t="shared" ref="J4:J15" si="1">F4*(1-I4/E4)</f>
        <v>0.91666666666666663</v>
      </c>
      <c r="K4" s="4">
        <f>+H4</f>
        <v>1.08</v>
      </c>
      <c r="L4" s="4">
        <f t="shared" ref="L4:L15" si="2">+K4+G4</f>
        <v>1.1000000000000001</v>
      </c>
      <c r="M4" s="3">
        <f t="shared" ref="M4:M8" si="3">+D4</f>
        <v>1.2</v>
      </c>
      <c r="N4" s="3">
        <f t="shared" ref="N4:N15" si="4">+D4/C4</f>
        <v>1.2</v>
      </c>
      <c r="O4" s="3">
        <f t="shared" ref="O4:O15" si="5">+F4/E4</f>
        <v>0.83333333333333337</v>
      </c>
      <c r="P4" s="3">
        <f t="shared" ref="P4:P13" si="6">+B4</f>
        <v>0.1</v>
      </c>
      <c r="Q4">
        <v>1</v>
      </c>
      <c r="R4">
        <v>1.5</v>
      </c>
      <c r="S4">
        <v>1.2</v>
      </c>
      <c r="T4">
        <v>0.5</v>
      </c>
      <c r="U4" s="4">
        <f t="shared" ref="U4:U13" si="7">+P4/Q4</f>
        <v>0.1</v>
      </c>
      <c r="V4" s="4">
        <f t="shared" ref="V4:V13" si="8">R4+(U4+U4^2)*(Q4-R4)/2</f>
        <v>1.4724999999999999</v>
      </c>
      <c r="W4" s="4">
        <f t="shared" ref="W4:W13" si="9">D4+U4*T4</f>
        <v>1.25</v>
      </c>
      <c r="X4" s="4">
        <f t="shared" ref="X4:X13" si="10">W4/V4</f>
        <v>0.84889643463497455</v>
      </c>
      <c r="Y4" s="4">
        <f t="shared" ref="Y4:Y13" si="11">W4-P4*X4</f>
        <v>1.1651103565365026</v>
      </c>
      <c r="Z4" s="3">
        <f>+I4</f>
        <v>0.1</v>
      </c>
      <c r="AA4" s="5">
        <v>1.2</v>
      </c>
      <c r="AB4" s="5">
        <v>0.5</v>
      </c>
      <c r="AC4" s="5">
        <v>1.5</v>
      </c>
      <c r="AD4" s="5">
        <v>-0.5</v>
      </c>
      <c r="AE4" s="5">
        <v>0.03</v>
      </c>
      <c r="AF4" s="4">
        <f t="shared" ref="AF4:AF15" si="12">+Z4/AA4</f>
        <v>8.3333333333333343E-2</v>
      </c>
      <c r="AG4" s="4">
        <f t="shared" ref="AG4:AG15" si="13">AB4+(2*AF4-AF4^2)*(AA4-AB4)</f>
        <v>0.6118055555555556</v>
      </c>
      <c r="AH4" s="4">
        <f t="shared" ref="AH4:AH15" si="14">AC4+AF4*AD4</f>
        <v>1.4583333333333333</v>
      </c>
      <c r="AI4" s="4">
        <f t="shared" ref="AI4:AI15" si="15">AH4/AG4</f>
        <v>2.3836549375709417</v>
      </c>
      <c r="AJ4" s="4">
        <f t="shared" ref="AJ4:AJ15" si="16">AH4-Z4*AI4</f>
        <v>1.219967839576239</v>
      </c>
      <c r="AK4" s="4">
        <f>+AJ4</f>
        <v>1.219967839576239</v>
      </c>
      <c r="AL4" s="4">
        <f t="shared" ref="AL4:AL15" si="17">+AK4+AE4</f>
        <v>1.249967839576239</v>
      </c>
      <c r="AM4" s="4">
        <f>+AH4</f>
        <v>1.4583333333333333</v>
      </c>
      <c r="AN4" s="4">
        <f>+AI4</f>
        <v>2.3836549375709417</v>
      </c>
      <c r="AP4" s="6"/>
      <c r="AQ4" s="6"/>
    </row>
    <row r="5" spans="1:43" x14ac:dyDescent="0.25">
      <c r="A5">
        <f t="shared" ref="A5:A15" si="18">+A4+1</f>
        <v>3</v>
      </c>
      <c r="B5">
        <v>0.2</v>
      </c>
      <c r="C5" s="2">
        <v>1</v>
      </c>
      <c r="D5" s="2">
        <v>1.2</v>
      </c>
      <c r="E5" s="2">
        <v>1.2</v>
      </c>
      <c r="F5" s="2">
        <v>1</v>
      </c>
      <c r="G5" s="2">
        <v>0.02</v>
      </c>
      <c r="H5" s="4">
        <f t="shared" si="0"/>
        <v>0.96</v>
      </c>
      <c r="I5">
        <v>0.2</v>
      </c>
      <c r="J5" s="3">
        <f t="shared" si="1"/>
        <v>0.83333333333333326</v>
      </c>
      <c r="K5" s="4">
        <f>+H5</f>
        <v>0.96</v>
      </c>
      <c r="L5" s="4">
        <f t="shared" si="2"/>
        <v>0.98</v>
      </c>
      <c r="M5" s="3">
        <f t="shared" si="3"/>
        <v>1.2</v>
      </c>
      <c r="N5" s="3">
        <f t="shared" si="4"/>
        <v>1.2</v>
      </c>
      <c r="O5" s="3">
        <f t="shared" si="5"/>
        <v>0.83333333333333337</v>
      </c>
      <c r="P5" s="3">
        <f t="shared" si="6"/>
        <v>0.2</v>
      </c>
      <c r="Q5">
        <v>1</v>
      </c>
      <c r="R5">
        <v>1.5</v>
      </c>
      <c r="S5">
        <v>1.2</v>
      </c>
      <c r="T5">
        <v>0.5</v>
      </c>
      <c r="U5" s="4">
        <f t="shared" si="7"/>
        <v>0.2</v>
      </c>
      <c r="V5" s="4">
        <f t="shared" si="8"/>
        <v>1.44</v>
      </c>
      <c r="W5" s="4">
        <f t="shared" si="9"/>
        <v>1.3</v>
      </c>
      <c r="X5" s="4">
        <f t="shared" si="10"/>
        <v>0.90277777777777779</v>
      </c>
      <c r="Y5" s="4">
        <f t="shared" si="11"/>
        <v>1.1194444444444445</v>
      </c>
      <c r="Z5" s="3">
        <f>+I5</f>
        <v>0.2</v>
      </c>
      <c r="AA5" s="5">
        <v>1.2</v>
      </c>
      <c r="AB5" s="5">
        <v>0.5</v>
      </c>
      <c r="AC5" s="5">
        <v>1.5</v>
      </c>
      <c r="AD5" s="5">
        <v>-0.5</v>
      </c>
      <c r="AE5" s="5">
        <v>0.03</v>
      </c>
      <c r="AF5" s="4">
        <f t="shared" si="12"/>
        <v>0.16666666666666669</v>
      </c>
      <c r="AG5" s="4">
        <f t="shared" si="13"/>
        <v>0.71388888888888891</v>
      </c>
      <c r="AH5" s="4">
        <f t="shared" si="14"/>
        <v>1.4166666666666667</v>
      </c>
      <c r="AI5" s="4">
        <f t="shared" si="15"/>
        <v>1.9844357976653697</v>
      </c>
      <c r="AJ5" s="4">
        <f t="shared" si="16"/>
        <v>1.0197795071335927</v>
      </c>
      <c r="AK5" s="4">
        <f>+Y5</f>
        <v>1.1194444444444445</v>
      </c>
      <c r="AL5" s="4">
        <f t="shared" si="17"/>
        <v>1.1494444444444445</v>
      </c>
      <c r="AM5" s="4">
        <f>+W5</f>
        <v>1.3</v>
      </c>
      <c r="AN5" s="4">
        <f>+X5</f>
        <v>0.90277777777777779</v>
      </c>
      <c r="AP5" s="6"/>
      <c r="AQ5" s="6"/>
    </row>
    <row r="6" spans="1:43" x14ac:dyDescent="0.25">
      <c r="A6">
        <f t="shared" si="18"/>
        <v>4</v>
      </c>
      <c r="B6">
        <v>0.3</v>
      </c>
      <c r="C6" s="2">
        <v>1</v>
      </c>
      <c r="D6" s="2">
        <v>1.2</v>
      </c>
      <c r="E6" s="2">
        <v>1.2</v>
      </c>
      <c r="F6" s="2">
        <v>1</v>
      </c>
      <c r="G6" s="2">
        <v>0.02</v>
      </c>
      <c r="H6" s="4">
        <f t="shared" si="0"/>
        <v>0.84</v>
      </c>
      <c r="I6">
        <v>0.3</v>
      </c>
      <c r="J6" s="3">
        <f t="shared" si="1"/>
        <v>0.75</v>
      </c>
      <c r="K6" s="4">
        <f>+H6</f>
        <v>0.84</v>
      </c>
      <c r="L6" s="4">
        <f t="shared" si="2"/>
        <v>0.86</v>
      </c>
      <c r="M6" s="3">
        <f t="shared" si="3"/>
        <v>1.2</v>
      </c>
      <c r="N6" s="3">
        <f t="shared" si="4"/>
        <v>1.2</v>
      </c>
      <c r="O6" s="3">
        <f t="shared" si="5"/>
        <v>0.83333333333333337</v>
      </c>
      <c r="P6" s="3">
        <f t="shared" si="6"/>
        <v>0.3</v>
      </c>
      <c r="Q6">
        <v>1</v>
      </c>
      <c r="R6">
        <v>1.5</v>
      </c>
      <c r="S6">
        <v>1.2</v>
      </c>
      <c r="T6">
        <v>0.5</v>
      </c>
      <c r="U6" s="4">
        <f t="shared" si="7"/>
        <v>0.3</v>
      </c>
      <c r="V6" s="4">
        <f t="shared" si="8"/>
        <v>1.4025000000000001</v>
      </c>
      <c r="W6" s="4">
        <f t="shared" si="9"/>
        <v>1.3499999999999999</v>
      </c>
      <c r="X6" s="4">
        <f t="shared" si="10"/>
        <v>0.96256684491978595</v>
      </c>
      <c r="Y6" s="4">
        <f t="shared" si="11"/>
        <v>1.061229946524064</v>
      </c>
      <c r="Z6" s="3">
        <f>+I6</f>
        <v>0.3</v>
      </c>
      <c r="AA6" s="5">
        <v>1.2</v>
      </c>
      <c r="AB6" s="5">
        <v>0.5</v>
      </c>
      <c r="AC6" s="5">
        <v>1.5</v>
      </c>
      <c r="AD6" s="5">
        <v>-0.5</v>
      </c>
      <c r="AE6" s="5">
        <v>0.03</v>
      </c>
      <c r="AF6" s="4">
        <f t="shared" si="12"/>
        <v>0.25</v>
      </c>
      <c r="AG6" s="4">
        <f t="shared" si="13"/>
        <v>0.80624999999999991</v>
      </c>
      <c r="AH6" s="4">
        <f t="shared" si="14"/>
        <v>1.375</v>
      </c>
      <c r="AI6" s="4">
        <f t="shared" si="15"/>
        <v>1.7054263565891474</v>
      </c>
      <c r="AJ6" s="4">
        <f t="shared" si="16"/>
        <v>0.86337209302325579</v>
      </c>
      <c r="AK6" s="4">
        <f>+Y6</f>
        <v>1.061229946524064</v>
      </c>
      <c r="AL6" s="4">
        <f t="shared" si="17"/>
        <v>1.091229946524064</v>
      </c>
      <c r="AM6" s="4">
        <f t="shared" ref="AM6:AM12" si="19">+W6</f>
        <v>1.3499999999999999</v>
      </c>
      <c r="AN6" s="4">
        <f>+X6</f>
        <v>0.96256684491978595</v>
      </c>
      <c r="AP6" s="6"/>
      <c r="AQ6" s="6"/>
    </row>
    <row r="7" spans="1:43" x14ac:dyDescent="0.25">
      <c r="A7">
        <f t="shared" si="18"/>
        <v>5</v>
      </c>
      <c r="B7">
        <v>0.4</v>
      </c>
      <c r="C7" s="2">
        <v>1</v>
      </c>
      <c r="D7" s="2">
        <v>1.2</v>
      </c>
      <c r="E7" s="2">
        <v>1.2</v>
      </c>
      <c r="F7" s="2">
        <v>1</v>
      </c>
      <c r="G7" s="2">
        <v>0.02</v>
      </c>
      <c r="H7" s="4">
        <f t="shared" si="0"/>
        <v>0.72</v>
      </c>
      <c r="I7">
        <v>0.4</v>
      </c>
      <c r="J7" s="3">
        <f t="shared" si="1"/>
        <v>0.66666666666666663</v>
      </c>
      <c r="K7" s="4">
        <f>+H7</f>
        <v>0.72</v>
      </c>
      <c r="L7" s="4">
        <f t="shared" si="2"/>
        <v>0.74</v>
      </c>
      <c r="M7" s="3">
        <f t="shared" si="3"/>
        <v>1.2</v>
      </c>
      <c r="N7" s="3">
        <f t="shared" si="4"/>
        <v>1.2</v>
      </c>
      <c r="O7" s="3">
        <f t="shared" si="5"/>
        <v>0.83333333333333337</v>
      </c>
      <c r="P7" s="3">
        <f t="shared" si="6"/>
        <v>0.4</v>
      </c>
      <c r="Q7">
        <v>1</v>
      </c>
      <c r="R7">
        <v>1.5</v>
      </c>
      <c r="S7">
        <v>1.2</v>
      </c>
      <c r="T7">
        <v>0.5</v>
      </c>
      <c r="U7" s="4">
        <f t="shared" si="7"/>
        <v>0.4</v>
      </c>
      <c r="V7" s="4">
        <f t="shared" si="8"/>
        <v>1.3599999999999999</v>
      </c>
      <c r="W7" s="4">
        <f t="shared" si="9"/>
        <v>1.4</v>
      </c>
      <c r="X7" s="4">
        <f t="shared" si="10"/>
        <v>1.0294117647058825</v>
      </c>
      <c r="Y7" s="4">
        <f t="shared" si="11"/>
        <v>0.98823529411764688</v>
      </c>
      <c r="Z7" s="3">
        <f>+I7</f>
        <v>0.4</v>
      </c>
      <c r="AA7" s="5">
        <v>1.2</v>
      </c>
      <c r="AB7" s="5">
        <v>0.5</v>
      </c>
      <c r="AC7" s="5">
        <v>1.5</v>
      </c>
      <c r="AD7" s="5">
        <v>-0.5</v>
      </c>
      <c r="AE7" s="5">
        <v>0.03</v>
      </c>
      <c r="AF7" s="4">
        <f t="shared" si="12"/>
        <v>0.33333333333333337</v>
      </c>
      <c r="AG7" s="4">
        <f t="shared" si="13"/>
        <v>0.88888888888888884</v>
      </c>
      <c r="AH7" s="4">
        <f t="shared" si="14"/>
        <v>1.3333333333333333</v>
      </c>
      <c r="AI7" s="4">
        <f t="shared" si="15"/>
        <v>1.5</v>
      </c>
      <c r="AJ7" s="4">
        <f t="shared" si="16"/>
        <v>0.73333333333333317</v>
      </c>
      <c r="AK7" s="4">
        <f>+Y7</f>
        <v>0.98823529411764688</v>
      </c>
      <c r="AL7" s="4">
        <f t="shared" si="17"/>
        <v>1.0182352941176469</v>
      </c>
      <c r="AM7" s="4">
        <f t="shared" si="19"/>
        <v>1.4</v>
      </c>
      <c r="AN7" s="4">
        <f>+X7</f>
        <v>1.0294117647058825</v>
      </c>
      <c r="AP7" s="6"/>
      <c r="AQ7" s="6"/>
    </row>
    <row r="8" spans="1:43" x14ac:dyDescent="0.25">
      <c r="A8">
        <f t="shared" si="18"/>
        <v>6</v>
      </c>
      <c r="B8">
        <v>0.5</v>
      </c>
      <c r="C8" s="2">
        <v>1</v>
      </c>
      <c r="D8" s="2">
        <v>1.2</v>
      </c>
      <c r="E8" s="2">
        <v>1.2</v>
      </c>
      <c r="F8" s="2">
        <v>1</v>
      </c>
      <c r="G8" s="2">
        <v>0.02</v>
      </c>
      <c r="H8" s="4">
        <f t="shared" si="0"/>
        <v>0.6</v>
      </c>
      <c r="I8">
        <v>0.5</v>
      </c>
      <c r="J8" s="3">
        <f t="shared" si="1"/>
        <v>0.58333333333333326</v>
      </c>
      <c r="K8" s="4">
        <f>+H8</f>
        <v>0.6</v>
      </c>
      <c r="L8" s="4">
        <f t="shared" si="2"/>
        <v>0.62</v>
      </c>
      <c r="M8" s="3">
        <f t="shared" si="3"/>
        <v>1.2</v>
      </c>
      <c r="N8" s="3">
        <f t="shared" si="4"/>
        <v>1.2</v>
      </c>
      <c r="O8" s="3">
        <f t="shared" si="5"/>
        <v>0.83333333333333337</v>
      </c>
      <c r="P8" s="3">
        <f t="shared" si="6"/>
        <v>0.5</v>
      </c>
      <c r="Q8">
        <v>1</v>
      </c>
      <c r="R8">
        <v>1.5</v>
      </c>
      <c r="S8">
        <v>1.2</v>
      </c>
      <c r="T8">
        <v>0.5</v>
      </c>
      <c r="U8" s="4">
        <f t="shared" si="7"/>
        <v>0.5</v>
      </c>
      <c r="V8" s="4">
        <f t="shared" si="8"/>
        <v>1.3125</v>
      </c>
      <c r="W8" s="4">
        <f t="shared" si="9"/>
        <v>1.45</v>
      </c>
      <c r="X8" s="4">
        <f t="shared" si="10"/>
        <v>1.1047619047619048</v>
      </c>
      <c r="Y8" s="4">
        <f t="shared" si="11"/>
        <v>0.89761904761904754</v>
      </c>
      <c r="Z8" s="3">
        <f>+I8</f>
        <v>0.5</v>
      </c>
      <c r="AA8" s="5">
        <v>1.2</v>
      </c>
      <c r="AB8" s="5">
        <v>0.5</v>
      </c>
      <c r="AC8" s="5">
        <v>1.5</v>
      </c>
      <c r="AD8" s="5">
        <v>-0.5</v>
      </c>
      <c r="AE8" s="5">
        <v>0.03</v>
      </c>
      <c r="AF8" s="4">
        <f t="shared" si="12"/>
        <v>0.41666666666666669</v>
      </c>
      <c r="AG8" s="4">
        <f t="shared" si="13"/>
        <v>0.96180555555555558</v>
      </c>
      <c r="AH8" s="4">
        <f t="shared" si="14"/>
        <v>1.2916666666666667</v>
      </c>
      <c r="AI8" s="4">
        <f t="shared" si="15"/>
        <v>1.3429602888086642</v>
      </c>
      <c r="AJ8" s="4">
        <f t="shared" si="16"/>
        <v>0.62018652226233462</v>
      </c>
      <c r="AK8" s="4">
        <f>+Y8</f>
        <v>0.89761904761904754</v>
      </c>
      <c r="AL8" s="4">
        <f t="shared" si="17"/>
        <v>0.92761904761904757</v>
      </c>
      <c r="AM8" s="4">
        <f t="shared" si="19"/>
        <v>1.45</v>
      </c>
      <c r="AN8" s="4">
        <f>+X8</f>
        <v>1.1047619047619048</v>
      </c>
      <c r="AP8" s="6"/>
      <c r="AQ8" s="6"/>
    </row>
    <row r="9" spans="1:43" x14ac:dyDescent="0.25">
      <c r="A9">
        <f t="shared" si="18"/>
        <v>7</v>
      </c>
      <c r="B9">
        <v>0.6</v>
      </c>
      <c r="C9" s="2">
        <v>1</v>
      </c>
      <c r="D9" s="2">
        <v>1.2</v>
      </c>
      <c r="E9" s="2">
        <v>1.2</v>
      </c>
      <c r="F9" s="2">
        <v>1</v>
      </c>
      <c r="G9" s="2">
        <v>0.02</v>
      </c>
      <c r="H9" s="4">
        <f t="shared" si="0"/>
        <v>0.48</v>
      </c>
      <c r="I9">
        <v>0.6</v>
      </c>
      <c r="J9" s="3">
        <f t="shared" si="1"/>
        <v>0.5</v>
      </c>
      <c r="K9" s="4">
        <f>+J9</f>
        <v>0.5</v>
      </c>
      <c r="L9" s="4">
        <f t="shared" si="2"/>
        <v>0.52</v>
      </c>
      <c r="M9" s="3">
        <f>+F9</f>
        <v>1</v>
      </c>
      <c r="N9" s="3">
        <f t="shared" si="4"/>
        <v>1.2</v>
      </c>
      <c r="O9" s="3">
        <f t="shared" si="5"/>
        <v>0.83333333333333337</v>
      </c>
      <c r="P9" s="3">
        <f t="shared" si="6"/>
        <v>0.6</v>
      </c>
      <c r="Q9">
        <v>1</v>
      </c>
      <c r="R9">
        <v>1.5</v>
      </c>
      <c r="S9">
        <v>1.2</v>
      </c>
      <c r="T9">
        <v>0.5</v>
      </c>
      <c r="U9" s="4">
        <f t="shared" si="7"/>
        <v>0.6</v>
      </c>
      <c r="V9" s="4">
        <f t="shared" si="8"/>
        <v>1.26</v>
      </c>
      <c r="W9" s="4">
        <f t="shared" si="9"/>
        <v>1.5</v>
      </c>
      <c r="X9" s="4">
        <f t="shared" si="10"/>
        <v>1.1904761904761905</v>
      </c>
      <c r="Y9" s="4">
        <f t="shared" si="11"/>
        <v>0.7857142857142857</v>
      </c>
      <c r="Z9" s="3">
        <f>+I9</f>
        <v>0.6</v>
      </c>
      <c r="AA9" s="5">
        <v>1.2</v>
      </c>
      <c r="AB9" s="5">
        <v>0.5</v>
      </c>
      <c r="AC9" s="5">
        <v>1.5</v>
      </c>
      <c r="AD9" s="5">
        <v>-0.5</v>
      </c>
      <c r="AE9" s="5">
        <v>0.03</v>
      </c>
      <c r="AF9" s="4">
        <f t="shared" si="12"/>
        <v>0.5</v>
      </c>
      <c r="AG9" s="4">
        <f t="shared" si="13"/>
        <v>1.0249999999999999</v>
      </c>
      <c r="AH9" s="4">
        <f t="shared" si="14"/>
        <v>1.25</v>
      </c>
      <c r="AI9" s="4">
        <f t="shared" si="15"/>
        <v>1.2195121951219514</v>
      </c>
      <c r="AJ9" s="4">
        <f t="shared" si="16"/>
        <v>0.51829268292682917</v>
      </c>
      <c r="AK9" s="4">
        <f>+Y9</f>
        <v>0.7857142857142857</v>
      </c>
      <c r="AL9" s="4">
        <f t="shared" si="17"/>
        <v>0.81571428571428573</v>
      </c>
      <c r="AM9" s="4">
        <f t="shared" si="19"/>
        <v>1.5</v>
      </c>
      <c r="AN9" s="4">
        <f>+X9</f>
        <v>1.1904761904761905</v>
      </c>
      <c r="AP9" s="6"/>
      <c r="AQ9" s="6"/>
    </row>
    <row r="10" spans="1:43" x14ac:dyDescent="0.25">
      <c r="A10">
        <f t="shared" si="18"/>
        <v>8</v>
      </c>
      <c r="B10">
        <v>0.7</v>
      </c>
      <c r="C10" s="2">
        <v>1</v>
      </c>
      <c r="D10" s="2">
        <v>1.2</v>
      </c>
      <c r="E10" s="2">
        <v>1.2</v>
      </c>
      <c r="F10" s="2">
        <v>1</v>
      </c>
      <c r="G10" s="2">
        <v>0.02</v>
      </c>
      <c r="H10" s="4">
        <f t="shared" si="0"/>
        <v>0.36000000000000004</v>
      </c>
      <c r="I10">
        <v>0.7</v>
      </c>
      <c r="J10" s="3">
        <f t="shared" si="1"/>
        <v>0.41666666666666663</v>
      </c>
      <c r="K10" s="4">
        <f t="shared" ref="K10:K15" si="20">+J10</f>
        <v>0.41666666666666663</v>
      </c>
      <c r="L10" s="4">
        <f t="shared" si="2"/>
        <v>0.43666666666666665</v>
      </c>
      <c r="M10" s="3">
        <f t="shared" ref="M10:M15" si="21">+F10</f>
        <v>1</v>
      </c>
      <c r="N10" s="3">
        <f t="shared" si="4"/>
        <v>1.2</v>
      </c>
      <c r="O10" s="3">
        <f t="shared" si="5"/>
        <v>0.83333333333333337</v>
      </c>
      <c r="P10" s="3">
        <f t="shared" si="6"/>
        <v>0.7</v>
      </c>
      <c r="Q10">
        <v>1</v>
      </c>
      <c r="R10">
        <v>1.5</v>
      </c>
      <c r="S10">
        <v>1.2</v>
      </c>
      <c r="T10">
        <v>0.5</v>
      </c>
      <c r="U10" s="4">
        <f t="shared" si="7"/>
        <v>0.7</v>
      </c>
      <c r="V10" s="4">
        <f t="shared" si="8"/>
        <v>1.2025000000000001</v>
      </c>
      <c r="W10" s="4">
        <f t="shared" si="9"/>
        <v>1.5499999999999998</v>
      </c>
      <c r="X10" s="4">
        <f t="shared" si="10"/>
        <v>1.2889812889812886</v>
      </c>
      <c r="Y10" s="4">
        <f t="shared" si="11"/>
        <v>0.64771309771309782</v>
      </c>
      <c r="Z10" s="3">
        <f>+I10</f>
        <v>0.7</v>
      </c>
      <c r="AA10" s="5">
        <v>1.2</v>
      </c>
      <c r="AB10" s="5">
        <v>0.5</v>
      </c>
      <c r="AC10" s="5">
        <v>1.5</v>
      </c>
      <c r="AD10" s="5">
        <v>-0.5</v>
      </c>
      <c r="AE10" s="5">
        <v>0.03</v>
      </c>
      <c r="AF10" s="4">
        <f t="shared" si="12"/>
        <v>0.58333333333333337</v>
      </c>
      <c r="AG10" s="4">
        <f t="shared" si="13"/>
        <v>1.0784722222222221</v>
      </c>
      <c r="AH10" s="4">
        <f t="shared" si="14"/>
        <v>1.2083333333333333</v>
      </c>
      <c r="AI10" s="4">
        <f t="shared" si="15"/>
        <v>1.1204121056020606</v>
      </c>
      <c r="AJ10" s="4">
        <f t="shared" si="16"/>
        <v>0.42404485941189085</v>
      </c>
      <c r="AK10" s="4">
        <f>+Y10</f>
        <v>0.64771309771309782</v>
      </c>
      <c r="AL10" s="4">
        <f t="shared" si="17"/>
        <v>0.67771309771309785</v>
      </c>
      <c r="AM10" s="4">
        <f t="shared" si="19"/>
        <v>1.5499999999999998</v>
      </c>
      <c r="AN10" s="4">
        <f>+X10</f>
        <v>1.2889812889812886</v>
      </c>
      <c r="AP10" s="6"/>
      <c r="AQ10" s="6"/>
    </row>
    <row r="11" spans="1:43" x14ac:dyDescent="0.25">
      <c r="A11">
        <f t="shared" si="18"/>
        <v>9</v>
      </c>
      <c r="B11">
        <v>0.8</v>
      </c>
      <c r="C11" s="2">
        <v>1</v>
      </c>
      <c r="D11" s="2">
        <v>1.2</v>
      </c>
      <c r="E11" s="2">
        <v>1.2</v>
      </c>
      <c r="F11" s="2">
        <v>1</v>
      </c>
      <c r="G11" s="2">
        <v>0.02</v>
      </c>
      <c r="H11" s="4">
        <f t="shared" si="0"/>
        <v>0.23999999999999994</v>
      </c>
      <c r="I11">
        <v>0.8</v>
      </c>
      <c r="J11" s="3">
        <f t="shared" si="1"/>
        <v>0.33333333333333326</v>
      </c>
      <c r="K11" s="4">
        <f t="shared" si="20"/>
        <v>0.33333333333333326</v>
      </c>
      <c r="L11" s="4">
        <f t="shared" si="2"/>
        <v>0.35333333333333328</v>
      </c>
      <c r="M11" s="3">
        <f t="shared" si="21"/>
        <v>1</v>
      </c>
      <c r="N11" s="3">
        <f t="shared" si="4"/>
        <v>1.2</v>
      </c>
      <c r="O11" s="3">
        <f t="shared" si="5"/>
        <v>0.83333333333333337</v>
      </c>
      <c r="P11" s="3">
        <f t="shared" si="6"/>
        <v>0.8</v>
      </c>
      <c r="Q11">
        <v>1</v>
      </c>
      <c r="R11">
        <v>1.5</v>
      </c>
      <c r="S11">
        <v>1.2</v>
      </c>
      <c r="T11">
        <v>0.5</v>
      </c>
      <c r="U11" s="4">
        <f t="shared" si="7"/>
        <v>0.8</v>
      </c>
      <c r="V11" s="4">
        <f t="shared" si="8"/>
        <v>1.1399999999999999</v>
      </c>
      <c r="W11" s="4">
        <f t="shared" si="9"/>
        <v>1.6</v>
      </c>
      <c r="X11" s="4">
        <f t="shared" si="10"/>
        <v>1.4035087719298247</v>
      </c>
      <c r="Y11" s="4">
        <f t="shared" si="11"/>
        <v>0.47719298245614028</v>
      </c>
      <c r="Z11" s="3">
        <f>+I11</f>
        <v>0.8</v>
      </c>
      <c r="AA11" s="5">
        <v>1.2</v>
      </c>
      <c r="AB11" s="5">
        <v>0.5</v>
      </c>
      <c r="AC11" s="5">
        <v>1.5</v>
      </c>
      <c r="AD11" s="5">
        <v>-0.5</v>
      </c>
      <c r="AE11" s="5">
        <v>0.03</v>
      </c>
      <c r="AF11" s="4">
        <f t="shared" si="12"/>
        <v>0.66666666666666674</v>
      </c>
      <c r="AG11" s="4">
        <f t="shared" si="13"/>
        <v>1.1222222222222222</v>
      </c>
      <c r="AH11" s="4">
        <f t="shared" si="14"/>
        <v>1.1666666666666665</v>
      </c>
      <c r="AI11" s="4">
        <f t="shared" si="15"/>
        <v>1.0396039603960394</v>
      </c>
      <c r="AJ11" s="4">
        <f t="shared" si="16"/>
        <v>0.33498349834983498</v>
      </c>
      <c r="AK11" s="4">
        <f>+Y11</f>
        <v>0.47719298245614028</v>
      </c>
      <c r="AL11" s="4">
        <f t="shared" si="17"/>
        <v>0.50719298245614031</v>
      </c>
      <c r="AM11" s="4">
        <f t="shared" si="19"/>
        <v>1.6</v>
      </c>
      <c r="AN11" s="4">
        <f>+X11</f>
        <v>1.4035087719298247</v>
      </c>
      <c r="AP11" s="6"/>
      <c r="AQ11" s="6"/>
    </row>
    <row r="12" spans="1:43" x14ac:dyDescent="0.25">
      <c r="A12">
        <f t="shared" si="18"/>
        <v>10</v>
      </c>
      <c r="B12">
        <v>0.9</v>
      </c>
      <c r="C12" s="2">
        <v>1</v>
      </c>
      <c r="D12" s="2">
        <v>1.2</v>
      </c>
      <c r="E12" s="2">
        <v>1.2</v>
      </c>
      <c r="F12" s="2">
        <v>1</v>
      </c>
      <c r="G12" s="2">
        <v>0.02</v>
      </c>
      <c r="H12" s="4">
        <f t="shared" si="0"/>
        <v>0.11999999999999997</v>
      </c>
      <c r="I12">
        <v>0.9</v>
      </c>
      <c r="J12" s="3">
        <f t="shared" si="1"/>
        <v>0.25</v>
      </c>
      <c r="K12" s="4">
        <f t="shared" si="20"/>
        <v>0.25</v>
      </c>
      <c r="L12" s="4">
        <f t="shared" si="2"/>
        <v>0.27</v>
      </c>
      <c r="M12" s="3">
        <f t="shared" si="21"/>
        <v>1</v>
      </c>
      <c r="N12" s="3">
        <f t="shared" si="4"/>
        <v>1.2</v>
      </c>
      <c r="O12" s="3">
        <f t="shared" si="5"/>
        <v>0.83333333333333337</v>
      </c>
      <c r="P12" s="3">
        <f t="shared" si="6"/>
        <v>0.9</v>
      </c>
      <c r="Q12">
        <v>1</v>
      </c>
      <c r="R12">
        <v>1.5</v>
      </c>
      <c r="S12">
        <v>1.2</v>
      </c>
      <c r="T12">
        <v>0.5</v>
      </c>
      <c r="U12" s="4">
        <f t="shared" si="7"/>
        <v>0.9</v>
      </c>
      <c r="V12" s="4">
        <f t="shared" si="8"/>
        <v>1.0725</v>
      </c>
      <c r="W12" s="4">
        <f t="shared" si="9"/>
        <v>1.65</v>
      </c>
      <c r="X12" s="4">
        <f t="shared" si="10"/>
        <v>1.5384615384615383</v>
      </c>
      <c r="Y12" s="4">
        <f t="shared" si="11"/>
        <v>0.26538461538461533</v>
      </c>
      <c r="Z12" s="3">
        <f>+I12</f>
        <v>0.9</v>
      </c>
      <c r="AA12" s="5">
        <v>1.2</v>
      </c>
      <c r="AB12" s="5">
        <v>0.5</v>
      </c>
      <c r="AC12" s="5">
        <v>1.5</v>
      </c>
      <c r="AD12" s="5">
        <v>-0.5</v>
      </c>
      <c r="AE12" s="5">
        <v>0.03</v>
      </c>
      <c r="AF12" s="4">
        <f t="shared" si="12"/>
        <v>0.75</v>
      </c>
      <c r="AG12" s="4">
        <f t="shared" si="13"/>
        <v>1.15625</v>
      </c>
      <c r="AH12" s="4">
        <f t="shared" si="14"/>
        <v>1.125</v>
      </c>
      <c r="AI12" s="4">
        <f t="shared" si="15"/>
        <v>0.97297297297297303</v>
      </c>
      <c r="AJ12" s="4">
        <f t="shared" si="16"/>
        <v>0.24932432432432428</v>
      </c>
      <c r="AK12" s="4">
        <f>+Y12</f>
        <v>0.26538461538461533</v>
      </c>
      <c r="AL12" s="4">
        <f t="shared" si="17"/>
        <v>0.29538461538461536</v>
      </c>
      <c r="AM12" s="4">
        <f t="shared" si="19"/>
        <v>1.65</v>
      </c>
      <c r="AN12" s="4">
        <f>+X12</f>
        <v>1.5384615384615383</v>
      </c>
      <c r="AP12" s="6"/>
      <c r="AQ12" s="6"/>
    </row>
    <row r="13" spans="1:43" x14ac:dyDescent="0.25">
      <c r="A13">
        <f t="shared" si="18"/>
        <v>11</v>
      </c>
      <c r="B13">
        <v>1</v>
      </c>
      <c r="C13" s="2">
        <v>1</v>
      </c>
      <c r="D13" s="2">
        <v>1.2</v>
      </c>
      <c r="E13" s="2">
        <v>1.2</v>
      </c>
      <c r="F13" s="2">
        <v>1</v>
      </c>
      <c r="G13" s="2">
        <v>0.02</v>
      </c>
      <c r="H13" s="4">
        <f t="shared" si="0"/>
        <v>0</v>
      </c>
      <c r="I13">
        <v>1</v>
      </c>
      <c r="J13" s="3">
        <f t="shared" si="1"/>
        <v>0.16666666666666663</v>
      </c>
      <c r="K13" s="4">
        <f t="shared" si="20"/>
        <v>0.16666666666666663</v>
      </c>
      <c r="L13" s="4">
        <f t="shared" si="2"/>
        <v>0.18666666666666662</v>
      </c>
      <c r="M13" s="3">
        <f t="shared" si="21"/>
        <v>1</v>
      </c>
      <c r="N13" s="3">
        <f t="shared" si="4"/>
        <v>1.2</v>
      </c>
      <c r="O13" s="3">
        <f t="shared" si="5"/>
        <v>0.83333333333333337</v>
      </c>
      <c r="P13" s="3">
        <f t="shared" si="6"/>
        <v>1</v>
      </c>
      <c r="Q13">
        <v>1</v>
      </c>
      <c r="R13">
        <v>1.5</v>
      </c>
      <c r="S13">
        <v>1.2</v>
      </c>
      <c r="T13">
        <v>0.5</v>
      </c>
      <c r="U13" s="4">
        <f t="shared" si="7"/>
        <v>1</v>
      </c>
      <c r="V13" s="4">
        <f t="shared" si="8"/>
        <v>1</v>
      </c>
      <c r="W13" s="4">
        <f t="shared" si="9"/>
        <v>1.7</v>
      </c>
      <c r="X13" s="4">
        <f t="shared" si="10"/>
        <v>1.7</v>
      </c>
      <c r="Y13" s="4">
        <f t="shared" si="11"/>
        <v>0</v>
      </c>
      <c r="Z13" s="3">
        <f>+I13</f>
        <v>1</v>
      </c>
      <c r="AA13" s="5">
        <v>1.2</v>
      </c>
      <c r="AB13" s="5">
        <v>0.5</v>
      </c>
      <c r="AC13" s="5">
        <v>1.5</v>
      </c>
      <c r="AD13" s="5">
        <v>-0.5</v>
      </c>
      <c r="AE13" s="5">
        <v>0.03</v>
      </c>
      <c r="AF13" s="4">
        <f t="shared" si="12"/>
        <v>0.83333333333333337</v>
      </c>
      <c r="AG13" s="4">
        <f t="shared" si="13"/>
        <v>1.1805555555555554</v>
      </c>
      <c r="AH13" s="4">
        <f t="shared" si="14"/>
        <v>1.0833333333333333</v>
      </c>
      <c r="AI13" s="4">
        <f t="shared" si="15"/>
        <v>0.91764705882352948</v>
      </c>
      <c r="AJ13" s="4">
        <f t="shared" si="16"/>
        <v>0.16568627450980378</v>
      </c>
      <c r="AK13" s="4">
        <f>+AJ13</f>
        <v>0.16568627450980378</v>
      </c>
      <c r="AL13" s="4">
        <f t="shared" si="17"/>
        <v>0.19568627450980378</v>
      </c>
      <c r="AM13" s="4">
        <f>+AH13</f>
        <v>1.0833333333333333</v>
      </c>
      <c r="AN13" s="4">
        <f>+AI13</f>
        <v>0.91764705882352948</v>
      </c>
      <c r="AP13" s="6"/>
      <c r="AQ13" s="6"/>
    </row>
    <row r="14" spans="1:43" x14ac:dyDescent="0.25">
      <c r="A14">
        <f t="shared" si="18"/>
        <v>12</v>
      </c>
      <c r="C14" s="2">
        <v>1</v>
      </c>
      <c r="D14" s="2">
        <v>1.2</v>
      </c>
      <c r="E14" s="2">
        <v>1.2</v>
      </c>
      <c r="F14" s="2">
        <v>1</v>
      </c>
      <c r="G14" s="2">
        <v>0.02</v>
      </c>
      <c r="I14">
        <v>1.1000000000000001</v>
      </c>
      <c r="J14" s="3">
        <f t="shared" si="1"/>
        <v>8.3333333333333259E-2</v>
      </c>
      <c r="K14" s="4">
        <f t="shared" si="20"/>
        <v>8.3333333333333259E-2</v>
      </c>
      <c r="L14" s="4">
        <f t="shared" si="2"/>
        <v>0.10333333333333326</v>
      </c>
      <c r="M14" s="3">
        <f t="shared" si="21"/>
        <v>1</v>
      </c>
      <c r="N14" s="3">
        <f t="shared" si="4"/>
        <v>1.2</v>
      </c>
      <c r="O14" s="3">
        <f t="shared" si="5"/>
        <v>0.83333333333333337</v>
      </c>
      <c r="Z14" s="3">
        <f>+I14</f>
        <v>1.1000000000000001</v>
      </c>
      <c r="AA14" s="5">
        <v>1.2</v>
      </c>
      <c r="AB14" s="5">
        <v>0.5</v>
      </c>
      <c r="AC14" s="5">
        <v>1.5</v>
      </c>
      <c r="AD14" s="5">
        <v>-0.5</v>
      </c>
      <c r="AE14" s="5">
        <v>0.03</v>
      </c>
      <c r="AF14" s="4">
        <f t="shared" si="12"/>
        <v>0.91666666666666674</v>
      </c>
      <c r="AG14" s="4">
        <f t="shared" si="13"/>
        <v>1.1951388888888888</v>
      </c>
      <c r="AH14" s="4">
        <f t="shared" si="14"/>
        <v>1.0416666666666665</v>
      </c>
      <c r="AI14" s="4">
        <f t="shared" si="15"/>
        <v>0.87158628704241714</v>
      </c>
      <c r="AJ14" s="4">
        <f t="shared" si="16"/>
        <v>8.2921750920007642E-2</v>
      </c>
      <c r="AK14" s="4">
        <f>+AJ14</f>
        <v>8.2921750920007642E-2</v>
      </c>
      <c r="AL14" s="4">
        <f t="shared" si="17"/>
        <v>0.11292175092000764</v>
      </c>
      <c r="AM14" s="4">
        <f>+AH14</f>
        <v>1.0416666666666665</v>
      </c>
      <c r="AN14" s="4">
        <f>+AI14</f>
        <v>0.87158628704241714</v>
      </c>
      <c r="AP14" s="6"/>
      <c r="AQ14" s="6"/>
    </row>
    <row r="15" spans="1:43" x14ac:dyDescent="0.25">
      <c r="A15">
        <f t="shared" si="18"/>
        <v>13</v>
      </c>
      <c r="C15" s="2">
        <v>1</v>
      </c>
      <c r="D15" s="2">
        <v>1.2</v>
      </c>
      <c r="E15" s="2">
        <v>1.2</v>
      </c>
      <c r="F15" s="2">
        <v>1</v>
      </c>
      <c r="G15" s="2">
        <v>0.02</v>
      </c>
      <c r="I15">
        <v>1.2</v>
      </c>
      <c r="J15" s="3">
        <f t="shared" si="1"/>
        <v>0</v>
      </c>
      <c r="K15" s="4">
        <f t="shared" si="20"/>
        <v>0</v>
      </c>
      <c r="L15" s="4">
        <f t="shared" si="2"/>
        <v>0.02</v>
      </c>
      <c r="M15" s="3">
        <f t="shared" si="21"/>
        <v>1</v>
      </c>
      <c r="N15" s="3">
        <f t="shared" si="4"/>
        <v>1.2</v>
      </c>
      <c r="O15" s="3">
        <f t="shared" si="5"/>
        <v>0.83333333333333337</v>
      </c>
      <c r="Z15" s="3">
        <f>+I15</f>
        <v>1.2</v>
      </c>
      <c r="AA15" s="5">
        <v>1.2</v>
      </c>
      <c r="AB15" s="5">
        <v>0.5</v>
      </c>
      <c r="AC15" s="5">
        <v>1.5</v>
      </c>
      <c r="AD15" s="5">
        <v>-0.5</v>
      </c>
      <c r="AE15" s="5">
        <v>0.03</v>
      </c>
      <c r="AF15" s="4">
        <f t="shared" si="12"/>
        <v>1</v>
      </c>
      <c r="AG15" s="4">
        <f t="shared" si="13"/>
        <v>1.2</v>
      </c>
      <c r="AH15" s="4">
        <f t="shared" si="14"/>
        <v>1</v>
      </c>
      <c r="AI15" s="4">
        <f t="shared" si="15"/>
        <v>0.83333333333333337</v>
      </c>
      <c r="AJ15" s="4">
        <f t="shared" si="16"/>
        <v>0</v>
      </c>
      <c r="AK15" s="4">
        <f>+AJ15</f>
        <v>0</v>
      </c>
      <c r="AL15" s="4">
        <f t="shared" si="17"/>
        <v>0.03</v>
      </c>
      <c r="AM15" s="4">
        <f>+AH15</f>
        <v>1</v>
      </c>
      <c r="AN15" s="4">
        <f>+AI15</f>
        <v>0.83333333333333337</v>
      </c>
      <c r="AP15" s="6"/>
      <c r="AQ15" s="6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2025-10-03T19:36:06Z</dcterms:created>
  <dcterms:modified xsi:type="dcterms:W3CDTF">2025-10-03T20:26:48Z</dcterms:modified>
</cp:coreProperties>
</file>
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8" documentId="8_{B6C763E6-1F13-4929-9E01-155F885FD915}" xr6:coauthVersionLast="47" xr6:coauthVersionMax="47" xr10:uidLastSave="{8692A28C-EBC4-4C9A-AF12-5701762E253E}"/>
  <bookViews>
    <workbookView xWindow="2205" yWindow="1035" windowWidth="21600" windowHeight="13215" xr2:uid="{A1E0E0F9-CCA1-4328-AB6D-54CEB6A23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3" i="1"/>
</calcChain>
</file>

<file path=xl/sharedStrings.xml><?xml version="1.0" encoding="utf-8"?>
<sst xmlns="http://schemas.openxmlformats.org/spreadsheetml/2006/main" count="7" uniqueCount="7">
  <si>
    <t>Date</t>
  </si>
  <si>
    <t>HHDebt</t>
  </si>
  <si>
    <t>HHDispPersInc</t>
  </si>
  <si>
    <t>HHDebtIncRatio</t>
  </si>
  <si>
    <t>FOF D3, line 2</t>
  </si>
  <si>
    <t>NIPA  2.1, line 27</t>
  </si>
  <si>
    <t>DebtIncRatio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</si>
</sst>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5" fontId="0" fillId="0" borderId="0" xfId="0" applyNumberFormat="1"/>
  </cellXfs>
  <cellStyles count="2">
    <cellStyle name="Normal" xfId="0" builtinId="0"/>
    <cellStyle name="Normal 3" xfId="1" xr:uid="{0D0A0E72-0618-4D31-9802-4E6AC06C82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6707-2E5C-49ED-A6B9-A7748BCCB7E5}">
  <dimension ref="A1:F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6" x14ac:dyDescent="0.25">
      <c r="A1" t="s">
        <v>6</v>
      </c>
      <c r="B1" t="s">
        <v>4</v>
      </c>
      <c r="C1" t="s">
        <v>5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</row>
    <row r="3" spans="1:6" x14ac:dyDescent="0.25">
      <c r="A3">
        <v>1975</v>
      </c>
      <c r="B3">
        <v>734.3</v>
      </c>
      <c r="C3">
        <v>1187.3</v>
      </c>
      <c r="D3">
        <f>+B3/C3</f>
        <v>0.61846205676745558</v>
      </c>
      <c r="F3" s="1"/>
    </row>
    <row r="4" spans="1:6" x14ac:dyDescent="0.25">
      <c r="A4">
        <v>1976</v>
      </c>
      <c r="B4">
        <v>818.9</v>
      </c>
      <c r="C4">
        <v>1302.3</v>
      </c>
      <c r="D4">
        <f t="shared" ref="D4:D40" si="0">+B4/C4</f>
        <v>0.6288105659218306</v>
      </c>
      <c r="F4" s="1"/>
    </row>
    <row r="5" spans="1:6" x14ac:dyDescent="0.25">
      <c r="A5">
        <v>1977</v>
      </c>
      <c r="B5">
        <v>946.7</v>
      </c>
      <c r="C5">
        <v>1435</v>
      </c>
      <c r="D5">
        <f t="shared" si="0"/>
        <v>0.65972125435540074</v>
      </c>
      <c r="F5" s="1"/>
    </row>
    <row r="6" spans="1:6" x14ac:dyDescent="0.25">
      <c r="A6">
        <v>1978</v>
      </c>
      <c r="B6">
        <v>1105.4000000000001</v>
      </c>
      <c r="C6">
        <v>1607.3</v>
      </c>
      <c r="D6">
        <f t="shared" si="0"/>
        <v>0.68773719902942831</v>
      </c>
      <c r="F6" s="1"/>
    </row>
    <row r="7" spans="1:6" x14ac:dyDescent="0.25">
      <c r="A7">
        <v>1979</v>
      </c>
      <c r="B7">
        <v>1276.0999999999999</v>
      </c>
      <c r="C7">
        <v>1790.9</v>
      </c>
      <c r="D7">
        <f t="shared" si="0"/>
        <v>0.71254676419677243</v>
      </c>
      <c r="F7" s="1"/>
    </row>
    <row r="8" spans="1:6" x14ac:dyDescent="0.25">
      <c r="A8">
        <v>1980</v>
      </c>
      <c r="B8">
        <v>1396</v>
      </c>
      <c r="C8">
        <v>2002.7</v>
      </c>
      <c r="D8">
        <f t="shared" si="0"/>
        <v>0.69705897038997355</v>
      </c>
      <c r="F8" s="1"/>
    </row>
    <row r="9" spans="1:6" x14ac:dyDescent="0.25">
      <c r="A9">
        <v>1981</v>
      </c>
      <c r="B9">
        <v>1507.2</v>
      </c>
      <c r="C9">
        <v>2237.1</v>
      </c>
      <c r="D9">
        <f t="shared" si="0"/>
        <v>0.67372938178892317</v>
      </c>
      <c r="F9" s="1"/>
    </row>
    <row r="10" spans="1:6" x14ac:dyDescent="0.25">
      <c r="A10">
        <v>1982</v>
      </c>
      <c r="B10">
        <v>1576.4</v>
      </c>
      <c r="C10">
        <v>2412.6999999999998</v>
      </c>
      <c r="D10">
        <f t="shared" si="0"/>
        <v>0.6533758859369172</v>
      </c>
      <c r="F10" s="1"/>
    </row>
    <row r="11" spans="1:6" x14ac:dyDescent="0.25">
      <c r="A11">
        <v>1983</v>
      </c>
      <c r="B11">
        <v>1732</v>
      </c>
      <c r="C11">
        <v>2599.8000000000002</v>
      </c>
      <c r="D11">
        <f t="shared" si="0"/>
        <v>0.66620509269943839</v>
      </c>
      <c r="F11" s="1"/>
    </row>
    <row r="12" spans="1:6" x14ac:dyDescent="0.25">
      <c r="A12">
        <v>1984</v>
      </c>
      <c r="B12">
        <v>1943.3</v>
      </c>
      <c r="C12">
        <v>2891.5</v>
      </c>
      <c r="D12">
        <f t="shared" si="0"/>
        <v>0.67207331834687878</v>
      </c>
      <c r="F12" s="1"/>
    </row>
    <row r="13" spans="1:6" x14ac:dyDescent="0.25">
      <c r="A13">
        <v>1985</v>
      </c>
      <c r="B13">
        <v>2277.8000000000002</v>
      </c>
      <c r="C13">
        <v>3079.3</v>
      </c>
      <c r="D13">
        <f t="shared" si="0"/>
        <v>0.73971357126619686</v>
      </c>
      <c r="F13" s="1"/>
    </row>
    <row r="14" spans="1:6" x14ac:dyDescent="0.25">
      <c r="A14">
        <v>1986</v>
      </c>
      <c r="B14">
        <v>2537.3000000000002</v>
      </c>
      <c r="C14">
        <v>3258.8</v>
      </c>
      <c r="D14">
        <f t="shared" si="0"/>
        <v>0.77859948447281213</v>
      </c>
      <c r="F14" s="1"/>
    </row>
    <row r="15" spans="1:6" x14ac:dyDescent="0.25">
      <c r="A15">
        <v>1987</v>
      </c>
      <c r="B15">
        <v>2755.1</v>
      </c>
      <c r="C15">
        <v>3435.3</v>
      </c>
      <c r="D15">
        <f t="shared" si="0"/>
        <v>0.80199691438884513</v>
      </c>
      <c r="F15" s="1"/>
    </row>
    <row r="16" spans="1:6" x14ac:dyDescent="0.25">
      <c r="A16">
        <v>1988</v>
      </c>
      <c r="B16">
        <v>3043.6</v>
      </c>
      <c r="C16">
        <v>3726.3</v>
      </c>
      <c r="D16">
        <f t="shared" si="0"/>
        <v>0.81678877170383479</v>
      </c>
      <c r="F16" s="1"/>
    </row>
    <row r="17" spans="1:6" x14ac:dyDescent="0.25">
      <c r="A17">
        <v>1989</v>
      </c>
      <c r="B17">
        <v>3319</v>
      </c>
      <c r="C17">
        <v>3991.4</v>
      </c>
      <c r="D17">
        <f t="shared" si="0"/>
        <v>0.83153780628350948</v>
      </c>
      <c r="F17" s="1"/>
    </row>
    <row r="18" spans="1:6" x14ac:dyDescent="0.25">
      <c r="A18">
        <v>1990</v>
      </c>
      <c r="B18">
        <v>3580.9</v>
      </c>
      <c r="C18">
        <v>4254</v>
      </c>
      <c r="D18">
        <f t="shared" si="0"/>
        <v>0.84177244945933238</v>
      </c>
      <c r="F18" s="1"/>
    </row>
    <row r="19" spans="1:6" x14ac:dyDescent="0.25">
      <c r="A19">
        <v>1991</v>
      </c>
      <c r="B19">
        <v>3769.7</v>
      </c>
      <c r="C19">
        <v>4444.8999999999996</v>
      </c>
      <c r="D19">
        <f t="shared" si="0"/>
        <v>0.84809557020405413</v>
      </c>
      <c r="F19" s="1"/>
    </row>
    <row r="20" spans="1:6" x14ac:dyDescent="0.25">
      <c r="A20">
        <v>1992</v>
      </c>
      <c r="B20">
        <v>3970.4</v>
      </c>
      <c r="C20">
        <v>4736.7</v>
      </c>
      <c r="D20">
        <f t="shared" si="0"/>
        <v>0.83822070217662092</v>
      </c>
      <c r="F20" s="1"/>
    </row>
    <row r="21" spans="1:6" x14ac:dyDescent="0.25">
      <c r="A21">
        <v>1993</v>
      </c>
      <c r="B21">
        <v>4210.3</v>
      </c>
      <c r="C21">
        <v>4921.6000000000004</v>
      </c>
      <c r="D21">
        <f t="shared" si="0"/>
        <v>0.85547382964889462</v>
      </c>
      <c r="F21" s="1"/>
    </row>
    <row r="22" spans="1:6" x14ac:dyDescent="0.25">
      <c r="A22">
        <v>1994</v>
      </c>
      <c r="B22">
        <v>4531.8</v>
      </c>
      <c r="C22">
        <v>5184.3</v>
      </c>
      <c r="D22">
        <f t="shared" si="0"/>
        <v>0.87413922805393207</v>
      </c>
      <c r="F22" s="1"/>
    </row>
    <row r="23" spans="1:6" x14ac:dyDescent="0.25">
      <c r="A23">
        <v>1995</v>
      </c>
      <c r="B23">
        <v>4841.2</v>
      </c>
      <c r="C23">
        <v>5457</v>
      </c>
      <c r="D23">
        <f t="shared" si="0"/>
        <v>0.88715411398204136</v>
      </c>
      <c r="F23" s="1"/>
    </row>
    <row r="24" spans="1:6" x14ac:dyDescent="0.25">
      <c r="A24">
        <v>1996</v>
      </c>
      <c r="B24">
        <v>5177</v>
      </c>
      <c r="C24">
        <v>5759.6</v>
      </c>
      <c r="D24">
        <f t="shared" si="0"/>
        <v>0.89884714216265016</v>
      </c>
      <c r="F24" s="1"/>
    </row>
    <row r="25" spans="1:6" x14ac:dyDescent="0.25">
      <c r="A25">
        <v>1997</v>
      </c>
      <c r="B25">
        <v>5477.6</v>
      </c>
      <c r="C25">
        <v>6074.6</v>
      </c>
      <c r="D25">
        <f t="shared" si="0"/>
        <v>0.90172192407730556</v>
      </c>
      <c r="F25" s="1"/>
    </row>
    <row r="26" spans="1:6" x14ac:dyDescent="0.25">
      <c r="A26">
        <v>1998</v>
      </c>
      <c r="B26">
        <v>5903.4</v>
      </c>
      <c r="C26">
        <v>6498.9</v>
      </c>
      <c r="D26">
        <f t="shared" si="0"/>
        <v>0.9083691086183816</v>
      </c>
      <c r="F26" s="1"/>
    </row>
    <row r="27" spans="1:6" x14ac:dyDescent="0.25">
      <c r="A27">
        <v>1999</v>
      </c>
      <c r="B27">
        <v>6396</v>
      </c>
      <c r="C27">
        <v>6803.3</v>
      </c>
      <c r="D27">
        <f t="shared" si="0"/>
        <v>0.94013199476724529</v>
      </c>
      <c r="F27" s="1"/>
    </row>
    <row r="28" spans="1:6" x14ac:dyDescent="0.25">
      <c r="A28">
        <v>2000</v>
      </c>
      <c r="B28">
        <v>6987.3</v>
      </c>
      <c r="C28">
        <v>7327.2</v>
      </c>
      <c r="D28">
        <f t="shared" si="0"/>
        <v>0.95361120209629879</v>
      </c>
      <c r="F28" s="1"/>
    </row>
    <row r="29" spans="1:6" x14ac:dyDescent="0.25">
      <c r="A29">
        <v>2001</v>
      </c>
      <c r="B29">
        <v>7659.3</v>
      </c>
      <c r="C29">
        <v>7648.5</v>
      </c>
      <c r="D29">
        <f t="shared" si="0"/>
        <v>1.0014120415767798</v>
      </c>
      <c r="F29" s="1"/>
    </row>
    <row r="30" spans="1:6" x14ac:dyDescent="0.25">
      <c r="A30">
        <v>2002</v>
      </c>
      <c r="B30">
        <v>8484.2999999999993</v>
      </c>
      <c r="C30">
        <v>8009.7</v>
      </c>
      <c r="D30">
        <f t="shared" si="0"/>
        <v>1.0592531555488969</v>
      </c>
      <c r="F30" s="1"/>
    </row>
    <row r="31" spans="1:6" x14ac:dyDescent="0.25">
      <c r="A31">
        <v>2003</v>
      </c>
      <c r="B31">
        <v>9505</v>
      </c>
      <c r="C31">
        <v>8377.7999999999993</v>
      </c>
      <c r="D31">
        <f t="shared" si="0"/>
        <v>1.1345460622120367</v>
      </c>
      <c r="F31" s="1"/>
    </row>
    <row r="32" spans="1:6" x14ac:dyDescent="0.25">
      <c r="A32">
        <v>2004</v>
      </c>
      <c r="B32">
        <v>10569.6</v>
      </c>
      <c r="C32">
        <v>8889.4</v>
      </c>
      <c r="D32">
        <f t="shared" si="0"/>
        <v>1.1890116318311699</v>
      </c>
      <c r="F32" s="1"/>
    </row>
    <row r="33" spans="1:6" x14ac:dyDescent="0.25">
      <c r="A33">
        <v>2005</v>
      </c>
      <c r="B33">
        <v>11742.9</v>
      </c>
      <c r="C33">
        <v>9277.2999999999993</v>
      </c>
      <c r="D33">
        <f t="shared" si="0"/>
        <v>1.2657669796169144</v>
      </c>
      <c r="F33" s="1"/>
    </row>
    <row r="34" spans="1:6" x14ac:dyDescent="0.25">
      <c r="A34">
        <v>2006</v>
      </c>
      <c r="B34">
        <v>12929.5</v>
      </c>
      <c r="C34">
        <v>9915.7000000000007</v>
      </c>
      <c r="D34">
        <f t="shared" si="0"/>
        <v>1.3039422330243955</v>
      </c>
      <c r="F34" s="1"/>
    </row>
    <row r="35" spans="1:6" x14ac:dyDescent="0.25">
      <c r="A35">
        <v>2007</v>
      </c>
      <c r="B35">
        <v>13802.1</v>
      </c>
      <c r="C35">
        <v>10423.6</v>
      </c>
      <c r="D35">
        <f t="shared" si="0"/>
        <v>1.3241202655512492</v>
      </c>
      <c r="F35" s="1"/>
    </row>
    <row r="36" spans="1:6" x14ac:dyDescent="0.25">
      <c r="A36">
        <v>2008</v>
      </c>
      <c r="B36">
        <v>13843</v>
      </c>
      <c r="C36">
        <v>11024.5</v>
      </c>
      <c r="D36">
        <f t="shared" si="0"/>
        <v>1.2556578529638531</v>
      </c>
      <c r="F36" s="1"/>
    </row>
    <row r="37" spans="1:6" x14ac:dyDescent="0.25">
      <c r="A37">
        <v>2009</v>
      </c>
      <c r="B37">
        <v>13397</v>
      </c>
      <c r="C37">
        <v>10722.4</v>
      </c>
      <c r="D37">
        <f t="shared" si="0"/>
        <v>1.2494404237857197</v>
      </c>
      <c r="F37" s="1"/>
    </row>
    <row r="38" spans="1:6" x14ac:dyDescent="0.25">
      <c r="A38">
        <v>2010</v>
      </c>
      <c r="B38">
        <v>13059.9</v>
      </c>
      <c r="C38">
        <v>11127.1</v>
      </c>
      <c r="D38">
        <f t="shared" si="0"/>
        <v>1.1737020427604676</v>
      </c>
      <c r="F38" s="1"/>
    </row>
    <row r="39" spans="1:6" x14ac:dyDescent="0.25">
      <c r="A39">
        <v>2011</v>
      </c>
      <c r="B39">
        <v>12863.7</v>
      </c>
      <c r="C39">
        <v>11549.3</v>
      </c>
      <c r="D39">
        <f t="shared" si="0"/>
        <v>1.1138077632410623</v>
      </c>
      <c r="F39" s="1"/>
    </row>
    <row r="40" spans="1:6" x14ac:dyDescent="0.25">
      <c r="A40">
        <v>2012</v>
      </c>
      <c r="B40">
        <v>12819.3</v>
      </c>
      <c r="C40">
        <v>11950.8</v>
      </c>
      <c r="D40">
        <f t="shared" si="0"/>
        <v>1.0726729591324431</v>
      </c>
      <c r="F40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2025-10-01T18:38:34Z</dcterms:created>
  <dcterms:modified xsi:type="dcterms:W3CDTF">2025-10-02T20:32:24Z</dcterms:modified>
</cp:coreProperties>
</file>
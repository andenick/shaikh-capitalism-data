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411" documentId="8_{4F5B213B-3834-4398-B979-0F82F81502D9}" xr6:coauthVersionLast="47" xr6:coauthVersionMax="47" xr10:uidLastSave="{6899F337-B28D-449B-9373-DDA9B5D5132C}"/>
  <bookViews>
    <workbookView xWindow="14190" yWindow="0" windowWidth="14715" windowHeight="15585" xr2:uid="{9C45847F-FEBE-46A9-87CE-6D6C56AC95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7" i="1" l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06" i="1"/>
  <c r="AP241" i="1"/>
  <c r="AP240" i="1"/>
  <c r="AP239" i="1"/>
  <c r="AP238" i="1"/>
  <c r="AP237" i="1"/>
  <c r="AP236" i="1"/>
  <c r="AP235" i="1"/>
  <c r="AP233" i="1"/>
  <c r="AP232" i="1"/>
  <c r="AP231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4" i="1"/>
  <c r="AP242" i="1"/>
  <c r="AP243" i="1"/>
  <c r="AP244" i="1"/>
  <c r="AP245" i="1"/>
  <c r="AP246" i="1"/>
  <c r="AP247" i="1"/>
  <c r="AP248" i="1"/>
  <c r="AP207" i="1"/>
  <c r="AP206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3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54" i="1"/>
  <c r="Y19" i="1"/>
  <c r="Z19" i="1"/>
  <c r="AA19" i="1"/>
  <c r="Y20" i="1"/>
  <c r="Z20" i="1" s="1"/>
  <c r="AA20" i="1"/>
  <c r="Y21" i="1"/>
  <c r="Z21" i="1" s="1"/>
  <c r="AA21" i="1"/>
  <c r="Y22" i="1"/>
  <c r="Z22" i="1"/>
  <c r="AA22" i="1"/>
  <c r="Y23" i="1"/>
  <c r="Z23" i="1"/>
  <c r="AA23" i="1"/>
  <c r="Y24" i="1"/>
  <c r="Z24" i="1" s="1"/>
  <c r="AA24" i="1"/>
  <c r="Y25" i="1"/>
  <c r="Z25" i="1"/>
  <c r="AA25" i="1"/>
  <c r="Y26" i="1"/>
  <c r="Z26" i="1"/>
  <c r="AA26" i="1"/>
  <c r="Y27" i="1"/>
  <c r="Z27" i="1"/>
  <c r="AA27" i="1"/>
  <c r="Y28" i="1"/>
  <c r="Z28" i="1" s="1"/>
  <c r="AA28" i="1"/>
  <c r="Y29" i="1"/>
  <c r="Z29" i="1"/>
  <c r="AA29" i="1"/>
  <c r="Y30" i="1"/>
  <c r="Z30" i="1"/>
  <c r="AA30" i="1"/>
  <c r="Y31" i="1"/>
  <c r="Z31" i="1"/>
  <c r="AA31" i="1"/>
  <c r="Y32" i="1"/>
  <c r="Z32" i="1" s="1"/>
  <c r="AA32" i="1"/>
  <c r="Y33" i="1"/>
  <c r="Z33" i="1"/>
  <c r="AA33" i="1"/>
  <c r="Y34" i="1"/>
  <c r="Z34" i="1"/>
  <c r="AA34" i="1"/>
  <c r="Y35" i="1"/>
  <c r="Z35" i="1"/>
  <c r="AA35" i="1"/>
  <c r="Y36" i="1"/>
  <c r="Z36" i="1" s="1"/>
  <c r="AA36" i="1"/>
  <c r="Y37" i="1"/>
  <c r="Z37" i="1"/>
  <c r="AA37" i="1"/>
  <c r="Y38" i="1"/>
  <c r="Z38" i="1"/>
  <c r="AA38" i="1"/>
  <c r="Y39" i="1"/>
  <c r="Z39" i="1"/>
  <c r="AA39" i="1"/>
  <c r="Y40" i="1"/>
  <c r="Z40" i="1" s="1"/>
  <c r="AA40" i="1"/>
  <c r="Y41" i="1"/>
  <c r="Z41" i="1"/>
  <c r="AA41" i="1"/>
  <c r="Y42" i="1"/>
  <c r="Z42" i="1"/>
  <c r="AA42" i="1"/>
  <c r="Y43" i="1"/>
  <c r="Z43" i="1"/>
  <c r="AA43" i="1"/>
  <c r="Y44" i="1"/>
  <c r="Z44" i="1" s="1"/>
  <c r="AA44" i="1"/>
  <c r="Y45" i="1"/>
  <c r="Z45" i="1"/>
  <c r="AA45" i="1"/>
  <c r="Y46" i="1"/>
  <c r="Z46" i="1"/>
  <c r="AA46" i="1"/>
  <c r="Y47" i="1"/>
  <c r="Z47" i="1"/>
  <c r="AA47" i="1"/>
  <c r="Y48" i="1"/>
  <c r="Z48" i="1" s="1"/>
  <c r="AA48" i="1"/>
  <c r="Y49" i="1"/>
  <c r="Z49" i="1" s="1"/>
  <c r="AA49" i="1"/>
  <c r="Y50" i="1"/>
  <c r="Z50" i="1"/>
  <c r="AA50" i="1"/>
  <c r="Y51" i="1"/>
  <c r="Z51" i="1"/>
  <c r="AA51" i="1"/>
  <c r="Y52" i="1"/>
  <c r="Z52" i="1" s="1"/>
  <c r="AA52" i="1"/>
  <c r="Y53" i="1"/>
  <c r="Z53" i="1" s="1"/>
  <c r="AA53" i="1"/>
  <c r="Y54" i="1"/>
  <c r="Z54" i="1"/>
  <c r="AA54" i="1"/>
  <c r="Y55" i="1"/>
  <c r="Z55" i="1"/>
  <c r="AA55" i="1"/>
  <c r="Y56" i="1"/>
  <c r="Z56" i="1" s="1"/>
  <c r="AA56" i="1"/>
  <c r="Y57" i="1"/>
  <c r="Z57" i="1" s="1"/>
  <c r="AA57" i="1"/>
  <c r="Y58" i="1"/>
  <c r="Z58" i="1"/>
  <c r="AA58" i="1"/>
  <c r="Y59" i="1"/>
  <c r="Z59" i="1"/>
  <c r="AA59" i="1"/>
  <c r="Y60" i="1"/>
  <c r="Z60" i="1" s="1"/>
  <c r="AA60" i="1"/>
  <c r="Y61" i="1"/>
  <c r="Z61" i="1" s="1"/>
  <c r="AA61" i="1"/>
  <c r="Y62" i="1"/>
  <c r="Z62" i="1"/>
  <c r="AA62" i="1"/>
  <c r="Y63" i="1"/>
  <c r="Z63" i="1"/>
  <c r="AA63" i="1"/>
  <c r="Y64" i="1"/>
  <c r="Z64" i="1" s="1"/>
  <c r="AA64" i="1"/>
  <c r="Y65" i="1"/>
  <c r="Z65" i="1" s="1"/>
  <c r="AA65" i="1"/>
  <c r="Y66" i="1"/>
  <c r="Z66" i="1"/>
  <c r="AA66" i="1"/>
  <c r="Y67" i="1"/>
  <c r="Z67" i="1"/>
  <c r="AA67" i="1"/>
  <c r="Y68" i="1"/>
  <c r="Z68" i="1" s="1"/>
  <c r="AA68" i="1"/>
  <c r="Y69" i="1"/>
  <c r="Z69" i="1" s="1"/>
  <c r="AA69" i="1"/>
  <c r="Y70" i="1"/>
  <c r="Z70" i="1"/>
  <c r="AA70" i="1"/>
  <c r="Y71" i="1"/>
  <c r="Z71" i="1"/>
  <c r="AA71" i="1"/>
  <c r="Y72" i="1"/>
  <c r="Z72" i="1" s="1"/>
  <c r="AA72" i="1"/>
  <c r="Y73" i="1"/>
  <c r="Z73" i="1" s="1"/>
  <c r="AA73" i="1"/>
  <c r="Y74" i="1"/>
  <c r="Z74" i="1"/>
  <c r="AA74" i="1"/>
  <c r="Y75" i="1"/>
  <c r="Z75" i="1"/>
  <c r="AA75" i="1"/>
  <c r="Y76" i="1"/>
  <c r="Z76" i="1" s="1"/>
  <c r="AA76" i="1"/>
  <c r="Y77" i="1"/>
  <c r="Z77" i="1" s="1"/>
  <c r="AA77" i="1"/>
  <c r="Y78" i="1"/>
  <c r="Z78" i="1"/>
  <c r="AA78" i="1"/>
  <c r="Y79" i="1"/>
  <c r="Z79" i="1"/>
  <c r="AA79" i="1"/>
  <c r="Y80" i="1"/>
  <c r="Z80" i="1" s="1"/>
  <c r="AA80" i="1"/>
  <c r="Y81" i="1"/>
  <c r="Z81" i="1" s="1"/>
  <c r="AA81" i="1"/>
  <c r="Y82" i="1"/>
  <c r="Z82" i="1"/>
  <c r="AA82" i="1"/>
  <c r="Y83" i="1"/>
  <c r="Z83" i="1"/>
  <c r="AA83" i="1"/>
  <c r="Y84" i="1"/>
  <c r="Z84" i="1" s="1"/>
  <c r="AA84" i="1"/>
  <c r="Y85" i="1"/>
  <c r="Z85" i="1" s="1"/>
  <c r="AA85" i="1"/>
  <c r="Y86" i="1"/>
  <c r="Z86" i="1"/>
  <c r="AA86" i="1"/>
  <c r="Y87" i="1"/>
  <c r="Z87" i="1"/>
  <c r="AA87" i="1"/>
  <c r="Y88" i="1"/>
  <c r="Z88" i="1" s="1"/>
  <c r="AA88" i="1"/>
  <c r="Y89" i="1"/>
  <c r="Z89" i="1" s="1"/>
  <c r="AA89" i="1"/>
  <c r="Y90" i="1"/>
  <c r="Z90" i="1"/>
  <c r="AA90" i="1"/>
  <c r="Y91" i="1"/>
  <c r="Z91" i="1"/>
  <c r="AA91" i="1"/>
  <c r="Y92" i="1"/>
  <c r="Z92" i="1" s="1"/>
  <c r="AA92" i="1"/>
  <c r="Y93" i="1"/>
  <c r="Z93" i="1" s="1"/>
  <c r="AA93" i="1"/>
  <c r="Y94" i="1"/>
  <c r="Z94" i="1"/>
  <c r="AA94" i="1"/>
  <c r="Y95" i="1"/>
  <c r="Z95" i="1"/>
  <c r="AA95" i="1"/>
  <c r="Y96" i="1"/>
  <c r="Z96" i="1" s="1"/>
  <c r="AA96" i="1"/>
  <c r="Y97" i="1"/>
  <c r="Z97" i="1" s="1"/>
  <c r="AA97" i="1"/>
  <c r="Y98" i="1"/>
  <c r="Z98" i="1"/>
  <c r="AA98" i="1"/>
  <c r="Y99" i="1"/>
  <c r="Z99" i="1"/>
  <c r="AA99" i="1"/>
  <c r="Y100" i="1"/>
  <c r="Z100" i="1" s="1"/>
  <c r="AA100" i="1"/>
  <c r="Y101" i="1"/>
  <c r="Z101" i="1" s="1"/>
  <c r="AA101" i="1"/>
  <c r="Y102" i="1"/>
  <c r="Z102" i="1"/>
  <c r="AA102" i="1"/>
  <c r="Y103" i="1"/>
  <c r="Z103" i="1"/>
  <c r="AA103" i="1"/>
  <c r="Y104" i="1"/>
  <c r="Z104" i="1" s="1"/>
  <c r="AA104" i="1"/>
  <c r="Y105" i="1"/>
  <c r="Z105" i="1" s="1"/>
  <c r="AA105" i="1"/>
  <c r="Y106" i="1"/>
  <c r="Z106" i="1"/>
  <c r="AA106" i="1"/>
  <c r="Y107" i="1"/>
  <c r="Z107" i="1"/>
  <c r="AA107" i="1"/>
  <c r="Y108" i="1"/>
  <c r="Z108" i="1" s="1"/>
  <c r="AA108" i="1"/>
  <c r="Y109" i="1"/>
  <c r="Z109" i="1" s="1"/>
  <c r="AA109" i="1"/>
  <c r="Y110" i="1"/>
  <c r="Z110" i="1"/>
  <c r="AA110" i="1"/>
  <c r="Y111" i="1"/>
  <c r="Z111" i="1"/>
  <c r="AA111" i="1"/>
  <c r="Y112" i="1"/>
  <c r="Z112" i="1" s="1"/>
  <c r="AA112" i="1"/>
  <c r="Y113" i="1"/>
  <c r="Z113" i="1" s="1"/>
  <c r="AA113" i="1"/>
  <c r="Y114" i="1"/>
  <c r="Z114" i="1"/>
  <c r="AA114" i="1"/>
  <c r="Y115" i="1"/>
  <c r="Z115" i="1"/>
  <c r="AA115" i="1"/>
  <c r="Y116" i="1"/>
  <c r="Z116" i="1" s="1"/>
  <c r="AA116" i="1"/>
  <c r="Y117" i="1"/>
  <c r="Z117" i="1" s="1"/>
  <c r="AA117" i="1"/>
  <c r="Y118" i="1"/>
  <c r="Z118" i="1"/>
  <c r="AA118" i="1"/>
  <c r="Y119" i="1"/>
  <c r="Z119" i="1"/>
  <c r="AA119" i="1"/>
  <c r="Y120" i="1"/>
  <c r="Z120" i="1" s="1"/>
  <c r="AA120" i="1"/>
  <c r="Y121" i="1"/>
  <c r="Z121" i="1" s="1"/>
  <c r="AA121" i="1"/>
  <c r="Y122" i="1"/>
  <c r="Z122" i="1"/>
  <c r="AA122" i="1"/>
  <c r="Y123" i="1"/>
  <c r="Z123" i="1"/>
  <c r="AA123" i="1"/>
  <c r="Y124" i="1"/>
  <c r="Z124" i="1" s="1"/>
  <c r="AA124" i="1"/>
  <c r="Y125" i="1"/>
  <c r="Z125" i="1" s="1"/>
  <c r="AA125" i="1"/>
  <c r="Y126" i="1"/>
  <c r="Z126" i="1"/>
  <c r="AA126" i="1"/>
  <c r="Y127" i="1"/>
  <c r="Z127" i="1"/>
  <c r="AA127" i="1"/>
  <c r="Y128" i="1"/>
  <c r="Z128" i="1" s="1"/>
  <c r="AA128" i="1"/>
  <c r="Y129" i="1"/>
  <c r="Z129" i="1" s="1"/>
  <c r="AA129" i="1"/>
  <c r="Y130" i="1"/>
  <c r="Z130" i="1"/>
  <c r="AA130" i="1"/>
  <c r="Y131" i="1"/>
  <c r="Z131" i="1"/>
  <c r="AA131" i="1"/>
  <c r="Y132" i="1"/>
  <c r="Z132" i="1" s="1"/>
  <c r="AA132" i="1"/>
  <c r="Y133" i="1"/>
  <c r="Z133" i="1" s="1"/>
  <c r="AA133" i="1"/>
  <c r="Y134" i="1"/>
  <c r="Z134" i="1"/>
  <c r="AA134" i="1"/>
  <c r="Y135" i="1"/>
  <c r="AA135" i="1" s="1"/>
  <c r="Z135" i="1"/>
  <c r="Y136" i="1"/>
  <c r="Z136" i="1" s="1"/>
  <c r="AA136" i="1"/>
  <c r="Y137" i="1"/>
  <c r="Z137" i="1" s="1"/>
  <c r="AA137" i="1"/>
  <c r="Y138" i="1"/>
  <c r="Z138" i="1"/>
  <c r="AA138" i="1"/>
  <c r="Y139" i="1"/>
  <c r="Z139" i="1"/>
  <c r="AA139" i="1"/>
  <c r="Y140" i="1"/>
  <c r="Z140" i="1" s="1"/>
  <c r="AA140" i="1"/>
  <c r="Y141" i="1"/>
  <c r="Z141" i="1" s="1"/>
  <c r="AA141" i="1"/>
  <c r="Y142" i="1"/>
  <c r="Z142" i="1"/>
  <c r="AA142" i="1"/>
  <c r="Y143" i="1"/>
  <c r="AA143" i="1" s="1"/>
  <c r="Z143" i="1"/>
  <c r="Y144" i="1"/>
  <c r="Z144" i="1" s="1"/>
  <c r="AA144" i="1"/>
  <c r="Y145" i="1"/>
  <c r="Z145" i="1" s="1"/>
  <c r="AA145" i="1"/>
  <c r="Y146" i="1"/>
  <c r="Z146" i="1"/>
  <c r="AA146" i="1"/>
  <c r="Y147" i="1"/>
  <c r="AA147" i="1" s="1"/>
  <c r="Z147" i="1"/>
  <c r="Y148" i="1"/>
  <c r="Z148" i="1" s="1"/>
  <c r="AA148" i="1"/>
  <c r="Y149" i="1"/>
  <c r="Z149" i="1" s="1"/>
  <c r="AA149" i="1"/>
  <c r="Y150" i="1"/>
  <c r="Z150" i="1"/>
  <c r="AA150" i="1"/>
  <c r="Y151" i="1"/>
  <c r="AA151" i="1" s="1"/>
  <c r="Z151" i="1"/>
  <c r="Y152" i="1"/>
  <c r="Z152" i="1" s="1"/>
  <c r="AA152" i="1"/>
  <c r="Y153" i="1"/>
  <c r="Z153" i="1" s="1"/>
  <c r="AA153" i="1"/>
  <c r="Y154" i="1"/>
  <c r="Z154" i="1"/>
  <c r="AA154" i="1"/>
  <c r="Y155" i="1"/>
  <c r="AA155" i="1" s="1"/>
  <c r="Z155" i="1"/>
  <c r="Y156" i="1"/>
  <c r="Z156" i="1" s="1"/>
  <c r="AA156" i="1"/>
  <c r="Y157" i="1"/>
  <c r="Z157" i="1" s="1"/>
  <c r="AA157" i="1"/>
  <c r="Y158" i="1"/>
  <c r="Z158" i="1"/>
  <c r="AA158" i="1"/>
  <c r="Y159" i="1"/>
  <c r="AA159" i="1" s="1"/>
  <c r="Z159" i="1"/>
  <c r="Y160" i="1"/>
  <c r="Z160" i="1" s="1"/>
  <c r="AA160" i="1"/>
  <c r="Y161" i="1"/>
  <c r="Z161" i="1" s="1"/>
  <c r="AA161" i="1"/>
  <c r="Y162" i="1"/>
  <c r="Z162" i="1"/>
  <c r="AA162" i="1"/>
  <c r="Y163" i="1"/>
  <c r="AA163" i="1" s="1"/>
  <c r="Z163" i="1"/>
  <c r="Y164" i="1"/>
  <c r="Z164" i="1" s="1"/>
  <c r="AA164" i="1"/>
  <c r="Y165" i="1"/>
  <c r="Z165" i="1" s="1"/>
  <c r="AA165" i="1"/>
  <c r="Y166" i="1"/>
  <c r="Z166" i="1"/>
  <c r="AA166" i="1"/>
  <c r="Y167" i="1"/>
  <c r="AA167" i="1" s="1"/>
  <c r="Z167" i="1"/>
  <c r="Y168" i="1"/>
  <c r="Z168" i="1" s="1"/>
  <c r="AA168" i="1"/>
  <c r="Y169" i="1"/>
  <c r="Z169" i="1" s="1"/>
  <c r="AA169" i="1"/>
  <c r="Y170" i="1"/>
  <c r="Z170" i="1"/>
  <c r="AA170" i="1"/>
  <c r="Y171" i="1"/>
  <c r="AA171" i="1" s="1"/>
  <c r="Z171" i="1"/>
  <c r="Y172" i="1"/>
  <c r="Z172" i="1" s="1"/>
  <c r="AA172" i="1"/>
  <c r="Y173" i="1"/>
  <c r="Z173" i="1" s="1"/>
  <c r="AA173" i="1"/>
  <c r="Y174" i="1"/>
  <c r="Z174" i="1"/>
  <c r="AA174" i="1"/>
  <c r="Y175" i="1"/>
  <c r="AA175" i="1" s="1"/>
  <c r="Z175" i="1"/>
  <c r="Y176" i="1"/>
  <c r="Z176" i="1" s="1"/>
  <c r="AA176" i="1"/>
  <c r="Y177" i="1"/>
  <c r="Z177" i="1" s="1"/>
  <c r="AA177" i="1"/>
  <c r="Y178" i="1"/>
  <c r="Z178" i="1"/>
  <c r="AA178" i="1"/>
  <c r="Y179" i="1"/>
  <c r="AA179" i="1" s="1"/>
  <c r="Z179" i="1"/>
  <c r="Y180" i="1"/>
  <c r="Z180" i="1" s="1"/>
  <c r="AA180" i="1"/>
  <c r="Y181" i="1"/>
  <c r="Z181" i="1" s="1"/>
  <c r="AA181" i="1"/>
  <c r="Y182" i="1"/>
  <c r="Z182" i="1"/>
  <c r="AA182" i="1"/>
  <c r="Y183" i="1"/>
  <c r="AA183" i="1" s="1"/>
  <c r="Z183" i="1"/>
  <c r="Y184" i="1"/>
  <c r="Z184" i="1" s="1"/>
  <c r="AA184" i="1"/>
  <c r="Y185" i="1"/>
  <c r="Z185" i="1" s="1"/>
  <c r="AA185" i="1"/>
  <c r="Y186" i="1"/>
  <c r="Z186" i="1"/>
  <c r="AA186" i="1"/>
  <c r="Y187" i="1"/>
  <c r="AA187" i="1" s="1"/>
  <c r="Z187" i="1"/>
  <c r="Y188" i="1"/>
  <c r="Z188" i="1" s="1"/>
  <c r="AA188" i="1"/>
  <c r="Y189" i="1"/>
  <c r="Z189" i="1" s="1"/>
  <c r="AA189" i="1"/>
  <c r="Y190" i="1"/>
  <c r="Z190" i="1"/>
  <c r="AA190" i="1"/>
  <c r="Y191" i="1"/>
  <c r="AA191" i="1" s="1"/>
  <c r="Z191" i="1"/>
  <c r="Y192" i="1"/>
  <c r="Z192" i="1" s="1"/>
  <c r="AA192" i="1"/>
  <c r="Y193" i="1"/>
  <c r="Z193" i="1" s="1"/>
  <c r="AA193" i="1"/>
  <c r="Y194" i="1"/>
  <c r="Z194" i="1"/>
  <c r="AA194" i="1"/>
  <c r="Y195" i="1"/>
  <c r="AA195" i="1" s="1"/>
  <c r="Z195" i="1"/>
  <c r="Y196" i="1"/>
  <c r="Z196" i="1" s="1"/>
  <c r="AA196" i="1"/>
  <c r="Y197" i="1"/>
  <c r="Z197" i="1" s="1"/>
  <c r="AA197" i="1"/>
  <c r="Y198" i="1"/>
  <c r="Z198" i="1"/>
  <c r="AA198" i="1"/>
  <c r="Y199" i="1"/>
  <c r="AA199" i="1" s="1"/>
  <c r="Z199" i="1"/>
  <c r="Y200" i="1"/>
  <c r="Z200" i="1" s="1"/>
  <c r="AA200" i="1"/>
  <c r="Y201" i="1"/>
  <c r="Z201" i="1" s="1"/>
  <c r="AA201" i="1"/>
  <c r="Y202" i="1"/>
  <c r="Z202" i="1"/>
  <c r="AA202" i="1"/>
  <c r="Y203" i="1"/>
  <c r="AA203" i="1" s="1"/>
  <c r="Z203" i="1"/>
  <c r="Y204" i="1"/>
  <c r="Z204" i="1" s="1"/>
  <c r="AA204" i="1"/>
  <c r="Y205" i="1"/>
  <c r="Z205" i="1" s="1"/>
  <c r="AA205" i="1"/>
  <c r="Y206" i="1"/>
  <c r="Z206" i="1"/>
  <c r="AA206" i="1"/>
  <c r="Y207" i="1"/>
  <c r="AA207" i="1" s="1"/>
  <c r="Z207" i="1"/>
  <c r="Y208" i="1"/>
  <c r="Z208" i="1" s="1"/>
  <c r="AA208" i="1"/>
  <c r="Y209" i="1"/>
  <c r="Z209" i="1" s="1"/>
  <c r="AA209" i="1"/>
  <c r="Y210" i="1"/>
  <c r="Z210" i="1"/>
  <c r="AA210" i="1"/>
  <c r="Y211" i="1"/>
  <c r="AA211" i="1" s="1"/>
  <c r="Z211" i="1"/>
  <c r="Y212" i="1"/>
  <c r="Z212" i="1" s="1"/>
  <c r="AA212" i="1"/>
  <c r="Y213" i="1"/>
  <c r="Z213" i="1" s="1"/>
  <c r="AA213" i="1"/>
  <c r="Y214" i="1"/>
  <c r="Z214" i="1"/>
  <c r="AA214" i="1"/>
  <c r="Y215" i="1"/>
  <c r="AA215" i="1" s="1"/>
  <c r="Z215" i="1"/>
  <c r="Y216" i="1"/>
  <c r="Z216" i="1" s="1"/>
  <c r="AA216" i="1"/>
  <c r="Y217" i="1"/>
  <c r="Z217" i="1" s="1"/>
  <c r="AA217" i="1"/>
  <c r="Y218" i="1"/>
  <c r="Z218" i="1"/>
  <c r="AA218" i="1"/>
  <c r="Y219" i="1"/>
  <c r="AA219" i="1" s="1"/>
  <c r="Z219" i="1"/>
  <c r="Y220" i="1"/>
  <c r="Z220" i="1" s="1"/>
  <c r="AA220" i="1"/>
  <c r="Y221" i="1"/>
  <c r="Z221" i="1" s="1"/>
  <c r="AA221" i="1"/>
  <c r="Y222" i="1"/>
  <c r="Z222" i="1"/>
  <c r="AA222" i="1"/>
  <c r="Y223" i="1"/>
  <c r="AA223" i="1" s="1"/>
  <c r="Z223" i="1"/>
  <c r="Y224" i="1"/>
  <c r="Z224" i="1" s="1"/>
  <c r="AA224" i="1"/>
  <c r="Y225" i="1"/>
  <c r="Z225" i="1" s="1"/>
  <c r="AA225" i="1"/>
  <c r="Y226" i="1"/>
  <c r="Z226" i="1"/>
  <c r="AA226" i="1"/>
  <c r="Y227" i="1"/>
  <c r="AA227" i="1" s="1"/>
  <c r="Z227" i="1"/>
  <c r="Y228" i="1"/>
  <c r="Z228" i="1" s="1"/>
  <c r="AA228" i="1"/>
  <c r="Y229" i="1"/>
  <c r="Z229" i="1" s="1"/>
  <c r="AA229" i="1"/>
  <c r="Y230" i="1"/>
  <c r="Z230" i="1"/>
  <c r="AA230" i="1"/>
  <c r="Y231" i="1"/>
  <c r="AA231" i="1" s="1"/>
  <c r="Z231" i="1"/>
  <c r="Y232" i="1"/>
  <c r="Z232" i="1" s="1"/>
  <c r="AA232" i="1"/>
  <c r="Y233" i="1"/>
  <c r="Z233" i="1" s="1"/>
  <c r="AA233" i="1"/>
  <c r="AA14" i="1"/>
  <c r="AA15" i="1"/>
  <c r="AA16" i="1"/>
  <c r="AA17" i="1"/>
  <c r="AA18" i="1"/>
  <c r="AA13" i="1"/>
  <c r="Z14" i="1"/>
  <c r="Z15" i="1"/>
  <c r="Z16" i="1"/>
  <c r="Z17" i="1"/>
  <c r="Z18" i="1"/>
  <c r="Z13" i="1"/>
  <c r="Y14" i="1"/>
  <c r="Y15" i="1"/>
  <c r="Y16" i="1"/>
  <c r="Y17" i="1"/>
  <c r="Y18" i="1"/>
  <c r="Y13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S202" i="1"/>
  <c r="S184" i="1"/>
  <c r="S183" i="1"/>
  <c r="S182" i="1"/>
  <c r="S181" i="1"/>
  <c r="S180" i="1"/>
  <c r="S179" i="1"/>
  <c r="S178" i="1"/>
  <c r="S177" i="1"/>
  <c r="S176" i="1"/>
  <c r="S175" i="1"/>
  <c r="S199" i="1"/>
  <c r="S200" i="1" s="1"/>
  <c r="S201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74" i="1"/>
  <c r="S173" i="1"/>
  <c r="S172" i="1"/>
  <c r="S171" i="1"/>
  <c r="S170" i="1"/>
  <c r="S169" i="1"/>
  <c r="S162" i="1"/>
  <c r="S163" i="1" s="1"/>
  <c r="S164" i="1" s="1"/>
  <c r="S165" i="1" s="1"/>
  <c r="S166" i="1" s="1"/>
  <c r="S167" i="1" s="1"/>
  <c r="S168" i="1" s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R233" i="1"/>
  <c r="R232" i="1"/>
  <c r="R231" i="1"/>
  <c r="R230" i="1"/>
  <c r="R229" i="1"/>
  <c r="R228" i="1"/>
  <c r="R227" i="1"/>
  <c r="R226" i="1"/>
  <c r="M174" i="1"/>
  <c r="M175" i="1"/>
  <c r="M176" i="1"/>
  <c r="M177" i="1"/>
  <c r="M178" i="1"/>
  <c r="N178" i="1" s="1"/>
  <c r="M179" i="1"/>
  <c r="M180" i="1"/>
  <c r="N180" i="1" s="1"/>
  <c r="O180" i="1" s="1"/>
  <c r="M181" i="1"/>
  <c r="M182" i="1"/>
  <c r="M183" i="1"/>
  <c r="M184" i="1"/>
  <c r="M185" i="1"/>
  <c r="N185" i="1" s="1"/>
  <c r="O185" i="1" s="1"/>
  <c r="M186" i="1"/>
  <c r="M187" i="1"/>
  <c r="M188" i="1"/>
  <c r="M189" i="1"/>
  <c r="M190" i="1"/>
  <c r="N190" i="1" s="1"/>
  <c r="M191" i="1"/>
  <c r="M192" i="1"/>
  <c r="N192" i="1" s="1"/>
  <c r="O192" i="1" s="1"/>
  <c r="M193" i="1"/>
  <c r="M194" i="1"/>
  <c r="M195" i="1"/>
  <c r="M196" i="1"/>
  <c r="M197" i="1"/>
  <c r="N197" i="1" s="1"/>
  <c r="O197" i="1" s="1"/>
  <c r="M198" i="1"/>
  <c r="M199" i="1"/>
  <c r="M200" i="1"/>
  <c r="M201" i="1"/>
  <c r="M202" i="1"/>
  <c r="N202" i="1" s="1"/>
  <c r="M203" i="1"/>
  <c r="M204" i="1"/>
  <c r="N204" i="1" s="1"/>
  <c r="O204" i="1" s="1"/>
  <c r="M205" i="1"/>
  <c r="M206" i="1"/>
  <c r="M207" i="1"/>
  <c r="M208" i="1"/>
  <c r="M209" i="1"/>
  <c r="N209" i="1" s="1"/>
  <c r="O209" i="1" s="1"/>
  <c r="M210" i="1"/>
  <c r="M211" i="1"/>
  <c r="M212" i="1"/>
  <c r="M213" i="1"/>
  <c r="M214" i="1"/>
  <c r="N214" i="1" s="1"/>
  <c r="M215" i="1"/>
  <c r="M216" i="1"/>
  <c r="N216" i="1" s="1"/>
  <c r="O216" i="1" s="1"/>
  <c r="M217" i="1"/>
  <c r="M218" i="1"/>
  <c r="M219" i="1"/>
  <c r="M220" i="1"/>
  <c r="M221" i="1"/>
  <c r="N221" i="1" s="1"/>
  <c r="O221" i="1" s="1"/>
  <c r="M222" i="1"/>
  <c r="M223" i="1"/>
  <c r="M224" i="1"/>
  <c r="M225" i="1"/>
  <c r="M226" i="1"/>
  <c r="N226" i="1" s="1"/>
  <c r="M227" i="1"/>
  <c r="M228" i="1"/>
  <c r="N228" i="1" s="1"/>
  <c r="O228" i="1" s="1"/>
  <c r="M229" i="1"/>
  <c r="M230" i="1"/>
  <c r="M231" i="1"/>
  <c r="M232" i="1"/>
  <c r="M233" i="1"/>
  <c r="N233" i="1" s="1"/>
  <c r="O233" i="1" s="1"/>
  <c r="M173" i="1"/>
  <c r="N173" i="1" s="1"/>
  <c r="O173" i="1" s="1"/>
  <c r="N174" i="1"/>
  <c r="N175" i="1"/>
  <c r="O175" i="1" s="1"/>
  <c r="N176" i="1"/>
  <c r="N177" i="1"/>
  <c r="N179" i="1"/>
  <c r="N181" i="1"/>
  <c r="N182" i="1"/>
  <c r="O182" i="1" s="1"/>
  <c r="N183" i="1"/>
  <c r="O183" i="1" s="1"/>
  <c r="N184" i="1"/>
  <c r="N186" i="1"/>
  <c r="N187" i="1"/>
  <c r="O187" i="1" s="1"/>
  <c r="N188" i="1"/>
  <c r="O188" i="1" s="1"/>
  <c r="N189" i="1"/>
  <c r="O189" i="1" s="1"/>
  <c r="N191" i="1"/>
  <c r="N193" i="1"/>
  <c r="N194" i="1"/>
  <c r="O194" i="1" s="1"/>
  <c r="N195" i="1"/>
  <c r="O195" i="1" s="1"/>
  <c r="N196" i="1"/>
  <c r="N198" i="1"/>
  <c r="N199" i="1"/>
  <c r="N200" i="1"/>
  <c r="O200" i="1" s="1"/>
  <c r="N201" i="1"/>
  <c r="O201" i="1" s="1"/>
  <c r="N203" i="1"/>
  <c r="N205" i="1"/>
  <c r="O205" i="1" s="1"/>
  <c r="N206" i="1"/>
  <c r="O206" i="1" s="1"/>
  <c r="N207" i="1"/>
  <c r="O207" i="1" s="1"/>
  <c r="N208" i="1"/>
  <c r="N210" i="1"/>
  <c r="N211" i="1"/>
  <c r="O211" i="1" s="1"/>
  <c r="N212" i="1"/>
  <c r="N213" i="1"/>
  <c r="N215" i="1"/>
  <c r="N217" i="1"/>
  <c r="N218" i="1"/>
  <c r="O218" i="1" s="1"/>
  <c r="N219" i="1"/>
  <c r="O219" i="1" s="1"/>
  <c r="N220" i="1"/>
  <c r="N222" i="1"/>
  <c r="N223" i="1"/>
  <c r="O223" i="1" s="1"/>
  <c r="N224" i="1"/>
  <c r="O224" i="1" s="1"/>
  <c r="N225" i="1"/>
  <c r="O225" i="1" s="1"/>
  <c r="N227" i="1"/>
  <c r="N229" i="1"/>
  <c r="N230" i="1"/>
  <c r="O230" i="1" s="1"/>
  <c r="N231" i="1"/>
  <c r="O231" i="1" s="1"/>
  <c r="N232" i="1"/>
  <c r="N10" i="1"/>
  <c r="N11" i="1"/>
  <c r="N12" i="1"/>
  <c r="N13" i="1"/>
  <c r="O13" i="1" s="1"/>
  <c r="N14" i="1"/>
  <c r="O14" i="1" s="1"/>
  <c r="N15" i="1"/>
  <c r="O15" i="1" s="1"/>
  <c r="N16" i="1"/>
  <c r="N17" i="1"/>
  <c r="N18" i="1"/>
  <c r="N19" i="1"/>
  <c r="O19" i="1" s="1"/>
  <c r="N20" i="1"/>
  <c r="O20" i="1" s="1"/>
  <c r="N21" i="1"/>
  <c r="O21" i="1" s="1"/>
  <c r="N22" i="1"/>
  <c r="N23" i="1"/>
  <c r="N24" i="1"/>
  <c r="N25" i="1"/>
  <c r="O25" i="1" s="1"/>
  <c r="N26" i="1"/>
  <c r="O26" i="1" s="1"/>
  <c r="N27" i="1"/>
  <c r="O27" i="1" s="1"/>
  <c r="N28" i="1"/>
  <c r="N29" i="1"/>
  <c r="N30" i="1"/>
  <c r="N31" i="1"/>
  <c r="O31" i="1" s="1"/>
  <c r="N32" i="1"/>
  <c r="O32" i="1" s="1"/>
  <c r="N33" i="1"/>
  <c r="O33" i="1" s="1"/>
  <c r="N34" i="1"/>
  <c r="N35" i="1"/>
  <c r="N36" i="1"/>
  <c r="N37" i="1"/>
  <c r="O37" i="1" s="1"/>
  <c r="N38" i="1"/>
  <c r="O38" i="1" s="1"/>
  <c r="N39" i="1"/>
  <c r="O39" i="1" s="1"/>
  <c r="N40" i="1"/>
  <c r="N41" i="1"/>
  <c r="N42" i="1"/>
  <c r="N43" i="1"/>
  <c r="O43" i="1" s="1"/>
  <c r="N44" i="1"/>
  <c r="O44" i="1" s="1"/>
  <c r="N45" i="1"/>
  <c r="O45" i="1" s="1"/>
  <c r="N46" i="1"/>
  <c r="N47" i="1"/>
  <c r="N48" i="1"/>
  <c r="N49" i="1"/>
  <c r="O49" i="1" s="1"/>
  <c r="N50" i="1"/>
  <c r="O50" i="1" s="1"/>
  <c r="N51" i="1"/>
  <c r="O51" i="1" s="1"/>
  <c r="N52" i="1"/>
  <c r="N53" i="1"/>
  <c r="N54" i="1"/>
  <c r="N55" i="1"/>
  <c r="O55" i="1" s="1"/>
  <c r="N56" i="1"/>
  <c r="O56" i="1" s="1"/>
  <c r="N57" i="1"/>
  <c r="O57" i="1" s="1"/>
  <c r="N58" i="1"/>
  <c r="N59" i="1"/>
  <c r="N60" i="1"/>
  <c r="N61" i="1"/>
  <c r="O61" i="1" s="1"/>
  <c r="N62" i="1"/>
  <c r="O62" i="1" s="1"/>
  <c r="N63" i="1"/>
  <c r="O63" i="1" s="1"/>
  <c r="N64" i="1"/>
  <c r="N65" i="1"/>
  <c r="N66" i="1"/>
  <c r="N67" i="1"/>
  <c r="O67" i="1" s="1"/>
  <c r="N68" i="1"/>
  <c r="O68" i="1" s="1"/>
  <c r="N69" i="1"/>
  <c r="O69" i="1" s="1"/>
  <c r="N70" i="1"/>
  <c r="N71" i="1"/>
  <c r="N72" i="1"/>
  <c r="N73" i="1"/>
  <c r="O73" i="1" s="1"/>
  <c r="N74" i="1"/>
  <c r="O74" i="1" s="1"/>
  <c r="N75" i="1"/>
  <c r="O75" i="1" s="1"/>
  <c r="N76" i="1"/>
  <c r="N77" i="1"/>
  <c r="N78" i="1"/>
  <c r="N79" i="1"/>
  <c r="O79" i="1" s="1"/>
  <c r="N80" i="1"/>
  <c r="O80" i="1" s="1"/>
  <c r="N81" i="1"/>
  <c r="O81" i="1" s="1"/>
  <c r="N82" i="1"/>
  <c r="N83" i="1"/>
  <c r="N84" i="1"/>
  <c r="N85" i="1"/>
  <c r="O85" i="1" s="1"/>
  <c r="N86" i="1"/>
  <c r="O86" i="1" s="1"/>
  <c r="N87" i="1"/>
  <c r="O87" i="1" s="1"/>
  <c r="N88" i="1"/>
  <c r="N89" i="1"/>
  <c r="N90" i="1"/>
  <c r="N91" i="1"/>
  <c r="O91" i="1" s="1"/>
  <c r="N92" i="1"/>
  <c r="O92" i="1" s="1"/>
  <c r="N93" i="1"/>
  <c r="O93" i="1" s="1"/>
  <c r="N94" i="1"/>
  <c r="N95" i="1"/>
  <c r="N96" i="1"/>
  <c r="N97" i="1"/>
  <c r="O97" i="1" s="1"/>
  <c r="N98" i="1"/>
  <c r="O98" i="1" s="1"/>
  <c r="N99" i="1"/>
  <c r="O99" i="1" s="1"/>
  <c r="N100" i="1"/>
  <c r="N101" i="1"/>
  <c r="N102" i="1"/>
  <c r="N103" i="1"/>
  <c r="O103" i="1" s="1"/>
  <c r="N104" i="1"/>
  <c r="O104" i="1" s="1"/>
  <c r="N105" i="1"/>
  <c r="O105" i="1" s="1"/>
  <c r="N106" i="1"/>
  <c r="N107" i="1"/>
  <c r="N108" i="1"/>
  <c r="N109" i="1"/>
  <c r="O109" i="1" s="1"/>
  <c r="N110" i="1"/>
  <c r="O110" i="1" s="1"/>
  <c r="N111" i="1"/>
  <c r="O111" i="1" s="1"/>
  <c r="N112" i="1"/>
  <c r="N113" i="1"/>
  <c r="N114" i="1"/>
  <c r="N115" i="1"/>
  <c r="O115" i="1" s="1"/>
  <c r="N116" i="1"/>
  <c r="O116" i="1" s="1"/>
  <c r="N117" i="1"/>
  <c r="O117" i="1" s="1"/>
  <c r="N118" i="1"/>
  <c r="N119" i="1"/>
  <c r="N120" i="1"/>
  <c r="N121" i="1"/>
  <c r="O121" i="1" s="1"/>
  <c r="N122" i="1"/>
  <c r="O122" i="1" s="1"/>
  <c r="N123" i="1"/>
  <c r="O123" i="1" s="1"/>
  <c r="N124" i="1"/>
  <c r="N125" i="1"/>
  <c r="N126" i="1"/>
  <c r="N127" i="1"/>
  <c r="O127" i="1" s="1"/>
  <c r="N128" i="1"/>
  <c r="O128" i="1" s="1"/>
  <c r="N129" i="1"/>
  <c r="O129" i="1" s="1"/>
  <c r="N130" i="1"/>
  <c r="N131" i="1"/>
  <c r="N132" i="1"/>
  <c r="N133" i="1"/>
  <c r="O133" i="1" s="1"/>
  <c r="N134" i="1"/>
  <c r="O134" i="1" s="1"/>
  <c r="N135" i="1"/>
  <c r="O135" i="1" s="1"/>
  <c r="N136" i="1"/>
  <c r="N137" i="1"/>
  <c r="N138" i="1"/>
  <c r="N139" i="1"/>
  <c r="O139" i="1" s="1"/>
  <c r="N140" i="1"/>
  <c r="O140" i="1" s="1"/>
  <c r="N141" i="1"/>
  <c r="O141" i="1" s="1"/>
  <c r="N142" i="1"/>
  <c r="N143" i="1"/>
  <c r="N144" i="1"/>
  <c r="N145" i="1"/>
  <c r="O145" i="1" s="1"/>
  <c r="N146" i="1"/>
  <c r="O146" i="1" s="1"/>
  <c r="N147" i="1"/>
  <c r="O147" i="1" s="1"/>
  <c r="N148" i="1"/>
  <c r="N149" i="1"/>
  <c r="N150" i="1"/>
  <c r="N151" i="1"/>
  <c r="O151" i="1" s="1"/>
  <c r="N152" i="1"/>
  <c r="O152" i="1" s="1"/>
  <c r="N153" i="1"/>
  <c r="O29" i="1" s="1"/>
  <c r="N154" i="1"/>
  <c r="N155" i="1"/>
  <c r="N156" i="1"/>
  <c r="N157" i="1"/>
  <c r="O157" i="1" s="1"/>
  <c r="N158" i="1"/>
  <c r="O158" i="1" s="1"/>
  <c r="N159" i="1"/>
  <c r="O159" i="1" s="1"/>
  <c r="N160" i="1"/>
  <c r="N161" i="1"/>
  <c r="N162" i="1"/>
  <c r="N163" i="1"/>
  <c r="O163" i="1" s="1"/>
  <c r="N164" i="1"/>
  <c r="O164" i="1" s="1"/>
  <c r="N165" i="1"/>
  <c r="O165" i="1" s="1"/>
  <c r="N166" i="1"/>
  <c r="N167" i="1"/>
  <c r="N168" i="1"/>
  <c r="N169" i="1"/>
  <c r="O169" i="1" s="1"/>
  <c r="N170" i="1"/>
  <c r="O170" i="1" s="1"/>
  <c r="N171" i="1"/>
  <c r="O171" i="1" s="1"/>
  <c r="N172" i="1"/>
  <c r="O176" i="1"/>
  <c r="O177" i="1"/>
  <c r="O181" i="1"/>
  <c r="O193" i="1"/>
  <c r="O199" i="1"/>
  <c r="O212" i="1"/>
  <c r="O213" i="1"/>
  <c r="O217" i="1"/>
  <c r="O229" i="1"/>
  <c r="N9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3" i="1"/>
  <c r="E9" i="1"/>
  <c r="O12" i="1"/>
  <c r="O18" i="1"/>
  <c r="O24" i="1"/>
  <c r="O30" i="1"/>
  <c r="O36" i="1"/>
  <c r="O42" i="1"/>
  <c r="O48" i="1"/>
  <c r="O54" i="1"/>
  <c r="O60" i="1"/>
  <c r="O66" i="1"/>
  <c r="O72" i="1"/>
  <c r="O78" i="1"/>
  <c r="O84" i="1"/>
  <c r="O90" i="1"/>
  <c r="O96" i="1"/>
  <c r="O102" i="1"/>
  <c r="O108" i="1"/>
  <c r="O114" i="1"/>
  <c r="O120" i="1"/>
  <c r="O126" i="1"/>
  <c r="O132" i="1"/>
  <c r="O138" i="1"/>
  <c r="O144" i="1"/>
  <c r="O150" i="1"/>
  <c r="O156" i="1"/>
  <c r="O161" i="1"/>
  <c r="O162" i="1"/>
  <c r="O168" i="1"/>
  <c r="O174" i="1"/>
  <c r="O186" i="1"/>
  <c r="O198" i="1"/>
  <c r="O210" i="1"/>
  <c r="O222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9" i="1"/>
  <c r="O215" i="1" l="1"/>
  <c r="O35" i="1"/>
  <c r="O34" i="1"/>
  <c r="O153" i="1"/>
  <c r="O9" i="1"/>
  <c r="E6" i="1" s="1"/>
  <c r="I6" i="1" s="1"/>
  <c r="O191" i="1"/>
  <c r="O23" i="1"/>
  <c r="O226" i="1"/>
  <c r="O22" i="1"/>
  <c r="O227" i="1"/>
  <c r="O203" i="1"/>
  <c r="O179" i="1"/>
  <c r="O167" i="1"/>
  <c r="O155" i="1"/>
  <c r="O143" i="1"/>
  <c r="O131" i="1"/>
  <c r="O119" i="1"/>
  <c r="O107" i="1"/>
  <c r="O95" i="1"/>
  <c r="O83" i="1"/>
  <c r="O71" i="1"/>
  <c r="O59" i="1"/>
  <c r="O47" i="1"/>
  <c r="O11" i="1"/>
  <c r="O214" i="1"/>
  <c r="O202" i="1"/>
  <c r="O190" i="1"/>
  <c r="O178" i="1"/>
  <c r="O166" i="1"/>
  <c r="O154" i="1"/>
  <c r="O142" i="1"/>
  <c r="O130" i="1"/>
  <c r="O118" i="1"/>
  <c r="O106" i="1"/>
  <c r="O94" i="1"/>
  <c r="O82" i="1"/>
  <c r="O70" i="1"/>
  <c r="O58" i="1"/>
  <c r="O46" i="1"/>
  <c r="O10" i="1"/>
  <c r="O149" i="1"/>
  <c r="O101" i="1"/>
  <c r="O65" i="1"/>
  <c r="O17" i="1"/>
  <c r="O232" i="1"/>
  <c r="O220" i="1"/>
  <c r="O208" i="1"/>
  <c r="O196" i="1"/>
  <c r="O184" i="1"/>
  <c r="O172" i="1"/>
  <c r="O160" i="1"/>
  <c r="O148" i="1"/>
  <c r="O136" i="1"/>
  <c r="O124" i="1"/>
  <c r="O112" i="1"/>
  <c r="O100" i="1"/>
  <c r="O88" i="1"/>
  <c r="O76" i="1"/>
  <c r="O64" i="1"/>
  <c r="O52" i="1"/>
  <c r="O40" i="1"/>
  <c r="O28" i="1"/>
  <c r="O16" i="1"/>
  <c r="O137" i="1"/>
  <c r="O89" i="1"/>
  <c r="O41" i="1"/>
  <c r="O113" i="1"/>
  <c r="O53" i="1"/>
  <c r="O125" i="1"/>
  <c r="O77" i="1"/>
  <c r="E3" i="1" l="1"/>
  <c r="I3" i="1" s="1"/>
  <c r="E4" i="1"/>
  <c r="I4" i="1" s="1"/>
  <c r="E7" i="1"/>
  <c r="I7" i="1" s="1"/>
  <c r="E5" i="1"/>
  <c r="I5" i="1" s="1"/>
  <c r="E8" i="1"/>
  <c r="I8" i="1" s="1"/>
  <c r="AB23" i="1" l="1"/>
  <c r="AB33" i="1"/>
  <c r="AB152" i="1"/>
  <c r="AB140" i="1"/>
  <c r="AB128" i="1"/>
  <c r="AB116" i="1"/>
  <c r="AB104" i="1"/>
  <c r="AB92" i="1"/>
  <c r="AB80" i="1"/>
  <c r="AB68" i="1"/>
  <c r="AB56" i="1"/>
  <c r="AB44" i="1"/>
  <c r="AB32" i="1"/>
  <c r="AB131" i="1"/>
  <c r="AB107" i="1"/>
  <c r="AB83" i="1"/>
  <c r="AB35" i="1"/>
  <c r="AB154" i="1"/>
  <c r="AB130" i="1"/>
  <c r="AB106" i="1"/>
  <c r="AB94" i="1"/>
  <c r="AB70" i="1"/>
  <c r="AB46" i="1"/>
  <c r="AB189" i="1"/>
  <c r="AB141" i="1"/>
  <c r="AB129" i="1"/>
  <c r="AB117" i="1"/>
  <c r="AB105" i="1"/>
  <c r="AB93" i="1"/>
  <c r="AB81" i="1"/>
  <c r="AB69" i="1"/>
  <c r="AB57" i="1"/>
  <c r="AB45" i="1"/>
  <c r="AB151" i="1"/>
  <c r="AB139" i="1"/>
  <c r="AB127" i="1"/>
  <c r="AB115" i="1"/>
  <c r="AB103" i="1"/>
  <c r="AB91" i="1"/>
  <c r="AB79" i="1"/>
  <c r="AB67" i="1"/>
  <c r="AB55" i="1"/>
  <c r="AB43" i="1"/>
  <c r="AB31" i="1"/>
  <c r="AB191" i="1"/>
  <c r="AB143" i="1"/>
  <c r="AB119" i="1"/>
  <c r="AB95" i="1"/>
  <c r="AB71" i="1"/>
  <c r="AB47" i="1"/>
  <c r="AB190" i="1"/>
  <c r="AB142" i="1"/>
  <c r="AB118" i="1"/>
  <c r="AB82" i="1"/>
  <c r="AB58" i="1"/>
  <c r="AB34" i="1"/>
  <c r="AB198" i="1"/>
  <c r="AB150" i="1"/>
  <c r="AB138" i="1"/>
  <c r="AB126" i="1"/>
  <c r="AB114" i="1"/>
  <c r="AB102" i="1"/>
  <c r="AB90" i="1"/>
  <c r="AB78" i="1"/>
  <c r="AB66" i="1"/>
  <c r="AB54" i="1"/>
  <c r="AB42" i="1"/>
  <c r="AB30" i="1"/>
  <c r="AB197" i="1"/>
  <c r="AB149" i="1"/>
  <c r="AB137" i="1"/>
  <c r="AB125" i="1"/>
  <c r="AB113" i="1"/>
  <c r="AB101" i="1"/>
  <c r="AB89" i="1"/>
  <c r="AB77" i="1"/>
  <c r="AB65" i="1"/>
  <c r="AB53" i="1"/>
  <c r="AB41" i="1"/>
  <c r="AB29" i="1"/>
  <c r="AB59" i="1"/>
  <c r="AB196" i="1"/>
  <c r="AB148" i="1"/>
  <c r="AB136" i="1"/>
  <c r="AB124" i="1"/>
  <c r="AB112" i="1"/>
  <c r="AB100" i="1"/>
  <c r="AB88" i="1"/>
  <c r="AB76" i="1"/>
  <c r="AB64" i="1"/>
  <c r="AB52" i="1"/>
  <c r="AB40" i="1"/>
  <c r="AB28" i="1"/>
  <c r="AB195" i="1"/>
  <c r="AB147" i="1"/>
  <c r="AB135" i="1"/>
  <c r="AB123" i="1"/>
  <c r="AB111" i="1"/>
  <c r="AB99" i="1"/>
  <c r="AB87" i="1"/>
  <c r="AB75" i="1"/>
  <c r="AB63" i="1"/>
  <c r="AB51" i="1"/>
  <c r="AB39" i="1"/>
  <c r="AB27" i="1"/>
  <c r="AB194" i="1"/>
  <c r="AB146" i="1"/>
  <c r="AB134" i="1"/>
  <c r="AB122" i="1"/>
  <c r="AB110" i="1"/>
  <c r="AB98" i="1"/>
  <c r="AB86" i="1"/>
  <c r="AB74" i="1"/>
  <c r="AB62" i="1"/>
  <c r="AB50" i="1"/>
  <c r="AB26" i="1"/>
  <c r="AB193" i="1"/>
  <c r="AB145" i="1"/>
  <c r="AB133" i="1"/>
  <c r="AB121" i="1"/>
  <c r="AB109" i="1"/>
  <c r="AB97" i="1"/>
  <c r="AB85" i="1"/>
  <c r="AB73" i="1"/>
  <c r="AB61" i="1"/>
  <c r="AB49" i="1"/>
  <c r="AB37" i="1"/>
  <c r="AB25" i="1"/>
  <c r="AB38" i="1"/>
  <c r="AB192" i="1"/>
  <c r="AB144" i="1"/>
  <c r="AB132" i="1"/>
  <c r="AB120" i="1"/>
  <c r="AB108" i="1"/>
  <c r="AB96" i="1"/>
  <c r="AB84" i="1"/>
  <c r="AB72" i="1"/>
  <c r="AB60" i="1"/>
  <c r="AB48" i="1"/>
  <c r="AB36" i="1"/>
  <c r="AB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Nicholas C Anderson</author>
    <author>Anwar Shaikh</author>
  </authors>
  <commentList>
    <comment ref="Q1" authorId="0" shapeId="0" xr:uid="{4A09A1CE-15BF-46E4-99BA-F615D8186DEA}">
      <text>
        <r>
          <rPr>
            <b/>
            <sz val="9"/>
            <color indexed="81"/>
            <rFont val="Tahoma"/>
            <family val="2"/>
          </rPr>
          <t>shaikh:</t>
        </r>
        <r>
          <rPr>
            <sz val="9"/>
            <color indexed="81"/>
            <rFont val="Tahoma"/>
            <family val="2"/>
          </rPr>
          <t xml:space="preserve">
Taken from MacroHistory Data Base, monthly, and converted to annual via Eviews files. See UKWPI1885_1951monthly.xls, and UKWPI1885_1951monthly.wf1 and UKWPI1885_1951annual.wf1</t>
        </r>
      </text>
    </comment>
    <comment ref="G2" authorId="0" shapeId="0" xr:uid="{73031C49-CEA1-4397-AC53-6A65450A1E37}">
      <text>
        <r>
          <rPr>
            <b/>
            <sz val="9"/>
            <color indexed="81"/>
            <rFont val="Tahoma"/>
            <family val="2"/>
          </rPr>
          <t>shaikh:</t>
        </r>
        <r>
          <rPr>
            <sz val="9"/>
            <color indexed="81"/>
            <rFont val="Tahoma"/>
            <family val="2"/>
          </rPr>
          <t xml:space="preserve">
1800-1976, Jastram, Roy (1977), The Golden Constant: The English and American Experience, 1560-1976, John Wiley and Sons, Inc., New York: Table 7, pp. 145-46. Note that 
WPI corresponds to all commodities, not just finished goods. BLS does not seem to produce "All commodities" any more? See BLS site, methods, ch 14.</t>
        </r>
      </text>
    </comment>
    <comment ref="S2" authorId="0" shapeId="0" xr:uid="{7B42BD24-377D-4D96-83F7-30EF87214E66}">
      <text>
        <r>
          <rPr>
            <b/>
            <sz val="9"/>
            <color indexed="81"/>
            <rFont val="Tahoma"/>
            <family val="2"/>
          </rPr>
          <t>shaikh:</t>
        </r>
        <r>
          <rPr>
            <sz val="9"/>
            <color indexed="81"/>
            <rFont val="Tahoma"/>
            <family val="2"/>
          </rPr>
          <t xml:space="preserve">
1800-1976, Jastram, Roy (1977), The Golden Constant: The English and American Experience, 1560-1976, John Wiley and Sons, Inc., New York: Table 2, pp. 30-33</t>
        </r>
      </text>
    </comment>
    <comment ref="A3" authorId="1" shapeId="0" xr:uid="{78D3A209-91AF-4508-AC8F-9B9332C162DE}">
      <text>
        <r>
          <rPr>
            <b/>
            <sz val="8"/>
            <color indexed="81"/>
            <rFont val="Tahoma"/>
            <family val="2"/>
          </rPr>
          <t>Anwar Shaikh:</t>
        </r>
        <r>
          <rPr>
            <sz val="8"/>
            <color indexed="81"/>
            <rFont val="Tahoma"/>
            <family val="2"/>
          </rPr>
          <t xml:space="preserve">
KONDRATIEFF'S FAMOUS PRICE CHART BEGINS IN 1780, SO I HAVE USED THE SAME STARTING POINT (KONDRATIEFF, LONG WAVE CYCLE, 1984, CHART 1, p. 39)</t>
        </r>
      </text>
    </comment>
    <comment ref="B3" authorId="0" shapeId="0" xr:uid="{1175D37B-1136-4BF1-8439-61E09949EE4A}">
      <text>
        <r>
          <rPr>
            <b/>
            <sz val="9"/>
            <color indexed="81"/>
            <rFont val="Tahoma"/>
            <charset val="1"/>
          </rPr>
          <t xml:space="preserve">Anwar Shaikh:
</t>
        </r>
        <r>
          <rPr>
            <sz val="9"/>
            <color indexed="81"/>
            <rFont val="Tahoma"/>
            <family val="2"/>
          </rPr>
          <t>For 1780-1785, from Sahr, http://oregonstate.edu/cla/polisci/download-conversion-factors</t>
        </r>
      </text>
    </comment>
    <comment ref="E3" authorId="0" shapeId="0" xr:uid="{85D050F4-B852-46E3-811D-E3F33F950973}">
      <text>
        <r>
          <rPr>
            <b/>
            <sz val="9"/>
            <color indexed="81"/>
            <rFont val="Tahoma"/>
            <family val="2"/>
          </rPr>
          <t xml:space="preserve">Anwar Shaikh:
</t>
        </r>
        <r>
          <rPr>
            <sz val="9"/>
            <color indexed="81"/>
            <rFont val="Tahoma"/>
            <family val="2"/>
          </rPr>
          <t>Estimated using UK gold price and 1786 UK/UK gold price ratio</t>
        </r>
      </text>
    </comment>
    <comment ref="G3" authorId="0" shapeId="0" xr:uid="{56C43586-454F-4B9B-9247-E30A14402E1C}">
      <text>
        <r>
          <rPr>
            <b/>
            <sz val="9"/>
            <color indexed="81"/>
            <rFont val="Tahoma"/>
            <family val="2"/>
          </rPr>
          <t>Anwar Shaikh:</t>
        </r>
        <r>
          <rPr>
            <sz val="9"/>
            <color indexed="81"/>
            <rFont val="Tahoma"/>
            <family val="2"/>
          </rPr>
          <t xml:space="preserve">
1786-1790 using CPI and 1790 ratio of WPI/CPI </t>
        </r>
      </text>
    </comment>
    <comment ref="O3" authorId="0" shapeId="0" xr:uid="{0152BC71-8AAE-4711-80AA-67374DE93E57}">
      <text>
        <r>
          <rPr>
            <b/>
            <sz val="9"/>
            <color indexed="81"/>
            <rFont val="Tahoma"/>
            <family val="2"/>
          </rPr>
          <t xml:space="preserve">Anwar Shaikh:
</t>
        </r>
        <r>
          <rPr>
            <sz val="9"/>
            <color indexed="81"/>
            <rFont val="Tahoma"/>
            <family val="2"/>
          </rPr>
          <t>1780-1785 from Jastram, Golden Constant, Table 2, p. 30</t>
        </r>
      </text>
    </comment>
    <comment ref="G9" authorId="0" shapeId="0" xr:uid="{5A9E0FE9-7C1B-4B82-870C-9FAAA6120025}">
      <text>
        <r>
          <rPr>
            <b/>
            <sz val="9"/>
            <color indexed="81"/>
            <rFont val="Tahoma"/>
            <family val="2"/>
          </rPr>
          <t xml:space="preserve">Anwar Shaikh:
</t>
        </r>
        <r>
          <rPr>
            <sz val="9"/>
            <color indexed="81"/>
            <rFont val="Tahoma"/>
            <family val="2"/>
          </rPr>
          <t xml:space="preserve">1786-1790 using CPI and 1790 ratio of WPI/CPI </t>
        </r>
      </text>
    </comment>
    <comment ref="AJ48" authorId="0" shapeId="0" xr:uid="{97108A75-E75D-4E55-BB4D-D964DBB2145F}">
      <text>
        <r>
          <rPr>
            <b/>
            <sz val="9"/>
            <color indexed="81"/>
            <rFont val="Tahoma"/>
            <family val="2"/>
          </rPr>
          <t xml:space="preserve">Anwar Shaikh:
</t>
        </r>
        <r>
          <rPr>
            <sz val="9"/>
            <color indexed="81"/>
            <rFont val="Tahoma"/>
            <family val="2"/>
          </rPr>
          <t>"first real industrial crisis", pp. 16-18</t>
        </r>
      </text>
    </comment>
    <comment ref="AJ70" authorId="0" shapeId="0" xr:uid="{AF6621A3-DD2F-41A2-A366-AAD596456D76}">
      <text>
        <r>
          <rPr>
            <b/>
            <sz val="9"/>
            <color indexed="81"/>
            <rFont val="Tahoma"/>
            <family val="2"/>
          </rPr>
          <t>Anwar Shaikh:</t>
        </r>
        <r>
          <rPr>
            <sz val="9"/>
            <color indexed="81"/>
            <rFont val="Tahoma"/>
            <family val="2"/>
          </rPr>
          <t xml:space="preserve">
1847-1853
Flamant .. pp. 21-23</t>
        </r>
      </text>
    </comment>
    <comment ref="AJ96" authorId="0" shapeId="0" xr:uid="{17B5694E-FE86-4AB1-8223-3401E3802513}">
      <text>
        <r>
          <rPr>
            <b/>
            <sz val="9"/>
            <color indexed="81"/>
            <rFont val="Tahoma"/>
            <family val="2"/>
          </rPr>
          <t xml:space="preserve">Anwar Shaikh:
</t>
        </r>
        <r>
          <rPr>
            <sz val="9"/>
            <color indexed="81"/>
            <rFont val="Tahoma"/>
            <family val="2"/>
          </rPr>
          <t>"Long Depression" see ...</t>
        </r>
      </text>
    </comment>
    <comment ref="AC153" authorId="0" shapeId="0" xr:uid="{A7094769-DA01-4093-B3A0-CBE2D798502A}">
      <text>
        <r>
          <rPr>
            <b/>
            <sz val="9"/>
            <color indexed="81"/>
            <rFont val="Tahoma"/>
            <family val="2"/>
          </rPr>
          <t xml:space="preserve">Fujitsu:
</t>
        </r>
        <r>
          <rPr>
            <sz val="9"/>
            <color indexed="81"/>
            <rFont val="Tahoma"/>
            <family val="2"/>
          </rPr>
          <t>3 pounds 17 s 10.5, in Golden Constant, Jastrow, p. 50</t>
        </r>
      </text>
    </comment>
    <comment ref="P162" authorId="0" shapeId="0" xr:uid="{01B6645E-8751-4402-8419-0C82BC9D6089}">
      <text>
        <r>
          <rPr>
            <b/>
            <sz val="9"/>
            <color indexed="81"/>
            <rFont val="Tahoma"/>
            <family val="2"/>
          </rPr>
          <t xml:space="preserve">Anwar Shaikh:
</t>
        </r>
        <r>
          <rPr>
            <sz val="9"/>
            <color indexed="81"/>
            <rFont val="Tahoma"/>
            <family val="2"/>
          </rPr>
          <t>1939-45 is missing in Jastram</t>
        </r>
      </text>
    </comment>
    <comment ref="H199" authorId="0" shapeId="0" xr:uid="{D1B64ED6-9C82-400C-84FE-DBD9628EAC6C}">
      <text>
        <r>
          <rPr>
            <b/>
            <sz val="9"/>
            <color indexed="81"/>
            <rFont val="Tahoma"/>
            <family val="2"/>
          </rPr>
          <t xml:space="preserve">Anwar Shaikh:
</t>
        </r>
        <r>
          <rPr>
            <sz val="9"/>
            <color indexed="81"/>
            <rFont val="Tahoma"/>
            <family val="2"/>
          </rPr>
          <t>Series Id:  WPU00000000, BLS website, PPI, All Commodities</t>
        </r>
      </text>
    </comment>
    <comment ref="R226" authorId="0" shapeId="0" xr:uid="{A5412A90-523B-4E67-B1A3-BDBDE6CC5617}">
      <text>
        <r>
          <rPr>
            <b/>
            <sz val="9"/>
            <color indexed="81"/>
            <rFont val="Tahoma"/>
            <family val="2"/>
          </rPr>
          <t xml:space="preserve">shaikh:
</t>
        </r>
        <r>
          <rPr>
            <sz val="9"/>
            <color indexed="81"/>
            <rFont val="Tahoma"/>
            <family val="2"/>
          </rPr>
          <t>updated using implicity growth rates of UKppi from levels given in http://www.econstats.com/uk/uk_mm22__.htm</t>
        </r>
      </text>
    </comment>
    <comment ref="R227" authorId="0" shapeId="0" xr:uid="{D6CD6305-FA24-4E7C-98DF-568C1865E653}">
      <text>
        <r>
          <rPr>
            <b/>
            <sz val="9"/>
            <color indexed="81"/>
            <rFont val="Tahoma"/>
            <family val="2"/>
          </rPr>
          <t xml:space="preserve">shaikh:
</t>
        </r>
        <r>
          <rPr>
            <sz val="9"/>
            <color indexed="81"/>
            <rFont val="Tahoma"/>
            <family val="2"/>
          </rPr>
          <t>using growth rates of UKppi from levels given in http://www.statistics.gov.uk/statbase/TSDdownload2.asp</t>
        </r>
      </text>
    </comment>
    <comment ref="R228" authorId="0" shapeId="0" xr:uid="{9D53BE07-964A-4D51-A5CD-B2BC9A9AF4C3}">
      <text>
        <r>
          <rPr>
            <b/>
            <sz val="9"/>
            <color indexed="81"/>
            <rFont val="Tahoma"/>
            <family val="2"/>
          </rPr>
          <t xml:space="preserve">Anwar Shaikh:
</t>
        </r>
        <r>
          <rPr>
            <sz val="9"/>
            <color indexed="81"/>
            <rFont val="Tahoma"/>
            <family val="2"/>
          </rPr>
          <t>updated using implicity growth rates of UKppi from levels given in http://www.econstats.com/uk/uk_mm22__.htm</t>
        </r>
      </text>
    </comment>
    <comment ref="AB228" authorId="0" shapeId="0" xr:uid="{2E890986-660E-4109-8DD1-3DA7CBBA0E8F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sz val="9"/>
            <color indexed="81"/>
            <rFont val="Tahoma"/>
            <family val="2"/>
          </rPr>
          <t>World Gold Council 1/08</t>
        </r>
      </text>
    </comment>
    <comment ref="AC228" authorId="0" shapeId="0" xr:uid="{F07232CD-8DB3-44B0-B6C0-AD71EB4ECC98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sz val="9"/>
            <color indexed="81"/>
            <rFont val="Tahoma"/>
            <family val="2"/>
          </rPr>
          <t>World Gold Council 1/08</t>
        </r>
      </text>
    </comment>
    <comment ref="G231" authorId="0" shapeId="0" xr:uid="{46723ADD-F3C2-49DC-B3AC-3EFD14412388}">
      <text>
        <r>
          <rPr>
            <b/>
            <sz val="9"/>
            <color indexed="81"/>
            <rFont val="Tahoma"/>
            <family val="2"/>
          </rPr>
          <t>Fujitsu:</t>
        </r>
        <r>
          <rPr>
            <sz val="9"/>
            <color indexed="81"/>
            <rFont val="Tahoma"/>
            <family val="2"/>
          </rPr>
          <t xml:space="preserve">
BLS PPI, All commodiities,
used 2008/2007 to update: http://data.bls.gov/cgi-bin/surveymost</t>
        </r>
      </text>
    </comment>
    <comment ref="R231" authorId="0" shapeId="0" xr:uid="{C81C9521-E38D-4112-A9B5-6E68B53F9250}">
      <text>
        <r>
          <rPr>
            <b/>
            <sz val="9"/>
            <color indexed="81"/>
            <rFont val="Tahoma"/>
            <family val="2"/>
          </rPr>
          <t xml:space="preserve">Anwar Shaikh:
</t>
        </r>
        <r>
          <rPr>
            <sz val="9"/>
            <color indexed="81"/>
            <rFont val="Tahoma"/>
            <family val="2"/>
          </rPr>
          <t>updated using implicity growth rates of UKppi from levels given in http://www.econstats.com/uk/uk_mm22__.htm</t>
        </r>
      </text>
    </comment>
    <comment ref="AB232" authorId="0" shapeId="0" xr:uid="{C4081D7F-7561-4BE1-A169-B5144E762D87}">
      <text>
        <r>
          <rPr>
            <b/>
            <sz val="9"/>
            <color indexed="81"/>
            <rFont val="Tahoma"/>
            <family val="2"/>
          </rPr>
          <t xml:space="preserve">Fujitsu:
</t>
        </r>
        <r>
          <rPr>
            <sz val="9"/>
            <color indexed="81"/>
            <rFont val="Tahoma"/>
            <family val="2"/>
          </rPr>
          <t>Nov 2009</t>
        </r>
      </text>
    </comment>
  </commentList>
</comments>
</file>

<file path=xl/sharedStrings.xml><?xml version="1.0" encoding="utf-8"?>
<sst xmlns="http://schemas.openxmlformats.org/spreadsheetml/2006/main" count="79" uniqueCount="77">
  <si>
    <t>Year</t>
  </si>
  <si>
    <t>US CPI</t>
  </si>
  <si>
    <t>CPI1</t>
  </si>
  <si>
    <t>USGoldprice1</t>
  </si>
  <si>
    <t>USGoldpriceindex</t>
  </si>
  <si>
    <t>USCPI 1930=100</t>
  </si>
  <si>
    <t>USWPI</t>
  </si>
  <si>
    <t>USPPI82BLS</t>
  </si>
  <si>
    <t>USPPIGold</t>
  </si>
  <si>
    <t>UKGoldprice1Pounds1780-1949</t>
  </si>
  <si>
    <t>UKGoldprice1Dollars1950-on</t>
  </si>
  <si>
    <t>XR dollars-pounds</t>
  </si>
  <si>
    <t>UKGoldprice1pounds1950-on</t>
  </si>
  <si>
    <t>UKGoldprice1</t>
  </si>
  <si>
    <t>UKGoldpriceindex</t>
  </si>
  <si>
    <t>UKWPIJastram</t>
  </si>
  <si>
    <t>UKWPInber</t>
  </si>
  <si>
    <t>UKPPI</t>
  </si>
  <si>
    <t>UKWPI</t>
  </si>
  <si>
    <t>UKPPIGold</t>
  </si>
  <si>
    <t>USGoldWaveDetrended</t>
  </si>
  <si>
    <t>UKGoldWaveDetrended</t>
  </si>
  <si>
    <t>AvgGoldWave</t>
  </si>
  <si>
    <t>AvgGoldWaveHP</t>
  </si>
  <si>
    <t>UKWPI1790base</t>
  </si>
  <si>
    <t>UKWPIdollars1790base</t>
  </si>
  <si>
    <t>UKWPIGold1790base</t>
  </si>
  <si>
    <t>DATALRprices</t>
  </si>
  <si>
    <t>For 1780-1785, from Sahr, http://oregonstate.edu/cla/polisci/download-conversion-factors and for 1786-2010 from Measuring Worth.com: , '1982-84 = 100</t>
  </si>
  <si>
    <t>1958=100</t>
  </si>
  <si>
    <t>Index 1930=100</t>
  </si>
  <si>
    <t>Index 1930=100_SEE  SHEET "DATAUKWPIPG"</t>
  </si>
  <si>
    <t>$ per oz_FOR UK GOLD PRICE, ONLY 1950 ONWARD IS ONLY AVAILABLE IN $</t>
  </si>
  <si>
    <t xml:space="preserve">$ per oz_1786-2010, Lawrence H. Officer and Samuel H. Williamson, "The Price of Gold, 1257-2010," MeasuringWorth, 2011: http://www.measuringworth.com/gold/ _ US OFFICIAL PRICE 1786-1790, THEN MARKET PRICE </t>
  </si>
  <si>
    <t>£ per oz_FOR UK MARKET GOLD PRICE: ONLY 1786-1949 IS AVAILABLE IN £_1786-1945, Lawrence H. Officer and Samuel H. Williamson, "The Price of Gold, 1257-2010," MeasuringWorth, 2011:  http://www.measuringworth.com/gold/_1780-1785 from Jastram, Golden Constant, Table 2,  p. 30: SEE tab = UKWPIPGDATA</t>
  </si>
  <si>
    <t>Lawrence H. Officer, "Dollar-Pound Exchange Rate From 1791," MeasuringWorth, 2011: http://www.measuringworth.com/exchangepound/</t>
  </si>
  <si>
    <t>Jastram data has missing values for 1939-1945_Jastram has data from 1560-1976, except for MISSING DATA 1939-1945</t>
  </si>
  <si>
    <t xml:space="preserve">SEE EARLIER CPI </t>
  </si>
  <si>
    <t>Using USPPI from BLS, and using change from one year to next, Filled in 1786-1799 using CPI and 1800 ratio of WPI/CPI , Index 1930=100_Ratio 2010/1939 = 13.9013342825479</t>
  </si>
  <si>
    <t>Series Id:  WPU00000000, BLS website, PPI, All Commodities_1982=100_Reindexed</t>
  </si>
  <si>
    <t>For 1800-1976, Jastram 1977 Golden Const.Tble 1, 26-29</t>
  </si>
  <si>
    <t>Spliced</t>
  </si>
  <si>
    <t xml:space="preserve">http://www.nber.org/databases/macrohistory/rectdata/04/docs variable UKWPI, monthly data , all commod ID = m04053.dat_USED TO FILL IN missing 1939-45 UKWPI, use nber macrohistory,  base yr 1887-1897 = 100 </t>
  </si>
  <si>
    <t>http://www.statistics.gov.uk/statbase/_Index 1992 = 100</t>
  </si>
  <si>
    <t>Index 1930=100, For 1800-1976, Jastram 1977 Golden Const. Tble 2, 30-33 From 1977-on, using UK PPI grwth Ukstats, 1940-2010 ratio = 57.9917649640157</t>
  </si>
  <si>
    <t>GOLDEN WAVES Residuals of cubic time  trend of ppigold ratios. usukppigold.wf1</t>
  </si>
  <si>
    <t>usukppigold.wf1</t>
  </si>
  <si>
    <t>USGoldprice</t>
  </si>
  <si>
    <t>UKGoldprice</t>
  </si>
  <si>
    <t>Check: usppigold*gold - usppi = 0</t>
  </si>
  <si>
    <t>USPPIGOLDHP100</t>
  </si>
  <si>
    <t>UKPPIGOLDHP100</t>
  </si>
  <si>
    <t>p'dev</t>
  </si>
  <si>
    <t>USPPIGOLDHP3</t>
  </si>
  <si>
    <t>UKPPIGOLDHP3</t>
  </si>
  <si>
    <t>UK Crisis Markers</t>
  </si>
  <si>
    <t>US Crisis Markers</t>
  </si>
  <si>
    <t>US1:1897-1939</t>
  </si>
  <si>
    <t>UK1:1897-1939</t>
  </si>
  <si>
    <t>US2:1939-1983</t>
  </si>
  <si>
    <t>UK2:1939-1983</t>
  </si>
  <si>
    <t>USUKAVGWAVE</t>
  </si>
  <si>
    <t>USUKAVGWAVE1</t>
  </si>
  <si>
    <t>INFLUK</t>
  </si>
  <si>
    <t>INFLUKHP100</t>
  </si>
  <si>
    <t>INFLUS</t>
  </si>
  <si>
    <t>INFLUSHP100</t>
  </si>
  <si>
    <t>COMMODITY and GOLD  PRICE INDEXES: 1800 - present_Jastram, Roy (1977), The Golden Constant: The English and American Experience, 1560-1976, John Wiley and Sons, Inc., New York, Source: Gold Information Network, www.goldinfo.net, added by Eric Sunol, Source: COMEX, London Bullion Market Association_Source: goldus.wq1_For 1800-1976, Jastram 1977 Golden Const.Tble 6, 143-4 From 1977-on, using US gold price grwth rte  1976-2008 ratio = 24.9714285714286</t>
  </si>
  <si>
    <t>'For 1800-1976, Jastram 1977 Golden Const.Tble 7, 145-6 From 1977-on, using BLS PPI (Shiller) 1940-2008 ratio = 12.5904607419855</t>
  </si>
  <si>
    <t xml:space="preserve">Residual of USPPIGold from cubic trend, from PPIGOLDHPFILTER.wf1_p'deviaton </t>
  </si>
  <si>
    <t>Flamant and Singer-Kerel, Modern Economic Crises 1968</t>
  </si>
  <si>
    <t>US CYCLE 1_REFERENCE LONG WAGE: AVG OF US, UK HP-FILTER_42 YRS</t>
  </si>
  <si>
    <t>UK CYLCLE 1_DATA APPEARS IN 1983+ LOCATION_42 YRS</t>
  </si>
  <si>
    <t>US CYCLE 2__44 YRS</t>
  </si>
  <si>
    <t>UK CYCLE 2__44 YRS</t>
  </si>
  <si>
    <t>RESCALED TO BEGIN AT AVG POINT BETWEEN US &amp; UK AT TROUGH IN 1983_43 YRS</t>
  </si>
  <si>
    <t>rescaled to begin from between the latest US and UK peaks  - by 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</si>
</sst>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4" fontId="6" fillId="0" borderId="0" xfId="0" applyNumberFormat="1" applyFont="1"/>
    <xf numFmtId="4" fontId="7" fillId="0" borderId="0" xfId="0" applyNumberFormat="1" applyFont="1"/>
    <xf numFmtId="2" fontId="6" fillId="0" borderId="0" xfId="0" applyNumberFormat="1" applyFont="1"/>
    <xf numFmtId="0" fontId="6" fillId="0" borderId="0" xfId="0" applyFont="1"/>
    <xf numFmtId="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A589-67D1-41C5-93BD-D90284DBB1C0}">
  <dimension ref="A1:BD25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47" x14ac:dyDescent="0.25">
      <c r="A1" t="s">
        <v>27</v>
      </c>
      <c r="B1" t="s">
        <v>28</v>
      </c>
      <c r="C1" t="s">
        <v>29</v>
      </c>
      <c r="D1" t="s">
        <v>33</v>
      </c>
      <c r="E1" t="s">
        <v>30</v>
      </c>
      <c r="F1" t="s">
        <v>37</v>
      </c>
      <c r="G1" t="s">
        <v>38</v>
      </c>
      <c r="H1" t="s">
        <v>39</v>
      </c>
      <c r="I1" t="s">
        <v>40</v>
      </c>
      <c r="J1" t="s">
        <v>34</v>
      </c>
      <c r="K1" t="s">
        <v>32</v>
      </c>
      <c r="L1" t="s">
        <v>35</v>
      </c>
      <c r="N1" t="s">
        <v>41</v>
      </c>
      <c r="O1" t="s">
        <v>31</v>
      </c>
      <c r="P1" t="s">
        <v>36</v>
      </c>
      <c r="Q1" t="s">
        <v>42</v>
      </c>
      <c r="R1" t="s">
        <v>43</v>
      </c>
      <c r="S1" t="s">
        <v>44</v>
      </c>
      <c r="U1" t="s">
        <v>45</v>
      </c>
      <c r="V1" t="s">
        <v>46</v>
      </c>
      <c r="W1" t="s">
        <v>46</v>
      </c>
      <c r="X1" t="s">
        <v>46</v>
      </c>
      <c r="AB1" t="s">
        <v>67</v>
      </c>
      <c r="AC1" t="s">
        <v>68</v>
      </c>
      <c r="AG1" t="s">
        <v>69</v>
      </c>
      <c r="AJ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</row>
    <row r="2" spans="1:4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47</v>
      </c>
      <c r="AC2" t="s">
        <v>48</v>
      </c>
      <c r="AD2" t="s">
        <v>49</v>
      </c>
      <c r="AE2" t="s">
        <v>50</v>
      </c>
      <c r="AF2" t="s">
        <v>51</v>
      </c>
      <c r="AG2" t="s">
        <v>52</v>
      </c>
      <c r="AH2" t="s">
        <v>53</v>
      </c>
      <c r="AI2" t="s">
        <v>54</v>
      </c>
      <c r="AJ2" t="s">
        <v>55</v>
      </c>
      <c r="AK2" t="s">
        <v>56</v>
      </c>
      <c r="AL2" t="s">
        <v>57</v>
      </c>
      <c r="AM2" t="s">
        <v>58</v>
      </c>
      <c r="AN2" t="s">
        <v>59</v>
      </c>
      <c r="AO2" t="s">
        <v>60</v>
      </c>
      <c r="AP2" t="s">
        <v>61</v>
      </c>
      <c r="AQ2" t="s">
        <v>62</v>
      </c>
      <c r="AR2" t="s">
        <v>63</v>
      </c>
      <c r="AS2" t="s">
        <v>64</v>
      </c>
      <c r="AT2" t="s">
        <v>65</v>
      </c>
      <c r="AU2" t="s">
        <v>66</v>
      </c>
    </row>
    <row r="3" spans="1:47" x14ac:dyDescent="0.25">
      <c r="A3" s="1">
        <v>1780</v>
      </c>
      <c r="B3">
        <v>13.700000000000001</v>
      </c>
      <c r="E3" s="4">
        <f>O3*($E$9/$O$9)</f>
        <v>94.263379505250199</v>
      </c>
      <c r="F3" s="3">
        <f>B3*100/$B$153</f>
        <v>82.035928143712582</v>
      </c>
      <c r="G3" s="3">
        <f>F3*($G$23/$F$23)</f>
        <v>115.04847986852918</v>
      </c>
      <c r="I3" s="3">
        <f t="shared" ref="I3:I66" si="0">G3*100/E3</f>
        <v>122.05002671490398</v>
      </c>
      <c r="O3" s="2">
        <v>99.5</v>
      </c>
      <c r="P3">
        <v>88.3</v>
      </c>
      <c r="S3">
        <f t="shared" ref="S3:T66" si="1">P3</f>
        <v>88.3</v>
      </c>
      <c r="T3" s="3">
        <f t="shared" ref="T3:T66" si="2">S3*100/O3</f>
        <v>88.743718592964825</v>
      </c>
      <c r="U3" s="2">
        <v>2.25701128332362</v>
      </c>
      <c r="V3">
        <v>-8.3010437546170497</v>
      </c>
      <c r="W3">
        <v>-3.0220162356467202</v>
      </c>
      <c r="X3">
        <v>-9.3528585057958207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7" x14ac:dyDescent="0.25">
      <c r="A4" s="1">
        <v>1781</v>
      </c>
      <c r="B4">
        <v>11.1</v>
      </c>
      <c r="E4" s="4">
        <f t="shared" ref="E4:E8" si="3">O4*($E$9/$O$9)</f>
        <v>94.263379505250199</v>
      </c>
      <c r="F4" s="3">
        <f t="shared" ref="F4:F67" si="4">B4*100/$B$153</f>
        <v>66.467065868263475</v>
      </c>
      <c r="G4" s="3">
        <f t="shared" ref="G4:G22" si="5">F4*($G$23/$F$23)</f>
        <v>93.214461791290063</v>
      </c>
      <c r="I4" s="3">
        <f t="shared" si="0"/>
        <v>98.887247922294463</v>
      </c>
      <c r="O4" s="2">
        <v>99.5</v>
      </c>
      <c r="P4">
        <v>89.7</v>
      </c>
      <c r="S4">
        <f t="shared" si="1"/>
        <v>89.7</v>
      </c>
      <c r="T4" s="3">
        <f t="shared" si="2"/>
        <v>90.150753768844226</v>
      </c>
      <c r="U4" s="2">
        <v>-19.486565026089298</v>
      </c>
      <c r="V4">
        <v>-8.7173852871185407</v>
      </c>
      <c r="W4">
        <v>-14.101975156603901</v>
      </c>
      <c r="X4">
        <v>-11.5444806403057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R4" s="2">
        <v>1.58550396375991E-2</v>
      </c>
      <c r="AS4" s="2">
        <v>1.36157496575762E-2</v>
      </c>
      <c r="AT4" s="2">
        <v>-0.18978165635213101</v>
      </c>
      <c r="AU4" s="2">
        <v>-8.9124035430065807E-2</v>
      </c>
    </row>
    <row r="5" spans="1:47" x14ac:dyDescent="0.25">
      <c r="A5" s="1">
        <v>1782</v>
      </c>
      <c r="B5">
        <v>12.1</v>
      </c>
      <c r="E5" s="4">
        <f t="shared" si="3"/>
        <v>94.547590699738393</v>
      </c>
      <c r="F5" s="3">
        <f t="shared" si="4"/>
        <v>72.455089820359291</v>
      </c>
      <c r="G5" s="3">
        <f t="shared" si="5"/>
        <v>101.61216105176666</v>
      </c>
      <c r="I5" s="3">
        <f t="shared" si="0"/>
        <v>107.47197289718756</v>
      </c>
      <c r="O5" s="2">
        <v>99.8</v>
      </c>
      <c r="P5">
        <v>98.1</v>
      </c>
      <c r="S5">
        <f t="shared" si="1"/>
        <v>98.1</v>
      </c>
      <c r="T5" s="3">
        <f t="shared" si="2"/>
        <v>98.296593186372746</v>
      </c>
      <c r="U5" s="2">
        <v>-9.5206024905569802</v>
      </c>
      <c r="V5">
        <v>-2.3042849803747898</v>
      </c>
      <c r="W5">
        <v>-5.9124437354658799</v>
      </c>
      <c r="X5">
        <v>-13.672794352114201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R5" s="2">
        <v>9.3645484949832603E-2</v>
      </c>
      <c r="AS5" s="2">
        <v>1.12861757153457E-2</v>
      </c>
      <c r="AT5" s="2">
        <v>9.0093762739502606E-2</v>
      </c>
      <c r="AU5" s="2">
        <v>-7.6019359231887004E-2</v>
      </c>
    </row>
    <row r="6" spans="1:47" x14ac:dyDescent="0.25">
      <c r="A6" s="1">
        <v>1783</v>
      </c>
      <c r="B6">
        <v>10.6</v>
      </c>
      <c r="E6" s="4">
        <f t="shared" si="3"/>
        <v>94.547590699738393</v>
      </c>
      <c r="F6" s="3">
        <f t="shared" si="4"/>
        <v>63.473053892215574</v>
      </c>
      <c r="G6" s="3">
        <f t="shared" si="5"/>
        <v>89.015612161051777</v>
      </c>
      <c r="I6" s="3">
        <f t="shared" si="0"/>
        <v>94.149001050428751</v>
      </c>
      <c r="O6" s="2">
        <v>99.8</v>
      </c>
      <c r="P6">
        <v>95.4</v>
      </c>
      <c r="S6">
        <f t="shared" si="1"/>
        <v>95.4</v>
      </c>
      <c r="T6" s="3">
        <f t="shared" si="2"/>
        <v>95.591182364729463</v>
      </c>
      <c r="U6" s="2">
        <v>-21.484818816041798</v>
      </c>
      <c r="V6">
        <v>-6.6637673734385796</v>
      </c>
      <c r="W6">
        <v>-14.074293094740201</v>
      </c>
      <c r="X6">
        <v>-15.700066163682701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R6" s="2">
        <v>-2.7522935779816401E-2</v>
      </c>
      <c r="AS6" s="2">
        <v>8.9789946729155502E-3</v>
      </c>
      <c r="AT6" s="2">
        <v>-0.123961736802739</v>
      </c>
      <c r="AU6" s="2">
        <v>-6.3921259242928893E-2</v>
      </c>
    </row>
    <row r="7" spans="1:47" x14ac:dyDescent="0.25">
      <c r="A7" s="1">
        <v>1784</v>
      </c>
      <c r="B7">
        <v>10.199999999999999</v>
      </c>
      <c r="E7" s="4">
        <f t="shared" si="3"/>
        <v>94.737064829397184</v>
      </c>
      <c r="F7" s="3">
        <f t="shared" si="4"/>
        <v>61.077844311377241</v>
      </c>
      <c r="G7" s="3">
        <f t="shared" si="5"/>
        <v>85.656532456861129</v>
      </c>
      <c r="I7" s="3">
        <f t="shared" si="0"/>
        <v>90.415016140843818</v>
      </c>
      <c r="O7" s="2">
        <v>100</v>
      </c>
      <c r="P7">
        <v>90.1</v>
      </c>
      <c r="S7">
        <f t="shared" si="1"/>
        <v>90.1</v>
      </c>
      <c r="T7" s="3">
        <f t="shared" si="2"/>
        <v>90.1</v>
      </c>
      <c r="U7" s="2">
        <v>-23.888931708506298</v>
      </c>
      <c r="V7">
        <v>-13.717837844839799</v>
      </c>
      <c r="W7">
        <v>-18.803384776672999</v>
      </c>
      <c r="X7">
        <v>-17.510959091306301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R7" s="2">
        <v>-5.5555555555555601E-2</v>
      </c>
      <c r="AS7" s="2">
        <v>7.5401925224306996E-3</v>
      </c>
      <c r="AT7" s="2">
        <v>-3.7734789251370603E-2</v>
      </c>
      <c r="AU7" s="2">
        <v>-5.21751804526982E-2</v>
      </c>
    </row>
    <row r="8" spans="1:47" x14ac:dyDescent="0.25">
      <c r="A8" s="1">
        <v>1785</v>
      </c>
      <c r="B8">
        <v>9.7000000000000011</v>
      </c>
      <c r="E8" s="4">
        <f t="shared" si="3"/>
        <v>94.737064829397184</v>
      </c>
      <c r="F8" s="3">
        <f t="shared" si="4"/>
        <v>58.083832335329348</v>
      </c>
      <c r="G8" s="3">
        <f t="shared" si="5"/>
        <v>81.457682826622857</v>
      </c>
      <c r="I8" s="3">
        <f t="shared" si="0"/>
        <v>85.982907506488743</v>
      </c>
      <c r="O8" s="2">
        <v>100</v>
      </c>
      <c r="P8">
        <v>89.3</v>
      </c>
      <c r="S8">
        <f t="shared" si="1"/>
        <v>89.3</v>
      </c>
      <c r="T8" s="3">
        <f t="shared" si="2"/>
        <v>89.3</v>
      </c>
      <c r="U8" s="2">
        <v>-27.032658873912599</v>
      </c>
      <c r="V8">
        <v>-15.998482612585001</v>
      </c>
      <c r="W8">
        <v>-21.515570743248801</v>
      </c>
      <c r="X8">
        <v>-18.973878420590701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R8" s="2">
        <v>-8.8790233074361492E-3</v>
      </c>
      <c r="AS8" s="2">
        <v>7.4507359515089897E-3</v>
      </c>
      <c r="AT8" s="2">
        <v>-4.902109576567E-2</v>
      </c>
      <c r="AU8" s="2">
        <v>-4.0726972626299901E-2</v>
      </c>
    </row>
    <row r="9" spans="1:47" x14ac:dyDescent="0.25">
      <c r="A9" s="1">
        <v>1786</v>
      </c>
      <c r="B9">
        <v>9.19</v>
      </c>
      <c r="C9" s="3">
        <f>B9*100/$B$181</f>
        <v>31.777316735822957</v>
      </c>
      <c r="D9">
        <v>19.489999999999998</v>
      </c>
      <c r="E9" s="3">
        <f>D9*100/$D$153</f>
        <v>94.2912433478471</v>
      </c>
      <c r="F9" s="3">
        <f t="shared" si="4"/>
        <v>55.029940119760482</v>
      </c>
      <c r="G9" s="3">
        <f t="shared" si="5"/>
        <v>77.174856203779797</v>
      </c>
      <c r="I9" s="3">
        <f t="shared" si="0"/>
        <v>81.847320560909637</v>
      </c>
      <c r="J9">
        <v>4.2300000000000004</v>
      </c>
      <c r="N9" s="6">
        <f>+J9</f>
        <v>4.2300000000000004</v>
      </c>
      <c r="O9" s="3">
        <f>N9*100/$N$153</f>
        <v>99.529411764705898</v>
      </c>
      <c r="P9">
        <v>90.6</v>
      </c>
      <c r="S9">
        <f t="shared" si="1"/>
        <v>90.6</v>
      </c>
      <c r="T9" s="3">
        <f t="shared" si="2"/>
        <v>91.028368794326227</v>
      </c>
      <c r="U9" s="2">
        <v>-29.895718018223398</v>
      </c>
      <c r="V9">
        <v>-15.6676687341582</v>
      </c>
      <c r="W9">
        <v>-22.781693376190798</v>
      </c>
      <c r="X9">
        <v>-19.970153693995002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R9" s="2">
        <v>1.45576707726763E-2</v>
      </c>
      <c r="AS9" s="2">
        <v>8.5606341669883495E-3</v>
      </c>
      <c r="AT9" s="2">
        <v>-5.2579243291021101E-2</v>
      </c>
      <c r="AU9" s="2">
        <v>-2.9378081616825501E-2</v>
      </c>
    </row>
    <row r="10" spans="1:47" x14ac:dyDescent="0.25">
      <c r="A10" s="1">
        <v>1787</v>
      </c>
      <c r="B10">
        <v>9.02</v>
      </c>
      <c r="C10" s="3">
        <f t="shared" ref="C10:C73" si="6">B10*100/$B$181</f>
        <v>31.189488243430151</v>
      </c>
      <c r="D10">
        <v>19.489999999999998</v>
      </c>
      <c r="E10" s="3">
        <f t="shared" ref="E10:E73" si="7">D10*100/$D$153</f>
        <v>94.2912433478471</v>
      </c>
      <c r="F10" s="3">
        <f t="shared" si="4"/>
        <v>54.011976047904191</v>
      </c>
      <c r="G10" s="3">
        <f t="shared" si="5"/>
        <v>75.747247329498776</v>
      </c>
      <c r="I10" s="3">
        <f t="shared" si="0"/>
        <v>80.333278722459724</v>
      </c>
      <c r="J10">
        <v>4.2300000000000004</v>
      </c>
      <c r="N10" s="6">
        <f t="shared" ref="N10:N73" si="8">+J10</f>
        <v>4.2300000000000004</v>
      </c>
      <c r="O10" s="3">
        <f t="shared" ref="O10:O73" si="9">N10*100/$N$153</f>
        <v>99.529411764705898</v>
      </c>
      <c r="P10">
        <v>95.9</v>
      </c>
      <c r="S10">
        <f t="shared" si="1"/>
        <v>95.9</v>
      </c>
      <c r="T10" s="3">
        <f t="shared" si="2"/>
        <v>96.353427895981071</v>
      </c>
      <c r="U10" s="2">
        <v>-30.177826847400699</v>
      </c>
      <c r="V10">
        <v>-11.667344106520099</v>
      </c>
      <c r="W10">
        <v>-20.9225854769604</v>
      </c>
      <c r="X10">
        <v>-20.406531377205201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R10" s="2">
        <v>5.8498896247240702E-2</v>
      </c>
      <c r="AS10" s="2">
        <v>1.05565987831172E-2</v>
      </c>
      <c r="AT10" s="2">
        <v>-1.8503401360544101E-2</v>
      </c>
      <c r="AU10" s="2">
        <v>-1.8012894508760299E-2</v>
      </c>
    </row>
    <row r="11" spans="1:47" x14ac:dyDescent="0.25">
      <c r="A11" s="1">
        <v>1788</v>
      </c>
      <c r="B11">
        <v>8.6199999999999992</v>
      </c>
      <c r="C11" s="3">
        <f t="shared" si="6"/>
        <v>29.80636237897648</v>
      </c>
      <c r="D11">
        <v>19.489999999999998</v>
      </c>
      <c r="E11" s="3">
        <f t="shared" si="7"/>
        <v>94.2912433478471</v>
      </c>
      <c r="F11" s="3">
        <f t="shared" si="4"/>
        <v>51.616766467065865</v>
      </c>
      <c r="G11" s="3">
        <f t="shared" si="5"/>
        <v>72.388167625308142</v>
      </c>
      <c r="I11" s="3">
        <f t="shared" si="0"/>
        <v>76.770827337871708</v>
      </c>
      <c r="J11">
        <v>4.2300000000000004</v>
      </c>
      <c r="N11" s="6">
        <f t="shared" si="8"/>
        <v>4.2300000000000004</v>
      </c>
      <c r="O11" s="3">
        <f t="shared" si="9"/>
        <v>99.529411764705898</v>
      </c>
      <c r="P11">
        <v>90.7</v>
      </c>
      <c r="S11">
        <f t="shared" si="1"/>
        <v>90.7</v>
      </c>
      <c r="T11" s="3">
        <f t="shared" si="2"/>
        <v>91.128841607564993</v>
      </c>
      <c r="U11" s="2">
        <v>-32.5287030674071</v>
      </c>
      <c r="V11">
        <v>-18.129437466108399</v>
      </c>
      <c r="W11">
        <v>-25.3290702667578</v>
      </c>
      <c r="X11">
        <v>-20.217873332729202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R11" s="2">
        <v>-5.4223149113660003E-2</v>
      </c>
      <c r="AS11" s="2">
        <v>1.31853117802011E-2</v>
      </c>
      <c r="AT11" s="2">
        <v>-4.4344990560682203E-2</v>
      </c>
      <c r="AU11" s="2">
        <v>-6.7478100033318096E-3</v>
      </c>
    </row>
    <row r="12" spans="1:47" x14ac:dyDescent="0.25">
      <c r="A12" s="1">
        <v>1789</v>
      </c>
      <c r="B12">
        <v>8.5399999999999991</v>
      </c>
      <c r="C12" s="3">
        <f t="shared" si="6"/>
        <v>29.529737206085748</v>
      </c>
      <c r="D12">
        <v>19.489999999999998</v>
      </c>
      <c r="E12" s="3">
        <f t="shared" si="7"/>
        <v>94.2912433478471</v>
      </c>
      <c r="F12" s="3">
        <f t="shared" si="4"/>
        <v>51.137724550898199</v>
      </c>
      <c r="G12" s="3">
        <f t="shared" si="5"/>
        <v>71.716351684470013</v>
      </c>
      <c r="I12" s="3">
        <f t="shared" si="0"/>
        <v>76.058337060954102</v>
      </c>
      <c r="J12">
        <v>4.2300000000000004</v>
      </c>
      <c r="N12" s="6">
        <f t="shared" si="8"/>
        <v>4.2300000000000004</v>
      </c>
      <c r="O12" s="3">
        <f t="shared" si="9"/>
        <v>99.529411764705898</v>
      </c>
      <c r="P12">
        <v>96.7</v>
      </c>
      <c r="S12">
        <f t="shared" si="1"/>
        <v>96.7</v>
      </c>
      <c r="T12" s="3">
        <f t="shared" si="2"/>
        <v>97.157210401891234</v>
      </c>
      <c r="U12" s="2">
        <v>-32.058064384204897</v>
      </c>
      <c r="V12">
        <v>-13.265858388837801</v>
      </c>
      <c r="W12">
        <v>-22.661961386521401</v>
      </c>
      <c r="X12">
        <v>-19.344201964072301</v>
      </c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R12" s="2">
        <v>6.6152149944873201E-2</v>
      </c>
      <c r="AS12" s="2">
        <v>1.66728781131864E-2</v>
      </c>
      <c r="AT12" s="2">
        <v>-9.2833066254076804E-3</v>
      </c>
      <c r="AU12" s="2">
        <v>4.2958681297150299E-3</v>
      </c>
    </row>
    <row r="13" spans="1:47" x14ac:dyDescent="0.25">
      <c r="A13">
        <v>1790</v>
      </c>
      <c r="B13">
        <v>8.86</v>
      </c>
      <c r="C13" s="3">
        <f t="shared" si="6"/>
        <v>30.636237897648684</v>
      </c>
      <c r="D13">
        <v>19.489999999999998</v>
      </c>
      <c r="E13" s="3">
        <f t="shared" si="7"/>
        <v>94.2912433478471</v>
      </c>
      <c r="F13" s="3">
        <f t="shared" si="4"/>
        <v>53.053892215568865</v>
      </c>
      <c r="G13" s="3">
        <f t="shared" si="5"/>
        <v>74.403615447822531</v>
      </c>
      <c r="I13" s="3">
        <f t="shared" si="0"/>
        <v>78.908298168624526</v>
      </c>
      <c r="J13">
        <v>4.2300000000000004</v>
      </c>
      <c r="L13">
        <v>4.5</v>
      </c>
      <c r="N13" s="6">
        <f t="shared" si="8"/>
        <v>4.2300000000000004</v>
      </c>
      <c r="O13" s="3">
        <f t="shared" si="9"/>
        <v>99.529411764705898</v>
      </c>
      <c r="P13">
        <v>96.5</v>
      </c>
      <c r="S13">
        <f t="shared" si="1"/>
        <v>96.5</v>
      </c>
      <c r="T13" s="3">
        <f t="shared" si="2"/>
        <v>96.9562647754137</v>
      </c>
      <c r="U13" s="2">
        <v>-28.055628503756601</v>
      </c>
      <c r="V13">
        <v>-14.5584972901001</v>
      </c>
      <c r="W13">
        <v>-21.307062896928301</v>
      </c>
      <c r="X13">
        <v>-17.7766516440802</v>
      </c>
      <c r="Y13" s="6">
        <f>100*S13/$S$13</f>
        <v>100</v>
      </c>
      <c r="Z13" s="6">
        <f>Y13*(L13/$L$13)</f>
        <v>100</v>
      </c>
      <c r="AA13" s="6">
        <f>Y13/(O13/$O$13)</f>
        <v>100</v>
      </c>
      <c r="AC13" s="3">
        <f>O13*$AC$153/100</f>
        <v>3.8756752941176478</v>
      </c>
      <c r="AE13" s="2"/>
      <c r="AF13" s="2">
        <v>94.291773939219794</v>
      </c>
      <c r="AG13" s="2"/>
      <c r="AH13" s="2"/>
      <c r="AI13" s="2">
        <v>94.739356271746004</v>
      </c>
      <c r="AJ13" s="2"/>
      <c r="AK13" s="2"/>
      <c r="AL13" s="2"/>
      <c r="AM13" s="2"/>
      <c r="AN13" s="2"/>
      <c r="AO13" s="2"/>
      <c r="AP13" s="2"/>
      <c r="AR13" s="2">
        <v>-2.0682523267838899E-3</v>
      </c>
      <c r="AS13" s="2">
        <v>2.0571318128081301E-2</v>
      </c>
      <c r="AT13" s="2">
        <v>3.7481175748786899E-2</v>
      </c>
      <c r="AU13" s="2">
        <v>1.46208643150615E-2</v>
      </c>
    </row>
    <row r="14" spans="1:47" x14ac:dyDescent="0.25">
      <c r="A14">
        <v>1791</v>
      </c>
      <c r="B14">
        <v>9.1</v>
      </c>
      <c r="C14" s="3">
        <f t="shared" si="6"/>
        <v>31.466113416320884</v>
      </c>
      <c r="D14">
        <v>19.39</v>
      </c>
      <c r="E14" s="3">
        <f t="shared" si="7"/>
        <v>93.807450411223982</v>
      </c>
      <c r="F14" s="3">
        <f t="shared" si="4"/>
        <v>54.491017964071858</v>
      </c>
      <c r="G14" s="3">
        <f t="shared" si="5"/>
        <v>76.419063270336906</v>
      </c>
      <c r="I14" s="3">
        <f t="shared" si="0"/>
        <v>81.463746147388562</v>
      </c>
      <c r="J14">
        <v>4.2300000000000004</v>
      </c>
      <c r="L14">
        <v>4.55</v>
      </c>
      <c r="N14" s="6">
        <f t="shared" si="8"/>
        <v>4.2300000000000004</v>
      </c>
      <c r="O14" s="3">
        <f t="shared" si="9"/>
        <v>99.529411764705898</v>
      </c>
      <c r="P14">
        <v>96.9</v>
      </c>
      <c r="S14">
        <f t="shared" si="1"/>
        <v>96.9</v>
      </c>
      <c r="T14" s="3">
        <f t="shared" si="2"/>
        <v>97.358156028368782</v>
      </c>
      <c r="U14" s="2">
        <v>-24.381113132024399</v>
      </c>
      <c r="V14">
        <v>-15.1792254247638</v>
      </c>
      <c r="W14">
        <v>-19.780169278394101</v>
      </c>
      <c r="X14">
        <v>-15.539534339823099</v>
      </c>
      <c r="Y14" s="6">
        <f t="shared" ref="Y14:Y18" si="10">100*S14/$S$13</f>
        <v>100.41450777202073</v>
      </c>
      <c r="Z14" s="6">
        <f t="shared" ref="Z14:Z18" si="11">Y14*(L14/$L$13)</f>
        <v>101.53022452504318</v>
      </c>
      <c r="AA14" s="6">
        <f t="shared" ref="AA14:AA18" si="12">Y14/(O14/$O$13)</f>
        <v>100.41450777202073</v>
      </c>
      <c r="AC14" s="3">
        <f t="shared" ref="AC14:AC77" si="13">O14*$AC$153/100</f>
        <v>3.8756752941176478</v>
      </c>
      <c r="AE14" s="2"/>
      <c r="AF14" s="2">
        <v>98.590640039610705</v>
      </c>
      <c r="AG14" s="2"/>
      <c r="AH14" s="2"/>
      <c r="AI14" s="2">
        <v>97.156564415186693</v>
      </c>
      <c r="AJ14" s="2"/>
      <c r="AK14" s="2"/>
      <c r="AL14" s="2"/>
      <c r="AM14" s="2"/>
      <c r="AN14" s="2"/>
      <c r="AO14" s="2"/>
      <c r="AP14" s="2"/>
      <c r="AR14" s="2">
        <v>4.1450777202073101E-3</v>
      </c>
      <c r="AS14" s="2">
        <v>2.4927444889210601E-2</v>
      </c>
      <c r="AT14" s="2">
        <v>2.7081877318423701E-2</v>
      </c>
      <c r="AU14" s="2">
        <v>2.3594111229837799E-2</v>
      </c>
    </row>
    <row r="15" spans="1:47" x14ac:dyDescent="0.25">
      <c r="A15">
        <v>1792</v>
      </c>
      <c r="B15">
        <v>9.27</v>
      </c>
      <c r="C15" s="3">
        <f t="shared" si="6"/>
        <v>32.053941908713689</v>
      </c>
      <c r="D15">
        <v>19.39</v>
      </c>
      <c r="E15" s="3">
        <f t="shared" si="7"/>
        <v>93.807450411223982</v>
      </c>
      <c r="F15" s="3">
        <f t="shared" si="4"/>
        <v>55.508982035928149</v>
      </c>
      <c r="G15" s="3">
        <f t="shared" si="5"/>
        <v>77.846672144617926</v>
      </c>
      <c r="I15" s="3">
        <f t="shared" si="0"/>
        <v>82.985596350141961</v>
      </c>
      <c r="J15">
        <v>4.2300000000000004</v>
      </c>
      <c r="L15">
        <v>4.47</v>
      </c>
      <c r="N15" s="6">
        <f t="shared" si="8"/>
        <v>4.2300000000000004</v>
      </c>
      <c r="O15" s="3">
        <f t="shared" si="9"/>
        <v>99.529411764705898</v>
      </c>
      <c r="P15">
        <v>95.2</v>
      </c>
      <c r="S15">
        <f t="shared" si="1"/>
        <v>95.2</v>
      </c>
      <c r="T15" s="3">
        <f t="shared" si="2"/>
        <v>95.650118203309674</v>
      </c>
      <c r="U15" s="2">
        <v>-21.754235974970801</v>
      </c>
      <c r="V15">
        <v>-17.8398948871748</v>
      </c>
      <c r="W15">
        <v>-19.797065431072799</v>
      </c>
      <c r="X15">
        <v>-12.6924661308996</v>
      </c>
      <c r="Y15" s="6">
        <f t="shared" si="10"/>
        <v>98.652849740932638</v>
      </c>
      <c r="Z15" s="6">
        <f t="shared" si="11"/>
        <v>97.995164075993088</v>
      </c>
      <c r="AA15" s="6">
        <f t="shared" si="12"/>
        <v>98.652849740932638</v>
      </c>
      <c r="AC15" s="3">
        <f t="shared" si="13"/>
        <v>3.8756752941176478</v>
      </c>
      <c r="AE15" s="2"/>
      <c r="AF15" s="2">
        <v>102.91638840061</v>
      </c>
      <c r="AG15" s="2"/>
      <c r="AH15" s="2"/>
      <c r="AI15" s="2">
        <v>100.320653801379</v>
      </c>
      <c r="AJ15" s="2"/>
      <c r="AK15" s="2"/>
      <c r="AL15" s="2"/>
      <c r="AM15" s="2"/>
      <c r="AN15" s="2"/>
      <c r="AO15" s="2"/>
      <c r="AP15" s="2"/>
      <c r="AR15" s="2">
        <v>-1.7543859649122799E-2</v>
      </c>
      <c r="AS15" s="2">
        <v>2.9561675756350499E-2</v>
      </c>
      <c r="AT15" s="2">
        <v>1.8686452322066401E-2</v>
      </c>
      <c r="AU15" s="2">
        <v>3.0811144665511301E-2</v>
      </c>
    </row>
    <row r="16" spans="1:47" x14ac:dyDescent="0.25">
      <c r="A16">
        <v>1793</v>
      </c>
      <c r="B16">
        <v>9.59</v>
      </c>
      <c r="C16" s="3">
        <f t="shared" si="6"/>
        <v>33.160442600276625</v>
      </c>
      <c r="D16">
        <v>19.39</v>
      </c>
      <c r="E16" s="3">
        <f t="shared" si="7"/>
        <v>93.807450411223982</v>
      </c>
      <c r="F16" s="3">
        <f t="shared" si="4"/>
        <v>57.425149700598801</v>
      </c>
      <c r="G16" s="3">
        <f t="shared" si="5"/>
        <v>80.533935907970431</v>
      </c>
      <c r="I16" s="3">
        <f t="shared" si="0"/>
        <v>85.85025555532485</v>
      </c>
      <c r="J16">
        <v>4.2300000000000004</v>
      </c>
      <c r="L16">
        <v>4.51</v>
      </c>
      <c r="N16" s="6">
        <f t="shared" si="8"/>
        <v>4.2300000000000004</v>
      </c>
      <c r="O16" s="3">
        <f t="shared" si="9"/>
        <v>99.529411764705898</v>
      </c>
      <c r="P16">
        <v>104.4</v>
      </c>
      <c r="S16">
        <f t="shared" si="1"/>
        <v>104.4</v>
      </c>
      <c r="T16" s="3">
        <f t="shared" si="2"/>
        <v>104.89361702127658</v>
      </c>
      <c r="U16" s="2">
        <v>-17.8247147385581</v>
      </c>
      <c r="V16">
        <v>-9.48233861115569</v>
      </c>
      <c r="W16">
        <v>-13.6535266748569</v>
      </c>
      <c r="X16">
        <v>-9.3374694462939498</v>
      </c>
      <c r="Y16" s="6">
        <f t="shared" si="10"/>
        <v>108.18652849740933</v>
      </c>
      <c r="Z16" s="6">
        <f t="shared" si="11"/>
        <v>108.42694300518134</v>
      </c>
      <c r="AA16" s="6">
        <f t="shared" si="12"/>
        <v>108.18652849740933</v>
      </c>
      <c r="AC16" s="3">
        <f t="shared" si="13"/>
        <v>3.8756752941176478</v>
      </c>
      <c r="AE16" s="2"/>
      <c r="AF16" s="2">
        <v>107.283894882428</v>
      </c>
      <c r="AG16" s="2"/>
      <c r="AH16" s="2"/>
      <c r="AI16" s="2">
        <v>105.056317534678</v>
      </c>
      <c r="AJ16" s="2"/>
      <c r="AK16" s="2"/>
      <c r="AL16" s="2"/>
      <c r="AM16" s="2"/>
      <c r="AN16" s="2"/>
      <c r="AO16" s="2"/>
      <c r="AP16" s="2"/>
      <c r="AR16" s="2">
        <v>9.6638655462184905E-2</v>
      </c>
      <c r="AS16" s="2">
        <v>3.4086604417587103E-2</v>
      </c>
      <c r="AT16" s="2">
        <v>3.4516423240458997E-2</v>
      </c>
      <c r="AU16" s="2">
        <v>3.5902378074435297E-2</v>
      </c>
    </row>
    <row r="17" spans="1:47" x14ac:dyDescent="0.25">
      <c r="A17">
        <v>1794</v>
      </c>
      <c r="B17">
        <v>10.64</v>
      </c>
      <c r="C17" s="3">
        <f t="shared" si="6"/>
        <v>36.791147994467494</v>
      </c>
      <c r="D17">
        <v>19.39</v>
      </c>
      <c r="E17" s="3">
        <f t="shared" si="7"/>
        <v>93.807450411223982</v>
      </c>
      <c r="F17" s="3">
        <f t="shared" si="4"/>
        <v>63.712574850299404</v>
      </c>
      <c r="G17" s="3">
        <f t="shared" si="5"/>
        <v>89.351520131470835</v>
      </c>
      <c r="I17" s="3">
        <f t="shared" si="0"/>
        <v>95.249918572331239</v>
      </c>
      <c r="J17">
        <v>4.2300000000000004</v>
      </c>
      <c r="L17">
        <v>4.75</v>
      </c>
      <c r="N17" s="6">
        <f t="shared" si="8"/>
        <v>4.2300000000000004</v>
      </c>
      <c r="O17" s="3">
        <f t="shared" si="9"/>
        <v>99.529411764705898</v>
      </c>
      <c r="P17">
        <v>106.4</v>
      </c>
      <c r="S17">
        <f t="shared" si="1"/>
        <v>106.4</v>
      </c>
      <c r="T17" s="3">
        <f t="shared" si="2"/>
        <v>106.90307328605199</v>
      </c>
      <c r="U17" s="2">
        <v>-7.3822671287487296</v>
      </c>
      <c r="V17">
        <v>-8.2883703700061204</v>
      </c>
      <c r="W17">
        <v>-7.8353187493774197</v>
      </c>
      <c r="X17">
        <v>-5.6476127079924101</v>
      </c>
      <c r="Y17" s="6">
        <f t="shared" si="10"/>
        <v>110.25906735751295</v>
      </c>
      <c r="Z17" s="6">
        <f t="shared" si="11"/>
        <v>116.384571099597</v>
      </c>
      <c r="AA17" s="6">
        <f t="shared" si="12"/>
        <v>110.25906735751295</v>
      </c>
      <c r="AC17" s="3">
        <f t="shared" si="13"/>
        <v>3.8756752941176478</v>
      </c>
      <c r="AE17" s="2"/>
      <c r="AF17" s="2">
        <v>111.635671461272</v>
      </c>
      <c r="AG17" s="2"/>
      <c r="AH17" s="2"/>
      <c r="AI17" s="2">
        <v>110.64136411897999</v>
      </c>
      <c r="AJ17" s="2"/>
      <c r="AK17" s="2"/>
      <c r="AL17" s="2"/>
      <c r="AM17" s="2"/>
      <c r="AN17" s="2"/>
      <c r="AO17" s="2"/>
      <c r="AP17" s="2"/>
      <c r="AR17" s="2">
        <v>1.91570881226053E-2</v>
      </c>
      <c r="AS17" s="2">
        <v>3.7643769206951998E-2</v>
      </c>
      <c r="AT17" s="2">
        <v>0.109494126704249</v>
      </c>
      <c r="AU17" s="2">
        <v>3.8376977985528499E-2</v>
      </c>
    </row>
    <row r="18" spans="1:47" x14ac:dyDescent="0.25">
      <c r="A18">
        <v>1795</v>
      </c>
      <c r="B18">
        <v>12.17</v>
      </c>
      <c r="C18" s="3">
        <f t="shared" si="6"/>
        <v>42.081604426002762</v>
      </c>
      <c r="D18">
        <v>19.39</v>
      </c>
      <c r="E18" s="3">
        <f t="shared" si="7"/>
        <v>93.807450411223982</v>
      </c>
      <c r="F18" s="3">
        <f t="shared" si="4"/>
        <v>72.874251497005986</v>
      </c>
      <c r="G18" s="3">
        <f t="shared" si="5"/>
        <v>102.2</v>
      </c>
      <c r="I18" s="3">
        <f t="shared" si="0"/>
        <v>108.94657039711193</v>
      </c>
      <c r="J18">
        <v>4.2300000000000004</v>
      </c>
      <c r="L18">
        <v>4.53</v>
      </c>
      <c r="N18" s="6">
        <f t="shared" si="8"/>
        <v>4.2300000000000004</v>
      </c>
      <c r="O18" s="3">
        <f t="shared" si="9"/>
        <v>99.529411764705898</v>
      </c>
      <c r="P18">
        <v>124.1</v>
      </c>
      <c r="S18">
        <f t="shared" si="1"/>
        <v>124.1</v>
      </c>
      <c r="T18" s="3">
        <f t="shared" si="2"/>
        <v>124.6867612293144</v>
      </c>
      <c r="U18" s="2">
        <v>7.3333891484949696</v>
      </c>
      <c r="V18">
        <v>8.7502152234972694</v>
      </c>
      <c r="W18">
        <v>8.0418021859961204</v>
      </c>
      <c r="X18">
        <v>-1.83912491026665</v>
      </c>
      <c r="Y18" s="6">
        <f t="shared" si="10"/>
        <v>128.60103626943004</v>
      </c>
      <c r="Z18" s="6">
        <f t="shared" si="11"/>
        <v>129.45837651122625</v>
      </c>
      <c r="AA18" s="6">
        <f t="shared" si="12"/>
        <v>128.60103626943004</v>
      </c>
      <c r="AC18" s="3">
        <f t="shared" si="13"/>
        <v>3.8756752941176478</v>
      </c>
      <c r="AE18" s="2"/>
      <c r="AF18" s="2">
        <v>115.890591164523</v>
      </c>
      <c r="AG18" s="2"/>
      <c r="AH18" s="2"/>
      <c r="AI18" s="2">
        <v>116.308162879956</v>
      </c>
      <c r="AJ18" s="2"/>
      <c r="AK18" s="2"/>
      <c r="AL18" s="2"/>
      <c r="AM18" s="2"/>
      <c r="AN18" s="2"/>
      <c r="AO18" s="2"/>
      <c r="AP18" s="2"/>
      <c r="AR18" s="2">
        <v>0.166353383458646</v>
      </c>
      <c r="AS18" s="2">
        <v>4.0000228968922601E-2</v>
      </c>
      <c r="AT18" s="2">
        <v>0.14379084967320199</v>
      </c>
      <c r="AU18" s="2">
        <v>3.7730251379370097E-2</v>
      </c>
    </row>
    <row r="19" spans="1:47" x14ac:dyDescent="0.25">
      <c r="A19">
        <v>1796</v>
      </c>
      <c r="B19">
        <v>12.81</v>
      </c>
      <c r="C19" s="3">
        <f t="shared" si="6"/>
        <v>44.294605809128626</v>
      </c>
      <c r="D19">
        <v>19.39</v>
      </c>
      <c r="E19" s="3">
        <f t="shared" si="7"/>
        <v>93.807450411223982</v>
      </c>
      <c r="F19" s="3">
        <f t="shared" si="4"/>
        <v>76.706586826347305</v>
      </c>
      <c r="G19" s="3">
        <f t="shared" si="5"/>
        <v>107.57452752670503</v>
      </c>
      <c r="I19" s="3">
        <f t="shared" si="0"/>
        <v>114.67588880747773</v>
      </c>
      <c r="J19">
        <v>4.2300000000000004</v>
      </c>
      <c r="L19">
        <v>4.29</v>
      </c>
      <c r="N19" s="6">
        <f t="shared" si="8"/>
        <v>4.2300000000000004</v>
      </c>
      <c r="O19" s="3">
        <f t="shared" si="9"/>
        <v>99.529411764705898</v>
      </c>
      <c r="P19">
        <v>125.4</v>
      </c>
      <c r="S19">
        <f t="shared" si="1"/>
        <v>125.4</v>
      </c>
      <c r="T19" s="3">
        <f t="shared" si="2"/>
        <v>125.99290780141843</v>
      </c>
      <c r="U19" s="2">
        <v>14.0525363872106</v>
      </c>
      <c r="V19">
        <v>9.3616427171008603</v>
      </c>
      <c r="W19">
        <v>11.707089552155701</v>
      </c>
      <c r="X19">
        <v>1.84988789219772</v>
      </c>
      <c r="Y19" s="6">
        <f t="shared" ref="Y19:Y82" si="14">100*S19/$S$13</f>
        <v>129.94818652849742</v>
      </c>
      <c r="Z19" s="6">
        <f t="shared" ref="Z19:Z82" si="15">Y19*(L19/$L$13)</f>
        <v>123.8839378238342</v>
      </c>
      <c r="AA19" s="6">
        <f t="shared" ref="AA19:AA82" si="16">Y19/(O19/$O$13)</f>
        <v>129.94818652849742</v>
      </c>
      <c r="AC19" s="3">
        <f t="shared" si="13"/>
        <v>3.8756752941176478</v>
      </c>
      <c r="AE19" s="2"/>
      <c r="AF19" s="2">
        <v>119.92047030494901</v>
      </c>
      <c r="AG19" s="2"/>
      <c r="AH19" s="2"/>
      <c r="AI19" s="2">
        <v>120.05196177028201</v>
      </c>
      <c r="AJ19" s="2"/>
      <c r="AK19" s="2"/>
      <c r="AL19" s="2"/>
      <c r="AM19" s="2"/>
      <c r="AN19" s="2"/>
      <c r="AO19" s="2"/>
      <c r="AP19" s="2"/>
      <c r="AR19" s="2">
        <v>1.04754230459307E-2</v>
      </c>
      <c r="AS19" s="2">
        <v>4.0738175737132801E-2</v>
      </c>
      <c r="AT19" s="2">
        <v>5.2592954990215199E-2</v>
      </c>
      <c r="AU19" s="2">
        <v>3.4168676723726199E-2</v>
      </c>
    </row>
    <row r="20" spans="1:47" x14ac:dyDescent="0.25">
      <c r="A20">
        <v>1797</v>
      </c>
      <c r="B20">
        <v>12.33</v>
      </c>
      <c r="C20" s="3">
        <f t="shared" si="6"/>
        <v>42.634854771784227</v>
      </c>
      <c r="D20">
        <v>19.39</v>
      </c>
      <c r="E20" s="3">
        <f t="shared" si="7"/>
        <v>93.807450411223982</v>
      </c>
      <c r="F20" s="3">
        <f t="shared" si="4"/>
        <v>73.832335329341319</v>
      </c>
      <c r="G20" s="3">
        <f t="shared" si="5"/>
        <v>103.54363188167626</v>
      </c>
      <c r="I20" s="3">
        <f t="shared" si="0"/>
        <v>110.37889999970339</v>
      </c>
      <c r="J20">
        <v>4.2300000000000004</v>
      </c>
      <c r="L20">
        <v>4.4400000000000004</v>
      </c>
      <c r="N20" s="6">
        <f t="shared" si="8"/>
        <v>4.2300000000000004</v>
      </c>
      <c r="O20" s="3">
        <f t="shared" si="9"/>
        <v>99.529411764705898</v>
      </c>
      <c r="P20">
        <v>114.7</v>
      </c>
      <c r="S20">
        <f t="shared" si="1"/>
        <v>114.7</v>
      </c>
      <c r="T20" s="3">
        <f t="shared" si="2"/>
        <v>115.24231678486996</v>
      </c>
      <c r="U20" s="2">
        <v>10.7154568814358</v>
      </c>
      <c r="V20">
        <v>-2.0158441809259702</v>
      </c>
      <c r="W20">
        <v>4.3498063502549202</v>
      </c>
      <c r="X20">
        <v>5.28012891567775</v>
      </c>
      <c r="Y20" s="6">
        <f t="shared" si="14"/>
        <v>118.860103626943</v>
      </c>
      <c r="Z20" s="6">
        <f t="shared" si="15"/>
        <v>117.27530224525044</v>
      </c>
      <c r="AA20" s="6">
        <f t="shared" si="16"/>
        <v>118.860103626943</v>
      </c>
      <c r="AC20" s="3">
        <f t="shared" si="13"/>
        <v>3.8756752941176478</v>
      </c>
      <c r="AE20" s="2"/>
      <c r="AF20" s="2">
        <v>123.68541928367399</v>
      </c>
      <c r="AG20" s="2"/>
      <c r="AH20" s="2"/>
      <c r="AI20" s="2">
        <v>122.671954449316</v>
      </c>
      <c r="AJ20" s="2"/>
      <c r="AK20" s="2"/>
      <c r="AL20" s="2"/>
      <c r="AM20" s="2"/>
      <c r="AN20" s="2"/>
      <c r="AO20" s="2"/>
      <c r="AP20" s="2"/>
      <c r="AR20" s="2">
        <v>-8.5326953748006404E-2</v>
      </c>
      <c r="AS20" s="2">
        <v>4.0703333090113897E-2</v>
      </c>
      <c r="AT20" s="2">
        <v>-3.74715314896584E-2</v>
      </c>
      <c r="AU20" s="2">
        <v>2.8959338469301599E-2</v>
      </c>
    </row>
    <row r="21" spans="1:47" x14ac:dyDescent="0.25">
      <c r="A21">
        <v>1798</v>
      </c>
      <c r="B21">
        <v>11.92</v>
      </c>
      <c r="C21" s="3">
        <f t="shared" si="6"/>
        <v>41.217150760719221</v>
      </c>
      <c r="D21">
        <v>19.39</v>
      </c>
      <c r="E21" s="3">
        <f t="shared" si="7"/>
        <v>93.807450411223982</v>
      </c>
      <c r="F21" s="3">
        <f t="shared" si="4"/>
        <v>71.377245508982043</v>
      </c>
      <c r="G21" s="3">
        <f t="shared" si="5"/>
        <v>100.10057518488087</v>
      </c>
      <c r="I21" s="3">
        <f t="shared" si="0"/>
        <v>106.70855539306281</v>
      </c>
      <c r="J21">
        <v>4.25</v>
      </c>
      <c r="L21">
        <v>4.3899999999999997</v>
      </c>
      <c r="N21" s="6">
        <f t="shared" si="8"/>
        <v>4.25</v>
      </c>
      <c r="O21" s="3">
        <f t="shared" si="9"/>
        <v>100</v>
      </c>
      <c r="P21">
        <v>116.6</v>
      </c>
      <c r="S21">
        <f t="shared" si="1"/>
        <v>116.6</v>
      </c>
      <c r="T21" s="3">
        <f t="shared" si="2"/>
        <v>116.6</v>
      </c>
      <c r="U21" s="2">
        <v>7.9824329252082098</v>
      </c>
      <c r="V21">
        <v>-1.2239826017908</v>
      </c>
      <c r="W21">
        <v>3.3792251617087001</v>
      </c>
      <c r="X21">
        <v>8.4108733930500499</v>
      </c>
      <c r="Y21" s="6">
        <f t="shared" si="14"/>
        <v>120.82901554404145</v>
      </c>
      <c r="Z21" s="6">
        <f t="shared" si="15"/>
        <v>117.87541738629821</v>
      </c>
      <c r="AA21" s="6">
        <f t="shared" si="16"/>
        <v>120.26040841206952</v>
      </c>
      <c r="AC21" s="3">
        <f t="shared" si="13"/>
        <v>3.8940000000000001</v>
      </c>
      <c r="AE21" s="2"/>
      <c r="AF21" s="2">
        <v>127.20664379877201</v>
      </c>
      <c r="AG21" s="2"/>
      <c r="AH21" s="2"/>
      <c r="AI21" s="2">
        <v>126.960013986322</v>
      </c>
      <c r="AJ21" s="2"/>
      <c r="AK21" s="2"/>
      <c r="AL21" s="2"/>
      <c r="AM21" s="2"/>
      <c r="AN21" s="2"/>
      <c r="AO21" s="2"/>
      <c r="AP21" s="2"/>
      <c r="AR21" s="2">
        <v>1.6564952048822901E-2</v>
      </c>
      <c r="AS21" s="2">
        <v>4.0438797079485E-2</v>
      </c>
      <c r="AT21" s="2">
        <v>-3.3251564552267597E-2</v>
      </c>
      <c r="AU21" s="2">
        <v>2.3553563849465501E-2</v>
      </c>
    </row>
    <row r="22" spans="1:47" x14ac:dyDescent="0.25">
      <c r="A22">
        <v>1799</v>
      </c>
      <c r="B22">
        <v>11.92</v>
      </c>
      <c r="C22" s="3">
        <f t="shared" si="6"/>
        <v>41.217150760719221</v>
      </c>
      <c r="D22">
        <v>19.39</v>
      </c>
      <c r="E22" s="3">
        <f t="shared" si="7"/>
        <v>93.807450411223982</v>
      </c>
      <c r="F22" s="3">
        <f t="shared" si="4"/>
        <v>71.377245508982043</v>
      </c>
      <c r="G22" s="3">
        <f t="shared" si="5"/>
        <v>100.10057518488087</v>
      </c>
      <c r="I22" s="3">
        <f t="shared" si="0"/>
        <v>106.70855539306281</v>
      </c>
      <c r="J22">
        <v>4.24</v>
      </c>
      <c r="L22">
        <v>4.13</v>
      </c>
      <c r="N22" s="6">
        <f t="shared" si="8"/>
        <v>4.24</v>
      </c>
      <c r="O22" s="3">
        <f t="shared" si="9"/>
        <v>99.764705882352942</v>
      </c>
      <c r="P22">
        <v>134.6</v>
      </c>
      <c r="S22">
        <f t="shared" si="1"/>
        <v>134.6</v>
      </c>
      <c r="T22" s="3">
        <f t="shared" si="2"/>
        <v>134.91745283018867</v>
      </c>
      <c r="U22" s="2">
        <v>8.8937468125654302</v>
      </c>
      <c r="V22">
        <v>16.585509483821699</v>
      </c>
      <c r="W22">
        <v>12.739628148193599</v>
      </c>
      <c r="X22">
        <v>11.192093331537</v>
      </c>
      <c r="Y22" s="6">
        <f t="shared" si="14"/>
        <v>139.48186528497411</v>
      </c>
      <c r="Z22" s="6">
        <f t="shared" si="15"/>
        <v>128.01335636154292</v>
      </c>
      <c r="AA22" s="6">
        <f t="shared" si="16"/>
        <v>139.15289862156615</v>
      </c>
      <c r="AC22" s="3">
        <f t="shared" si="13"/>
        <v>3.884837647058824</v>
      </c>
      <c r="AE22" s="2"/>
      <c r="AF22" s="2">
        <v>130.41529535548099</v>
      </c>
      <c r="AG22" s="2">
        <v>-0.199456783479243</v>
      </c>
      <c r="AH22" s="2"/>
      <c r="AI22" s="2">
        <v>133.04402863412699</v>
      </c>
      <c r="AJ22" s="2"/>
      <c r="AK22" s="2"/>
      <c r="AL22" s="2"/>
      <c r="AM22" s="2"/>
      <c r="AN22" s="2"/>
      <c r="AO22" s="2"/>
      <c r="AP22" s="2"/>
      <c r="AR22" s="2">
        <v>0.15437392795883301</v>
      </c>
      <c r="AS22" s="2">
        <v>3.9227360888484102E-2</v>
      </c>
      <c r="AT22" s="2">
        <v>0</v>
      </c>
      <c r="AU22" s="2">
        <v>1.8738371397997999E-2</v>
      </c>
    </row>
    <row r="23" spans="1:47" x14ac:dyDescent="0.25">
      <c r="A23">
        <v>1800</v>
      </c>
      <c r="B23">
        <v>12.17</v>
      </c>
      <c r="C23" s="3">
        <f t="shared" si="6"/>
        <v>42.081604426002762</v>
      </c>
      <c r="D23">
        <v>19.39</v>
      </c>
      <c r="E23" s="3">
        <f t="shared" si="7"/>
        <v>93.807450411223982</v>
      </c>
      <c r="F23" s="3">
        <f t="shared" si="4"/>
        <v>72.874251497005986</v>
      </c>
      <c r="G23">
        <v>102.2</v>
      </c>
      <c r="I23" s="3">
        <f t="shared" si="0"/>
        <v>108.94657039711193</v>
      </c>
      <c r="J23">
        <v>4.26</v>
      </c>
      <c r="L23">
        <v>4.55</v>
      </c>
      <c r="N23" s="6">
        <f t="shared" si="8"/>
        <v>4.26</v>
      </c>
      <c r="O23" s="3">
        <f t="shared" si="9"/>
        <v>100.23529411764706</v>
      </c>
      <c r="P23">
        <v>163.1</v>
      </c>
      <c r="S23">
        <f t="shared" si="1"/>
        <v>163.1</v>
      </c>
      <c r="T23" s="3">
        <f t="shared" si="2"/>
        <v>162.71713615023475</v>
      </c>
      <c r="U23" s="2">
        <v>12.019680837545099</v>
      </c>
      <c r="V23">
        <v>43.930933265750198</v>
      </c>
      <c r="W23">
        <v>27.975307051647601</v>
      </c>
      <c r="X23">
        <v>13.5234442560476</v>
      </c>
      <c r="Y23" s="6">
        <f t="shared" si="14"/>
        <v>169.01554404145077</v>
      </c>
      <c r="Z23" s="6">
        <f t="shared" si="15"/>
        <v>170.89349453080021</v>
      </c>
      <c r="AA23" s="6">
        <f t="shared" si="16"/>
        <v>167.82529373129972</v>
      </c>
      <c r="AB23" s="3">
        <f>$AB$153*E23/100</f>
        <v>19.371238509917749</v>
      </c>
      <c r="AC23" s="3">
        <f t="shared" si="13"/>
        <v>3.9031623529411763</v>
      </c>
      <c r="AD23" s="3">
        <f>(I23*E23/100)-G23</f>
        <v>0</v>
      </c>
      <c r="AE23" s="2">
        <v>107.018471659752</v>
      </c>
      <c r="AF23" s="2">
        <v>133.136459021051</v>
      </c>
      <c r="AG23" s="2">
        <v>-7.9859084485342596E-2</v>
      </c>
      <c r="AH23" s="2">
        <v>111.18915542899001</v>
      </c>
      <c r="AI23" s="2">
        <v>137.59854865011499</v>
      </c>
      <c r="AJ23" s="2"/>
      <c r="AK23" s="2"/>
      <c r="AL23" s="2"/>
      <c r="AM23" s="2"/>
      <c r="AN23" s="2"/>
      <c r="AO23" s="2"/>
      <c r="AP23" s="2"/>
      <c r="AR23" s="2">
        <v>0.21173848439821599</v>
      </c>
      <c r="AS23" s="2">
        <v>3.6113079250042403E-2</v>
      </c>
      <c r="AT23" s="2">
        <v>2.09688214902948E-2</v>
      </c>
      <c r="AU23" s="2">
        <v>1.4732728364661499E-2</v>
      </c>
    </row>
    <row r="24" spans="1:47" x14ac:dyDescent="0.25">
      <c r="A24">
        <v>1801</v>
      </c>
      <c r="B24">
        <v>12.33</v>
      </c>
      <c r="C24" s="3">
        <f t="shared" si="6"/>
        <v>42.634854771784227</v>
      </c>
      <c r="D24">
        <v>19.39</v>
      </c>
      <c r="E24" s="3">
        <f t="shared" si="7"/>
        <v>93.807450411223982</v>
      </c>
      <c r="F24" s="3">
        <f t="shared" si="4"/>
        <v>73.832335329341319</v>
      </c>
      <c r="G24">
        <v>112.6</v>
      </c>
      <c r="I24" s="3">
        <f t="shared" si="0"/>
        <v>120.03310985043839</v>
      </c>
      <c r="J24">
        <v>4.29</v>
      </c>
      <c r="L24">
        <v>4.38</v>
      </c>
      <c r="N24" s="6">
        <f t="shared" si="8"/>
        <v>4.29</v>
      </c>
      <c r="O24" s="3">
        <f t="shared" si="9"/>
        <v>100.94117647058823</v>
      </c>
      <c r="P24">
        <v>163.19999999999999</v>
      </c>
      <c r="S24">
        <f t="shared" si="1"/>
        <v>163.19999999999999</v>
      </c>
      <c r="T24" s="3">
        <f t="shared" si="2"/>
        <v>161.67832167832165</v>
      </c>
      <c r="U24" s="2">
        <v>23.9605172941848</v>
      </c>
      <c r="V24">
        <v>42.490609094355897</v>
      </c>
      <c r="W24">
        <v>33.2255631942704</v>
      </c>
      <c r="X24">
        <v>15.3200570396573</v>
      </c>
      <c r="Y24" s="6">
        <f t="shared" si="14"/>
        <v>169.11917098445593</v>
      </c>
      <c r="Z24" s="6">
        <f t="shared" si="15"/>
        <v>164.60932642487043</v>
      </c>
      <c r="AA24" s="6">
        <f t="shared" si="16"/>
        <v>166.75386789376427</v>
      </c>
      <c r="AB24" s="3">
        <f t="shared" ref="AB24:AB87" si="17">$AB$153*E24/100</f>
        <v>19.371238509917749</v>
      </c>
      <c r="AC24" s="3">
        <f t="shared" si="13"/>
        <v>3.9306494117647062</v>
      </c>
      <c r="AD24" s="3">
        <f t="shared" ref="AD24:AD87" si="18">(I24*E24/100)-G24</f>
        <v>0</v>
      </c>
      <c r="AE24" s="2">
        <v>107.289722979187</v>
      </c>
      <c r="AF24" s="2">
        <v>135.23976690917601</v>
      </c>
      <c r="AG24" s="2">
        <v>-0.25108314105410501</v>
      </c>
      <c r="AH24" s="2">
        <v>109.36375869638</v>
      </c>
      <c r="AI24" s="2">
        <v>137.90678141362901</v>
      </c>
      <c r="AJ24" s="2"/>
      <c r="AK24" s="2"/>
      <c r="AL24" s="2"/>
      <c r="AM24" s="2"/>
      <c r="AN24" s="2"/>
      <c r="AO24" s="2"/>
      <c r="AP24" s="2"/>
      <c r="AR24" s="2">
        <v>6.1312078479456905E-4</v>
      </c>
      <c r="AS24" s="2">
        <v>3.1291472567794798E-2</v>
      </c>
      <c r="AT24" s="2">
        <v>0.101761252446183</v>
      </c>
      <c r="AU24" s="2">
        <v>1.15682182852386E-2</v>
      </c>
    </row>
    <row r="25" spans="1:47" x14ac:dyDescent="0.25">
      <c r="A25">
        <v>1802</v>
      </c>
      <c r="B25">
        <v>10.39</v>
      </c>
      <c r="C25" s="3">
        <f t="shared" si="6"/>
        <v>35.926694329183952</v>
      </c>
      <c r="D25">
        <v>19.39</v>
      </c>
      <c r="E25" s="3">
        <f t="shared" si="7"/>
        <v>93.807450411223982</v>
      </c>
      <c r="F25" s="3">
        <f t="shared" si="4"/>
        <v>62.215568862275454</v>
      </c>
      <c r="G25">
        <v>92.8</v>
      </c>
      <c r="I25" s="3">
        <f t="shared" si="0"/>
        <v>98.926044352759163</v>
      </c>
      <c r="J25">
        <v>4.3099999999999996</v>
      </c>
      <c r="L25">
        <v>4.49</v>
      </c>
      <c r="N25" s="6">
        <f t="shared" si="8"/>
        <v>4.3099999999999996</v>
      </c>
      <c r="O25" s="3">
        <f t="shared" si="9"/>
        <v>101.41176470588233</v>
      </c>
      <c r="P25">
        <v>132</v>
      </c>
      <c r="S25">
        <f t="shared" si="1"/>
        <v>132</v>
      </c>
      <c r="T25" s="3">
        <f t="shared" si="2"/>
        <v>130.16241299303948</v>
      </c>
      <c r="U25" s="2">
        <v>3.69653847652229</v>
      </c>
      <c r="V25">
        <v>10.622876480523299</v>
      </c>
      <c r="W25">
        <v>7.1597074785228099</v>
      </c>
      <c r="X25">
        <v>16.641581183397701</v>
      </c>
      <c r="Y25" s="6">
        <f t="shared" si="14"/>
        <v>136.78756476683938</v>
      </c>
      <c r="Z25" s="6">
        <f t="shared" si="15"/>
        <v>136.48359240069087</v>
      </c>
      <c r="AA25" s="6">
        <f t="shared" si="16"/>
        <v>134.24858444634125</v>
      </c>
      <c r="AB25" s="3">
        <f t="shared" si="17"/>
        <v>19.371238509917749</v>
      </c>
      <c r="AC25" s="3">
        <f t="shared" si="13"/>
        <v>3.9489741176470581</v>
      </c>
      <c r="AD25" s="3">
        <f t="shared" si="18"/>
        <v>0</v>
      </c>
      <c r="AE25" s="2">
        <v>107.58038958202501</v>
      </c>
      <c r="AF25" s="2">
        <v>136.75848654334001</v>
      </c>
      <c r="AG25" s="2">
        <v>-0.22190089488095299</v>
      </c>
      <c r="AH25" s="2">
        <v>106.79531015410601</v>
      </c>
      <c r="AI25" s="2">
        <v>135.21908475397299</v>
      </c>
      <c r="AJ25" s="2"/>
      <c r="AK25" s="2"/>
      <c r="AL25" s="2"/>
      <c r="AM25" s="2"/>
      <c r="AN25" s="2"/>
      <c r="AO25" s="2"/>
      <c r="AP25" s="2"/>
      <c r="AR25" s="2">
        <v>-0.191176470588235</v>
      </c>
      <c r="AS25" s="2">
        <v>2.6714315296857999E-2</v>
      </c>
      <c r="AT25" s="2">
        <v>-0.17584369449378301</v>
      </c>
      <c r="AU25" s="2">
        <v>9.3387856267681899E-3</v>
      </c>
    </row>
    <row r="26" spans="1:47" x14ac:dyDescent="0.25">
      <c r="A26">
        <v>1803</v>
      </c>
      <c r="B26">
        <v>10.96</v>
      </c>
      <c r="C26" s="3">
        <f t="shared" si="6"/>
        <v>37.897648686030429</v>
      </c>
      <c r="D26">
        <v>19.39</v>
      </c>
      <c r="E26" s="3">
        <f t="shared" si="7"/>
        <v>93.807450411223982</v>
      </c>
      <c r="F26" s="3">
        <f t="shared" si="4"/>
        <v>65.628742514970057</v>
      </c>
      <c r="G26">
        <v>93.5</v>
      </c>
      <c r="I26" s="3">
        <f t="shared" si="0"/>
        <v>99.672253739040755</v>
      </c>
      <c r="J26">
        <v>4.34</v>
      </c>
      <c r="L26">
        <v>4.54</v>
      </c>
      <c r="N26" s="6">
        <f t="shared" si="8"/>
        <v>4.34</v>
      </c>
      <c r="O26" s="3">
        <f t="shared" si="9"/>
        <v>102.11764705882354</v>
      </c>
      <c r="P26">
        <v>133.5</v>
      </c>
      <c r="S26">
        <f t="shared" si="1"/>
        <v>133.5</v>
      </c>
      <c r="T26" s="3">
        <f t="shared" si="2"/>
        <v>130.7315668202765</v>
      </c>
      <c r="U26" s="2">
        <v>5.2480266785950098</v>
      </c>
      <c r="V26">
        <v>10.896094095660001</v>
      </c>
      <c r="W26">
        <v>8.0720603871275092</v>
      </c>
      <c r="X26">
        <v>17.726721249846499</v>
      </c>
      <c r="Y26" s="6">
        <f t="shared" si="14"/>
        <v>138.34196891191709</v>
      </c>
      <c r="Z26" s="6">
        <f t="shared" si="15"/>
        <v>139.57167530224524</v>
      </c>
      <c r="AA26" s="6">
        <f t="shared" si="16"/>
        <v>134.83560564456437</v>
      </c>
      <c r="AB26" s="3">
        <f t="shared" si="17"/>
        <v>19.371238509917749</v>
      </c>
      <c r="AC26" s="3">
        <f t="shared" si="13"/>
        <v>3.9764611764705888</v>
      </c>
      <c r="AD26" s="3">
        <f t="shared" si="18"/>
        <v>0</v>
      </c>
      <c r="AE26" s="2">
        <v>108.03738952187599</v>
      </c>
      <c r="AF26" s="2">
        <v>137.897087777937</v>
      </c>
      <c r="AG26" s="2">
        <v>-0.133611255732173</v>
      </c>
      <c r="AH26" s="2">
        <v>106.29950509371299</v>
      </c>
      <c r="AI26" s="2">
        <v>134.09355602924299</v>
      </c>
      <c r="AJ26" s="2"/>
      <c r="AK26" s="2"/>
      <c r="AL26" s="2"/>
      <c r="AM26" s="2"/>
      <c r="AN26" s="2"/>
      <c r="AO26" s="2"/>
      <c r="AP26" s="2"/>
      <c r="AR26" s="2">
        <v>1.13636363636363E-2</v>
      </c>
      <c r="AS26" s="2">
        <v>2.4026598374518301E-2</v>
      </c>
      <c r="AT26" s="2">
        <v>7.5431034482758902E-3</v>
      </c>
      <c r="AU26" s="2">
        <v>9.0403051978985207E-3</v>
      </c>
    </row>
    <row r="27" spans="1:47" x14ac:dyDescent="0.25">
      <c r="A27">
        <v>1804</v>
      </c>
      <c r="B27">
        <v>11.44</v>
      </c>
      <c r="C27" s="3">
        <f t="shared" si="6"/>
        <v>39.557399723374822</v>
      </c>
      <c r="D27">
        <v>19.39</v>
      </c>
      <c r="E27" s="3">
        <f t="shared" si="7"/>
        <v>93.807450411223982</v>
      </c>
      <c r="F27" s="3">
        <f t="shared" si="4"/>
        <v>68.502994011976057</v>
      </c>
      <c r="G27">
        <v>100</v>
      </c>
      <c r="I27" s="3">
        <f t="shared" si="0"/>
        <v>106.60134089736979</v>
      </c>
      <c r="J27">
        <v>4.3600000000000003</v>
      </c>
      <c r="L27">
        <v>4.55</v>
      </c>
      <c r="N27" s="6">
        <f t="shared" si="8"/>
        <v>4.3600000000000003</v>
      </c>
      <c r="O27" s="3">
        <f t="shared" si="9"/>
        <v>102.58823529411767</v>
      </c>
      <c r="P27">
        <v>134.30000000000001</v>
      </c>
      <c r="S27">
        <f t="shared" si="1"/>
        <v>134.30000000000001</v>
      </c>
      <c r="T27" s="3">
        <f t="shared" si="2"/>
        <v>130.91169724770643</v>
      </c>
      <c r="U27" s="2">
        <v>12.965264194440699</v>
      </c>
      <c r="V27">
        <v>10.8286397716964</v>
      </c>
      <c r="W27">
        <v>11.8969519830686</v>
      </c>
      <c r="X27">
        <v>18.719363064532601</v>
      </c>
      <c r="Y27" s="6">
        <f t="shared" si="14"/>
        <v>139.17098445595857</v>
      </c>
      <c r="Z27" s="6">
        <f t="shared" si="15"/>
        <v>140.71732872769144</v>
      </c>
      <c r="AA27" s="6">
        <f t="shared" si="16"/>
        <v>135.02139088273046</v>
      </c>
      <c r="AB27" s="3">
        <f t="shared" si="17"/>
        <v>19.371238509917749</v>
      </c>
      <c r="AC27" s="3">
        <f t="shared" si="13"/>
        <v>3.9947858823529416</v>
      </c>
      <c r="AD27" s="3">
        <f t="shared" si="18"/>
        <v>0</v>
      </c>
      <c r="AE27" s="2">
        <v>108.72113695653201</v>
      </c>
      <c r="AF27" s="2">
        <v>138.73185560192499</v>
      </c>
      <c r="AG27" s="2">
        <v>-6.1583465321851704E-4</v>
      </c>
      <c r="AH27" s="2">
        <v>108.070268755374</v>
      </c>
      <c r="AI27" s="2">
        <v>135.32859767954201</v>
      </c>
      <c r="AJ27" s="2"/>
      <c r="AK27" s="2"/>
      <c r="AL27" s="2"/>
      <c r="AM27" s="2"/>
      <c r="AN27" s="2"/>
      <c r="AO27" s="2"/>
      <c r="AP27" s="2"/>
      <c r="AR27" s="2">
        <v>5.9925093632959602E-3</v>
      </c>
      <c r="AS27" s="2">
        <v>2.2694404879211601E-2</v>
      </c>
      <c r="AT27" s="2">
        <v>6.9518716577540093E-2</v>
      </c>
      <c r="AU27" s="2">
        <v>9.8168270060724708E-3</v>
      </c>
    </row>
    <row r="28" spans="1:47" x14ac:dyDescent="0.25">
      <c r="A28">
        <v>1805</v>
      </c>
      <c r="B28">
        <v>11.36</v>
      </c>
      <c r="C28" s="3">
        <f t="shared" si="6"/>
        <v>39.28077455048409</v>
      </c>
      <c r="D28">
        <v>19.39</v>
      </c>
      <c r="E28" s="3">
        <f t="shared" si="7"/>
        <v>93.807450411223982</v>
      </c>
      <c r="F28" s="3">
        <f t="shared" si="4"/>
        <v>68.023952095808383</v>
      </c>
      <c r="G28">
        <v>111.9</v>
      </c>
      <c r="I28" s="3">
        <f t="shared" si="0"/>
        <v>119.2869004641568</v>
      </c>
      <c r="J28">
        <v>4.3600000000000003</v>
      </c>
      <c r="L28">
        <v>4.3499999999999996</v>
      </c>
      <c r="N28" s="6">
        <f t="shared" si="8"/>
        <v>4.3600000000000003</v>
      </c>
      <c r="O28" s="3">
        <f t="shared" si="9"/>
        <v>102.58823529411767</v>
      </c>
      <c r="P28">
        <v>147.1</v>
      </c>
      <c r="S28">
        <f t="shared" si="1"/>
        <v>147.1</v>
      </c>
      <c r="T28" s="3">
        <f t="shared" si="2"/>
        <v>143.38876146788988</v>
      </c>
      <c r="U28" s="2">
        <v>26.418533318097001</v>
      </c>
      <c r="V28">
        <v>23.108910501086001</v>
      </c>
      <c r="W28">
        <v>24.763721909591499</v>
      </c>
      <c r="X28">
        <v>19.666845844357599</v>
      </c>
      <c r="Y28" s="6">
        <f t="shared" si="14"/>
        <v>152.43523316062175</v>
      </c>
      <c r="Z28" s="6">
        <f t="shared" si="15"/>
        <v>147.35405872193434</v>
      </c>
      <c r="AA28" s="6">
        <f t="shared" si="16"/>
        <v>147.89014593335551</v>
      </c>
      <c r="AB28" s="3">
        <f t="shared" si="17"/>
        <v>19.371238509917749</v>
      </c>
      <c r="AC28" s="3">
        <f t="shared" si="13"/>
        <v>3.9947858823529416</v>
      </c>
      <c r="AD28" s="3">
        <f t="shared" si="18"/>
        <v>0</v>
      </c>
      <c r="AE28" s="2">
        <v>109.608472148563</v>
      </c>
      <c r="AF28" s="2">
        <v>139.260004126485</v>
      </c>
      <c r="AG28" s="2">
        <v>-3.1961437407304602E-2</v>
      </c>
      <c r="AH28" s="2">
        <v>110.09502468136</v>
      </c>
      <c r="AI28" s="2">
        <v>138.354760135227</v>
      </c>
      <c r="AJ28" s="2"/>
      <c r="AK28" s="2"/>
      <c r="AL28" s="2"/>
      <c r="AM28" s="2"/>
      <c r="AN28" s="2"/>
      <c r="AO28" s="2"/>
      <c r="AP28" s="2"/>
      <c r="AR28" s="2">
        <v>9.5309009679821102E-2</v>
      </c>
      <c r="AS28" s="2">
        <v>2.2057188269264501E-2</v>
      </c>
      <c r="AT28" s="2">
        <v>0.11899999999999999</v>
      </c>
      <c r="AU28" s="2">
        <v>1.07974290412366E-2</v>
      </c>
    </row>
    <row r="29" spans="1:47" x14ac:dyDescent="0.25">
      <c r="A29">
        <v>1806</v>
      </c>
      <c r="B29">
        <v>11.84</v>
      </c>
      <c r="C29" s="3">
        <f t="shared" si="6"/>
        <v>40.940525587828489</v>
      </c>
      <c r="D29">
        <v>19.39</v>
      </c>
      <c r="E29" s="3">
        <f t="shared" si="7"/>
        <v>93.807450411223982</v>
      </c>
      <c r="F29" s="3">
        <f t="shared" si="4"/>
        <v>70.898203592814369</v>
      </c>
      <c r="G29">
        <v>106.3</v>
      </c>
      <c r="I29" s="3">
        <f t="shared" si="0"/>
        <v>113.31722537390409</v>
      </c>
      <c r="J29">
        <v>4.42</v>
      </c>
      <c r="L29">
        <v>4.43</v>
      </c>
      <c r="N29" s="6">
        <f t="shared" si="8"/>
        <v>4.42</v>
      </c>
      <c r="O29" s="3">
        <f t="shared" si="9"/>
        <v>104</v>
      </c>
      <c r="P29">
        <v>145.30000000000001</v>
      </c>
      <c r="S29">
        <f t="shared" si="1"/>
        <v>145.30000000000001</v>
      </c>
      <c r="T29" s="3">
        <f t="shared" si="2"/>
        <v>139.71153846153848</v>
      </c>
      <c r="U29" s="2">
        <v>21.188116343601401</v>
      </c>
      <c r="V29">
        <v>19.2753224368054</v>
      </c>
      <c r="W29">
        <v>20.231719390203398</v>
      </c>
      <c r="X29">
        <v>20.5482846954087</v>
      </c>
      <c r="Y29" s="6">
        <f t="shared" si="14"/>
        <v>150.56994818652851</v>
      </c>
      <c r="Z29" s="6">
        <f t="shared" si="15"/>
        <v>148.22774899251581</v>
      </c>
      <c r="AA29" s="6">
        <f t="shared" si="16"/>
        <v>144.09748435045606</v>
      </c>
      <c r="AB29" s="3">
        <f t="shared" si="17"/>
        <v>19.371238509917749</v>
      </c>
      <c r="AC29" s="3">
        <f t="shared" si="13"/>
        <v>4.04976</v>
      </c>
      <c r="AD29" s="3">
        <f t="shared" si="18"/>
        <v>0</v>
      </c>
      <c r="AE29" s="2">
        <v>110.65512399097599</v>
      </c>
      <c r="AF29" s="2">
        <v>139.39912890677701</v>
      </c>
      <c r="AG29" s="2">
        <v>-4.31449218434364E-2</v>
      </c>
      <c r="AH29" s="2">
        <v>109.874440162149</v>
      </c>
      <c r="AI29" s="2">
        <v>141.08306126680699</v>
      </c>
      <c r="AJ29" s="2"/>
      <c r="AK29" s="2"/>
      <c r="AL29" s="2"/>
      <c r="AM29" s="2"/>
      <c r="AN29" s="2"/>
      <c r="AO29" s="2"/>
      <c r="AP29" s="2"/>
      <c r="AR29" s="2">
        <v>-1.22365737593472E-2</v>
      </c>
      <c r="AS29" s="2">
        <v>2.1287383047844902E-2</v>
      </c>
      <c r="AT29" s="2">
        <v>-5.0044682752457603E-2</v>
      </c>
      <c r="AU29" s="2">
        <v>1.17082081890522E-2</v>
      </c>
    </row>
    <row r="30" spans="1:47" x14ac:dyDescent="0.25">
      <c r="A30">
        <v>1807</v>
      </c>
      <c r="B30">
        <v>11.2</v>
      </c>
      <c r="C30" s="3">
        <f t="shared" si="6"/>
        <v>38.727524204702625</v>
      </c>
      <c r="D30">
        <v>19.39</v>
      </c>
      <c r="E30" s="3">
        <f t="shared" si="7"/>
        <v>93.807450411223982</v>
      </c>
      <c r="F30" s="3">
        <f t="shared" si="4"/>
        <v>67.06586826347305</v>
      </c>
      <c r="G30">
        <v>103.1</v>
      </c>
      <c r="I30" s="3">
        <f t="shared" si="0"/>
        <v>109.90598246518826</v>
      </c>
      <c r="J30">
        <v>4.47</v>
      </c>
      <c r="L30">
        <v>4.42</v>
      </c>
      <c r="N30" s="6">
        <f t="shared" si="8"/>
        <v>4.47</v>
      </c>
      <c r="O30" s="3">
        <f t="shared" si="9"/>
        <v>105.17647058823529</v>
      </c>
      <c r="P30">
        <v>141.69999999999999</v>
      </c>
      <c r="S30">
        <f t="shared" si="1"/>
        <v>141.69999999999999</v>
      </c>
      <c r="T30" s="3">
        <f t="shared" si="2"/>
        <v>134.72595078299776</v>
      </c>
      <c r="U30" s="2">
        <v>18.494295564991699</v>
      </c>
      <c r="V30">
        <v>14.186310892353999</v>
      </c>
      <c r="W30">
        <v>16.340303228672902</v>
      </c>
      <c r="X30">
        <v>21.3937634844252</v>
      </c>
      <c r="Y30" s="6">
        <f t="shared" si="14"/>
        <v>146.83937823834194</v>
      </c>
      <c r="Z30" s="6">
        <f t="shared" si="15"/>
        <v>144.22890040299365</v>
      </c>
      <c r="AA30" s="6">
        <f t="shared" si="16"/>
        <v>138.95538477588065</v>
      </c>
      <c r="AB30" s="3">
        <f t="shared" si="17"/>
        <v>19.371238509917749</v>
      </c>
      <c r="AC30" s="3">
        <f t="shared" si="13"/>
        <v>4.0955717647058822</v>
      </c>
      <c r="AD30" s="3">
        <f t="shared" si="18"/>
        <v>0</v>
      </c>
      <c r="AE30" s="2">
        <v>111.913736655292</v>
      </c>
      <c r="AF30" s="2">
        <v>139.106525456697</v>
      </c>
      <c r="AG30" s="2">
        <v>-0.14576777567940699</v>
      </c>
      <c r="AH30" s="2">
        <v>107.977507594435</v>
      </c>
      <c r="AI30" s="2">
        <v>143.04959889971499</v>
      </c>
      <c r="AJ30" s="2"/>
      <c r="AK30" s="2"/>
      <c r="AL30" s="2"/>
      <c r="AM30" s="2"/>
      <c r="AN30" s="2"/>
      <c r="AO30" s="2"/>
      <c r="AP30" s="2"/>
      <c r="AR30" s="2">
        <v>-2.47763248451481E-2</v>
      </c>
      <c r="AS30" s="2">
        <v>2.0289941932225799E-2</v>
      </c>
      <c r="AT30" s="2">
        <v>-3.0103480714957599E-2</v>
      </c>
      <c r="AU30" s="2">
        <v>1.3357287044768301E-2</v>
      </c>
    </row>
    <row r="31" spans="1:47" x14ac:dyDescent="0.25">
      <c r="A31">
        <v>1808</v>
      </c>
      <c r="B31">
        <v>12.17</v>
      </c>
      <c r="C31" s="3">
        <f t="shared" si="6"/>
        <v>42.081604426002762</v>
      </c>
      <c r="D31">
        <v>19.39</v>
      </c>
      <c r="E31" s="3">
        <f t="shared" si="7"/>
        <v>93.807450411223982</v>
      </c>
      <c r="F31" s="3">
        <f t="shared" si="4"/>
        <v>72.874251497005986</v>
      </c>
      <c r="G31">
        <v>91.3</v>
      </c>
      <c r="I31" s="3">
        <f t="shared" si="0"/>
        <v>97.327024239298623</v>
      </c>
      <c r="J31">
        <v>4.5199999999999996</v>
      </c>
      <c r="L31">
        <v>4.63</v>
      </c>
      <c r="N31" s="6">
        <f t="shared" si="8"/>
        <v>4.5199999999999996</v>
      </c>
      <c r="O31" s="3">
        <f t="shared" si="9"/>
        <v>106.35294117647058</v>
      </c>
      <c r="P31">
        <v>156.1</v>
      </c>
      <c r="S31">
        <f t="shared" si="1"/>
        <v>156.1</v>
      </c>
      <c r="T31" s="3">
        <f t="shared" si="2"/>
        <v>146.77544247787611</v>
      </c>
      <c r="U31" s="2">
        <v>6.6073532763053899</v>
      </c>
      <c r="V31">
        <v>26.1703303417545</v>
      </c>
      <c r="W31">
        <v>16.388841809029898</v>
      </c>
      <c r="X31">
        <v>22.230200425094601</v>
      </c>
      <c r="Y31" s="6">
        <f t="shared" si="14"/>
        <v>161.76165803108807</v>
      </c>
      <c r="Z31" s="6">
        <f t="shared" si="15"/>
        <v>166.43477259643063</v>
      </c>
      <c r="AA31" s="6">
        <f t="shared" si="16"/>
        <v>151.3831445733413</v>
      </c>
      <c r="AB31" s="3">
        <f t="shared" si="17"/>
        <v>19.371238509917749</v>
      </c>
      <c r="AC31" s="3">
        <f t="shared" si="13"/>
        <v>4.1413835294117645</v>
      </c>
      <c r="AD31" s="3">
        <f t="shared" si="18"/>
        <v>0</v>
      </c>
      <c r="AE31" s="2">
        <v>113.463703073123</v>
      </c>
      <c r="AF31" s="2">
        <v>138.360298001074</v>
      </c>
      <c r="AG31" s="2">
        <v>-5.8019466965147396E-3</v>
      </c>
      <c r="AH31" s="2">
        <v>106.125072654192</v>
      </c>
      <c r="AI31" s="2">
        <v>143.92278377044801</v>
      </c>
      <c r="AJ31" s="2"/>
      <c r="AK31" s="2"/>
      <c r="AL31" s="2"/>
      <c r="AM31" s="2"/>
      <c r="AN31" s="2"/>
      <c r="AO31" s="2"/>
      <c r="AP31" s="2"/>
      <c r="AR31" s="2">
        <v>0.10162314749470699</v>
      </c>
      <c r="AS31" s="2">
        <v>1.8634578071608499E-2</v>
      </c>
      <c r="AT31" s="2">
        <v>-0.11445198836081399</v>
      </c>
      <c r="AU31" s="2">
        <v>1.59352592942185E-2</v>
      </c>
    </row>
    <row r="32" spans="1:47" x14ac:dyDescent="0.25">
      <c r="A32">
        <v>1809</v>
      </c>
      <c r="B32">
        <v>11.92</v>
      </c>
      <c r="C32" s="3">
        <f t="shared" si="6"/>
        <v>41.217150760719221</v>
      </c>
      <c r="D32">
        <v>19.39</v>
      </c>
      <c r="E32" s="3">
        <f t="shared" si="7"/>
        <v>93.807450411223982</v>
      </c>
      <c r="F32" s="3">
        <f t="shared" si="4"/>
        <v>71.377245508982043</v>
      </c>
      <c r="G32">
        <v>103.1</v>
      </c>
      <c r="I32" s="3">
        <f t="shared" si="0"/>
        <v>109.90598246518826</v>
      </c>
      <c r="J32">
        <v>4.58</v>
      </c>
      <c r="L32">
        <v>4.57</v>
      </c>
      <c r="N32" s="6">
        <f t="shared" si="8"/>
        <v>4.58</v>
      </c>
      <c r="O32" s="3">
        <f t="shared" si="9"/>
        <v>107.76470588235294</v>
      </c>
      <c r="P32">
        <v>167.4</v>
      </c>
      <c r="S32">
        <f t="shared" si="1"/>
        <v>167.4</v>
      </c>
      <c r="T32" s="3">
        <f t="shared" si="2"/>
        <v>155.33842794759826</v>
      </c>
      <c r="U32" s="2">
        <v>19.857571771580201</v>
      </c>
      <c r="V32">
        <v>34.705854419552402</v>
      </c>
      <c r="W32">
        <v>27.2817130955663</v>
      </c>
      <c r="X32">
        <v>23.033979128546498</v>
      </c>
      <c r="Y32" s="6">
        <f t="shared" si="14"/>
        <v>173.47150259067357</v>
      </c>
      <c r="Z32" s="6">
        <f t="shared" si="15"/>
        <v>176.16994818652847</v>
      </c>
      <c r="AA32" s="6">
        <f t="shared" si="16"/>
        <v>160.21494671584045</v>
      </c>
      <c r="AB32" s="3">
        <f t="shared" si="17"/>
        <v>19.371238509917749</v>
      </c>
      <c r="AC32" s="3">
        <f t="shared" si="13"/>
        <v>4.1963576470588233</v>
      </c>
      <c r="AD32" s="3">
        <f t="shared" si="18"/>
        <v>0</v>
      </c>
      <c r="AE32" s="2">
        <v>115.364378809526</v>
      </c>
      <c r="AF32" s="2">
        <v>137.12718551016701</v>
      </c>
      <c r="AG32" s="2">
        <v>1.8895777522705801E-2</v>
      </c>
      <c r="AH32" s="2">
        <v>106.682145152587</v>
      </c>
      <c r="AI32" s="2">
        <v>141.677826982266</v>
      </c>
      <c r="AJ32" s="2"/>
      <c r="AK32" s="2"/>
      <c r="AL32" s="2"/>
      <c r="AM32" s="2"/>
      <c r="AN32" s="2"/>
      <c r="AO32" s="2"/>
      <c r="AP32" s="2"/>
      <c r="AR32" s="2">
        <v>7.2389493914157596E-2</v>
      </c>
      <c r="AS32" s="2">
        <v>1.5440341947420701E-2</v>
      </c>
      <c r="AT32" s="2">
        <v>0.12924424972617701</v>
      </c>
      <c r="AU32" s="2">
        <v>1.9198110945639401E-2</v>
      </c>
    </row>
    <row r="33" spans="1:47" x14ac:dyDescent="0.25">
      <c r="A33">
        <v>1810</v>
      </c>
      <c r="B33">
        <v>11.92</v>
      </c>
      <c r="C33" s="3">
        <f t="shared" si="6"/>
        <v>41.217150760719221</v>
      </c>
      <c r="D33">
        <v>19.39</v>
      </c>
      <c r="E33" s="3">
        <f t="shared" si="7"/>
        <v>93.807450411223982</v>
      </c>
      <c r="F33" s="3">
        <f t="shared" si="4"/>
        <v>71.377245508982043</v>
      </c>
      <c r="G33">
        <v>103.8</v>
      </c>
      <c r="I33" s="3">
        <f t="shared" si="0"/>
        <v>110.65219185146985</v>
      </c>
      <c r="J33">
        <v>4.63</v>
      </c>
      <c r="L33">
        <v>4.3</v>
      </c>
      <c r="N33" s="6">
        <f t="shared" si="8"/>
        <v>4.63</v>
      </c>
      <c r="O33" s="3">
        <f t="shared" si="9"/>
        <v>108.94117647058823</v>
      </c>
      <c r="P33">
        <v>165.7</v>
      </c>
      <c r="S33">
        <f t="shared" si="1"/>
        <v>165.7</v>
      </c>
      <c r="T33" s="3">
        <f t="shared" si="2"/>
        <v>152.10043196544277</v>
      </c>
      <c r="U33" s="2">
        <v>21.245233344853698</v>
      </c>
      <c r="V33">
        <v>31.481375920816198</v>
      </c>
      <c r="W33">
        <v>26.3633046328349</v>
      </c>
      <c r="X33">
        <v>23.723069619750401</v>
      </c>
      <c r="Y33" s="6">
        <f t="shared" si="14"/>
        <v>171.70984455958549</v>
      </c>
      <c r="Z33" s="6">
        <f t="shared" si="15"/>
        <v>164.07829591249279</v>
      </c>
      <c r="AA33" s="6">
        <f t="shared" si="16"/>
        <v>156.87530075314186</v>
      </c>
      <c r="AB33" s="3">
        <f t="shared" si="17"/>
        <v>19.371238509917749</v>
      </c>
      <c r="AC33" s="3">
        <f t="shared" si="13"/>
        <v>4.2421694117647055</v>
      </c>
      <c r="AD33" s="3">
        <f t="shared" si="18"/>
        <v>0</v>
      </c>
      <c r="AE33" s="2">
        <v>117.51378239882899</v>
      </c>
      <c r="AF33" s="2">
        <v>135.51032397422699</v>
      </c>
      <c r="AG33" s="2">
        <v>-9.9994670969733392E-4</v>
      </c>
      <c r="AH33" s="2">
        <v>109.082044016051</v>
      </c>
      <c r="AI33" s="2">
        <v>136.982345048279</v>
      </c>
      <c r="AJ33" s="2"/>
      <c r="AK33" s="2"/>
      <c r="AL33" s="2"/>
      <c r="AM33" s="2"/>
      <c r="AN33" s="2"/>
      <c r="AO33" s="2"/>
      <c r="AP33" s="2"/>
      <c r="AR33" s="2">
        <v>-1.01553166069296E-2</v>
      </c>
      <c r="AS33" s="2">
        <v>1.06561697353209E-2</v>
      </c>
      <c r="AT33" s="2">
        <v>6.7895247332686896E-3</v>
      </c>
      <c r="AU33" s="2">
        <v>2.1597955530717299E-2</v>
      </c>
    </row>
    <row r="34" spans="1:47" x14ac:dyDescent="0.25">
      <c r="A34">
        <v>1811</v>
      </c>
      <c r="B34">
        <v>12.73</v>
      </c>
      <c r="C34" s="3">
        <f t="shared" si="6"/>
        <v>44.017980636237894</v>
      </c>
      <c r="D34">
        <v>19.39</v>
      </c>
      <c r="E34" s="3">
        <f t="shared" si="7"/>
        <v>93.807450411223982</v>
      </c>
      <c r="F34" s="3">
        <f t="shared" si="4"/>
        <v>76.227544910179645</v>
      </c>
      <c r="G34">
        <v>100</v>
      </c>
      <c r="I34" s="3">
        <f t="shared" si="0"/>
        <v>106.60134089736979</v>
      </c>
      <c r="J34">
        <v>5.19</v>
      </c>
      <c r="L34">
        <v>3.82</v>
      </c>
      <c r="N34" s="6">
        <f t="shared" si="8"/>
        <v>5.19</v>
      </c>
      <c r="O34" s="3">
        <f t="shared" si="9"/>
        <v>122.11764705882354</v>
      </c>
      <c r="P34">
        <v>157.1</v>
      </c>
      <c r="S34">
        <f t="shared" si="1"/>
        <v>157.1</v>
      </c>
      <c r="T34" s="3">
        <f t="shared" si="2"/>
        <v>128.64643545279384</v>
      </c>
      <c r="U34" s="2">
        <v>17.820620290163401</v>
      </c>
      <c r="V34">
        <v>8.0854068011375499</v>
      </c>
      <c r="W34">
        <v>12.953013545650499</v>
      </c>
      <c r="X34">
        <v>24.257919263345499</v>
      </c>
      <c r="Y34" s="6">
        <f t="shared" si="14"/>
        <v>162.79792746113989</v>
      </c>
      <c r="Z34" s="6">
        <f t="shared" si="15"/>
        <v>138.19735175590097</v>
      </c>
      <c r="AA34" s="6">
        <f t="shared" si="16"/>
        <v>132.68501602324119</v>
      </c>
      <c r="AB34" s="3">
        <f t="shared" si="17"/>
        <v>19.371238509917749</v>
      </c>
      <c r="AC34" s="3">
        <f t="shared" si="13"/>
        <v>4.7552611764705883</v>
      </c>
      <c r="AD34" s="3">
        <f t="shared" si="18"/>
        <v>0</v>
      </c>
      <c r="AE34" s="2">
        <v>119.755388587263</v>
      </c>
      <c r="AF34" s="2">
        <v>133.679677528403</v>
      </c>
      <c r="AG34" s="2">
        <v>5.3173205473700101E-2</v>
      </c>
      <c r="AH34" s="2">
        <v>113.83403978682399</v>
      </c>
      <c r="AI34" s="2">
        <v>131.21467882084201</v>
      </c>
      <c r="AJ34" s="2"/>
      <c r="AK34" s="2"/>
      <c r="AL34" s="2"/>
      <c r="AM34" s="2"/>
      <c r="AN34" s="2"/>
      <c r="AO34" s="2"/>
      <c r="AP34" s="2"/>
      <c r="AR34" s="2">
        <v>-5.1901025950512901E-2</v>
      </c>
      <c r="AS34" s="2">
        <v>4.8004891306349202E-3</v>
      </c>
      <c r="AT34" s="2">
        <v>-3.6608863198458498E-2</v>
      </c>
      <c r="AU34" s="2">
        <v>2.26873679689438E-2</v>
      </c>
    </row>
    <row r="35" spans="1:47" x14ac:dyDescent="0.25">
      <c r="A35">
        <v>1812</v>
      </c>
      <c r="B35">
        <v>12.89</v>
      </c>
      <c r="C35" s="3">
        <f t="shared" si="6"/>
        <v>44.571230982019358</v>
      </c>
      <c r="D35">
        <v>19.39</v>
      </c>
      <c r="E35" s="3">
        <f t="shared" si="7"/>
        <v>93.807450411223982</v>
      </c>
      <c r="F35" s="3">
        <f t="shared" si="4"/>
        <v>77.185628742514979</v>
      </c>
      <c r="G35">
        <v>103.8</v>
      </c>
      <c r="I35" s="3">
        <f t="shared" si="0"/>
        <v>110.65219185146985</v>
      </c>
      <c r="J35">
        <v>5.48</v>
      </c>
      <c r="L35">
        <v>3.62</v>
      </c>
      <c r="N35" s="6">
        <f t="shared" si="8"/>
        <v>5.48</v>
      </c>
      <c r="O35" s="3">
        <f t="shared" si="9"/>
        <v>128.94117647058823</v>
      </c>
      <c r="P35">
        <v>176.8</v>
      </c>
      <c r="S35">
        <f t="shared" si="1"/>
        <v>176.8</v>
      </c>
      <c r="T35" s="3">
        <f t="shared" si="2"/>
        <v>137.11678832116789</v>
      </c>
      <c r="U35" s="2">
        <v>22.4740149015472</v>
      </c>
      <c r="V35">
        <v>16.646478176631099</v>
      </c>
      <c r="W35">
        <v>19.5602465390891</v>
      </c>
      <c r="X35">
        <v>24.625377774102201</v>
      </c>
      <c r="Y35" s="6">
        <f t="shared" si="14"/>
        <v>183.21243523316062</v>
      </c>
      <c r="Z35" s="6">
        <f t="shared" si="15"/>
        <v>147.38422567645367</v>
      </c>
      <c r="AA35" s="6">
        <f t="shared" si="16"/>
        <v>141.42127756136307</v>
      </c>
      <c r="AB35" s="3">
        <f t="shared" si="17"/>
        <v>19.371238509917749</v>
      </c>
      <c r="AC35" s="3">
        <f t="shared" si="13"/>
        <v>5.0209694117647059</v>
      </c>
      <c r="AD35" s="3">
        <f t="shared" si="18"/>
        <v>0</v>
      </c>
      <c r="AE35" s="2">
        <v>121.864134297071</v>
      </c>
      <c r="AF35" s="2">
        <v>131.853107068101</v>
      </c>
      <c r="AG35" s="2">
        <v>0.283011734499024</v>
      </c>
      <c r="AH35" s="2">
        <v>121.973388335126</v>
      </c>
      <c r="AI35" s="2">
        <v>126.85905413621801</v>
      </c>
      <c r="AJ35" s="2"/>
      <c r="AK35" s="2"/>
      <c r="AL35" s="2"/>
      <c r="AM35" s="2"/>
      <c r="AN35" s="2"/>
      <c r="AO35" s="2"/>
      <c r="AP35" s="2"/>
      <c r="AR35" s="2">
        <v>0.125397835773392</v>
      </c>
      <c r="AS35" s="2">
        <v>-1.81638703473376E-3</v>
      </c>
      <c r="AT35" s="2">
        <v>3.7999999999999902E-2</v>
      </c>
      <c r="AU35" s="2">
        <v>2.1870838871835899E-2</v>
      </c>
    </row>
    <row r="36" spans="1:47" x14ac:dyDescent="0.25">
      <c r="A36">
        <v>1813</v>
      </c>
      <c r="B36">
        <v>15.47</v>
      </c>
      <c r="C36" s="3">
        <f t="shared" si="6"/>
        <v>53.492392807745503</v>
      </c>
      <c r="D36">
        <v>19.39</v>
      </c>
      <c r="E36" s="3">
        <f t="shared" si="7"/>
        <v>93.807450411223982</v>
      </c>
      <c r="F36" s="3">
        <f t="shared" si="4"/>
        <v>92.634730538922156</v>
      </c>
      <c r="G36">
        <v>128.5</v>
      </c>
      <c r="I36" s="3">
        <f t="shared" si="0"/>
        <v>136.9827230531202</v>
      </c>
      <c r="J36">
        <v>5.76</v>
      </c>
      <c r="L36">
        <v>3.75</v>
      </c>
      <c r="N36" s="6">
        <f t="shared" si="8"/>
        <v>5.76</v>
      </c>
      <c r="O36" s="3">
        <f t="shared" si="9"/>
        <v>135.52941176470588</v>
      </c>
      <c r="P36">
        <v>182.5</v>
      </c>
      <c r="S36">
        <f t="shared" si="1"/>
        <v>182.5</v>
      </c>
      <c r="T36" s="3">
        <f t="shared" si="2"/>
        <v>134.65711805555554</v>
      </c>
      <c r="U36" s="2">
        <v>49.3856994730425</v>
      </c>
      <c r="V36">
        <v>14.3131403239344</v>
      </c>
      <c r="W36">
        <v>31.849419898488399</v>
      </c>
      <c r="X36">
        <v>24.6992458096137</v>
      </c>
      <c r="Y36" s="6">
        <f t="shared" si="14"/>
        <v>189.11917098445596</v>
      </c>
      <c r="Z36" s="6">
        <f t="shared" si="15"/>
        <v>157.59930915371331</v>
      </c>
      <c r="AA36" s="6">
        <f t="shared" si="16"/>
        <v>138.88439119170988</v>
      </c>
      <c r="AB36" s="3">
        <f t="shared" si="17"/>
        <v>19.371238509917749</v>
      </c>
      <c r="AC36" s="3">
        <f t="shared" si="13"/>
        <v>5.2775152941176477</v>
      </c>
      <c r="AD36" s="3">
        <f t="shared" si="18"/>
        <v>0</v>
      </c>
      <c r="AE36" s="2">
        <v>123.483502564625</v>
      </c>
      <c r="AF36" s="2">
        <v>130.135176713443</v>
      </c>
      <c r="AG36" s="2">
        <v>0.415571133485587</v>
      </c>
      <c r="AH36" s="2">
        <v>132.12733226890501</v>
      </c>
      <c r="AI36" s="2">
        <v>123.44480389038701</v>
      </c>
      <c r="AJ36" s="2"/>
      <c r="AK36" s="2"/>
      <c r="AL36" s="2"/>
      <c r="AM36" s="2"/>
      <c r="AN36" s="2"/>
      <c r="AO36" s="2"/>
      <c r="AP36" s="2"/>
      <c r="AR36" s="2">
        <v>3.22398190045248E-2</v>
      </c>
      <c r="AS36" s="2">
        <v>-9.4511610796932204E-3</v>
      </c>
      <c r="AT36" s="2">
        <v>0.23795761078998001</v>
      </c>
      <c r="AU36" s="2">
        <v>1.7959896539236801E-2</v>
      </c>
    </row>
    <row r="37" spans="1:47" x14ac:dyDescent="0.25">
      <c r="A37">
        <v>1814</v>
      </c>
      <c r="B37">
        <v>17</v>
      </c>
      <c r="C37" s="3">
        <f t="shared" si="6"/>
        <v>58.782849239280772</v>
      </c>
      <c r="D37">
        <v>20.100000000000001</v>
      </c>
      <c r="E37" s="3">
        <f t="shared" si="7"/>
        <v>97.242380261248186</v>
      </c>
      <c r="F37" s="3">
        <f t="shared" si="4"/>
        <v>101.79640718562875</v>
      </c>
      <c r="G37">
        <v>144.4</v>
      </c>
      <c r="I37" s="3">
        <f t="shared" si="0"/>
        <v>148.49492537313432</v>
      </c>
      <c r="J37">
        <v>5.21</v>
      </c>
      <c r="L37">
        <v>4.24</v>
      </c>
      <c r="N37" s="6">
        <f t="shared" si="8"/>
        <v>5.21</v>
      </c>
      <c r="O37" s="3">
        <f t="shared" si="9"/>
        <v>122.58823529411765</v>
      </c>
      <c r="P37">
        <v>166</v>
      </c>
      <c r="S37">
        <f t="shared" si="1"/>
        <v>166</v>
      </c>
      <c r="T37" s="3">
        <f t="shared" si="2"/>
        <v>135.41266794625719</v>
      </c>
      <c r="U37" s="2">
        <v>61.455956298686999</v>
      </c>
      <c r="V37">
        <v>15.2239626802081</v>
      </c>
      <c r="W37">
        <v>38.339959489447601</v>
      </c>
      <c r="X37">
        <v>24.302672715123201</v>
      </c>
      <c r="Y37" s="6">
        <f t="shared" si="14"/>
        <v>172.02072538860102</v>
      </c>
      <c r="Z37" s="6">
        <f t="shared" si="15"/>
        <v>162.08175014392631</v>
      </c>
      <c r="AA37" s="6">
        <f t="shared" si="16"/>
        <v>139.6636599604189</v>
      </c>
      <c r="AB37" s="3">
        <f t="shared" si="17"/>
        <v>20.080551523947751</v>
      </c>
      <c r="AC37" s="3">
        <f t="shared" si="13"/>
        <v>4.7735858823529416</v>
      </c>
      <c r="AD37" s="3">
        <f t="shared" si="18"/>
        <v>0</v>
      </c>
      <c r="AE37" s="2">
        <v>124.144935083324</v>
      </c>
      <c r="AF37" s="2">
        <v>128.587519513871</v>
      </c>
      <c r="AG37" s="2">
        <v>0.36222776007649399</v>
      </c>
      <c r="AH37" s="2">
        <v>139.151984751063</v>
      </c>
      <c r="AI37" s="2">
        <v>120.734909600592</v>
      </c>
      <c r="AJ37" s="2"/>
      <c r="AK37" s="2"/>
      <c r="AL37" s="2"/>
      <c r="AM37" s="2"/>
      <c r="AN37" s="2"/>
      <c r="AO37" s="2"/>
      <c r="AP37" s="2"/>
      <c r="AR37" s="2">
        <v>-9.0410958904109495E-2</v>
      </c>
      <c r="AS37" s="2">
        <v>-1.7088393095070199E-2</v>
      </c>
      <c r="AT37" s="2">
        <v>0.123735408560311</v>
      </c>
      <c r="AU37" s="2">
        <v>9.9273608822712505E-3</v>
      </c>
    </row>
    <row r="38" spans="1:47" x14ac:dyDescent="0.25">
      <c r="A38">
        <v>1815</v>
      </c>
      <c r="B38">
        <v>14.91</v>
      </c>
      <c r="C38" s="3">
        <f t="shared" si="6"/>
        <v>51.556016597510371</v>
      </c>
      <c r="D38">
        <v>21.64</v>
      </c>
      <c r="E38" s="3">
        <f t="shared" si="7"/>
        <v>104.69279148524431</v>
      </c>
      <c r="F38" s="3">
        <f t="shared" si="4"/>
        <v>89.281437125748511</v>
      </c>
      <c r="G38">
        <v>134.80000000000001</v>
      </c>
      <c r="I38" s="3">
        <f t="shared" si="0"/>
        <v>128.7576709796673</v>
      </c>
      <c r="J38">
        <v>4.99</v>
      </c>
      <c r="L38">
        <v>4.9000000000000004</v>
      </c>
      <c r="N38" s="6">
        <f t="shared" si="8"/>
        <v>4.99</v>
      </c>
      <c r="O38" s="3">
        <f t="shared" si="9"/>
        <v>117.41176470588235</v>
      </c>
      <c r="P38">
        <v>140.30000000000001</v>
      </c>
      <c r="S38">
        <f t="shared" si="1"/>
        <v>140.30000000000001</v>
      </c>
      <c r="T38" s="3">
        <f t="shared" si="2"/>
        <v>119.49398797595192</v>
      </c>
      <c r="U38" s="2">
        <v>42.265067672518299</v>
      </c>
      <c r="V38">
        <v>-0.50246615686407103</v>
      </c>
      <c r="W38">
        <v>20.881300757827098</v>
      </c>
      <c r="X38">
        <v>23.330309576762598</v>
      </c>
      <c r="Y38" s="6">
        <f t="shared" si="14"/>
        <v>145.38860103626945</v>
      </c>
      <c r="Z38" s="6">
        <f t="shared" si="15"/>
        <v>158.31203223949342</v>
      </c>
      <c r="AA38" s="6">
        <f t="shared" si="16"/>
        <v>123.24524697062522</v>
      </c>
      <c r="AB38" s="3">
        <f t="shared" si="17"/>
        <v>21.619061441702947</v>
      </c>
      <c r="AC38" s="3">
        <f t="shared" si="13"/>
        <v>4.5720141176470586</v>
      </c>
      <c r="AD38" s="3">
        <f t="shared" si="18"/>
        <v>0</v>
      </c>
      <c r="AE38" s="2">
        <v>123.514938520923</v>
      </c>
      <c r="AF38" s="2">
        <v>127.287116751691</v>
      </c>
      <c r="AG38" s="2">
        <v>0.25835540156990799</v>
      </c>
      <c r="AH38" s="2">
        <v>139.52434818820601</v>
      </c>
      <c r="AI38" s="2">
        <v>121.234084820612</v>
      </c>
      <c r="AJ38" s="2"/>
      <c r="AK38" s="2"/>
      <c r="AL38" s="2"/>
      <c r="AM38" s="2"/>
      <c r="AN38" s="2"/>
      <c r="AO38" s="2"/>
      <c r="AP38" s="2"/>
      <c r="AR38" s="2">
        <v>-0.15481927710843299</v>
      </c>
      <c r="AS38" s="2">
        <v>-2.3295733370849399E-2</v>
      </c>
      <c r="AT38" s="2">
        <v>-6.6481994459833701E-2</v>
      </c>
      <c r="AU38" s="2">
        <v>-1.0539710454286399E-3</v>
      </c>
    </row>
    <row r="39" spans="1:47" x14ac:dyDescent="0.25">
      <c r="A39">
        <v>1816</v>
      </c>
      <c r="B39">
        <v>13.62</v>
      </c>
      <c r="C39" s="3">
        <f t="shared" si="6"/>
        <v>47.095435684647299</v>
      </c>
      <c r="D39">
        <v>20.95</v>
      </c>
      <c r="E39" s="3">
        <f t="shared" si="7"/>
        <v>101.35462022254474</v>
      </c>
      <c r="F39" s="3">
        <f t="shared" si="4"/>
        <v>81.556886227544908</v>
      </c>
      <c r="G39">
        <v>119.7</v>
      </c>
      <c r="I39" s="3">
        <f t="shared" si="0"/>
        <v>118.1001909307876</v>
      </c>
      <c r="J39">
        <v>4.3600000000000003</v>
      </c>
      <c r="L39">
        <v>5.22</v>
      </c>
      <c r="N39" s="6">
        <f t="shared" si="8"/>
        <v>4.3600000000000003</v>
      </c>
      <c r="O39" s="3">
        <f t="shared" si="9"/>
        <v>102.58823529411767</v>
      </c>
      <c r="P39">
        <v>128.1</v>
      </c>
      <c r="S39">
        <f t="shared" si="1"/>
        <v>128.1</v>
      </c>
      <c r="T39" s="3">
        <f t="shared" si="2"/>
        <v>124.86811926605502</v>
      </c>
      <c r="U39" s="2">
        <v>32.123315888574098</v>
      </c>
      <c r="V39">
        <v>5.1024615709244898</v>
      </c>
      <c r="W39">
        <v>18.612888729749301</v>
      </c>
      <c r="X39">
        <v>21.817180348407199</v>
      </c>
      <c r="Y39" s="6">
        <f t="shared" si="14"/>
        <v>132.74611398963731</v>
      </c>
      <c r="Z39" s="6">
        <f t="shared" si="15"/>
        <v>153.98549222797928</v>
      </c>
      <c r="AA39" s="6">
        <f t="shared" si="16"/>
        <v>128.7880876550839</v>
      </c>
      <c r="AB39" s="3">
        <f t="shared" si="17"/>
        <v>20.929729075955489</v>
      </c>
      <c r="AC39" s="3">
        <f t="shared" si="13"/>
        <v>3.9947858823529416</v>
      </c>
      <c r="AD39" s="3">
        <f t="shared" si="18"/>
        <v>0</v>
      </c>
      <c r="AE39" s="2">
        <v>121.557970194343</v>
      </c>
      <c r="AF39" s="2">
        <v>126.20067451407201</v>
      </c>
      <c r="AG39" s="2">
        <v>0.27283217858188502</v>
      </c>
      <c r="AH39" s="2">
        <v>134.650763403246</v>
      </c>
      <c r="AI39" s="2">
        <v>126.388739904031</v>
      </c>
      <c r="AJ39" s="2"/>
      <c r="AK39" s="2"/>
      <c r="AL39" s="2"/>
      <c r="AM39" s="2"/>
      <c r="AN39" s="2"/>
      <c r="AO39" s="2"/>
      <c r="AP39" s="2"/>
      <c r="AR39" s="2">
        <v>-8.6956521739130502E-2</v>
      </c>
      <c r="AS39" s="2">
        <v>-2.73740578551059E-2</v>
      </c>
      <c r="AT39" s="2">
        <v>-0.112017804154302</v>
      </c>
      <c r="AU39" s="2">
        <v>-1.26732217134502E-2</v>
      </c>
    </row>
    <row r="40" spans="1:47" x14ac:dyDescent="0.25">
      <c r="A40">
        <v>1817</v>
      </c>
      <c r="B40">
        <v>12.89</v>
      </c>
      <c r="C40" s="3">
        <f t="shared" si="6"/>
        <v>44.571230982019358</v>
      </c>
      <c r="D40">
        <v>19.46</v>
      </c>
      <c r="E40" s="3">
        <f t="shared" si="7"/>
        <v>94.146105466860178</v>
      </c>
      <c r="F40" s="3">
        <f t="shared" si="4"/>
        <v>77.185628742514979</v>
      </c>
      <c r="G40">
        <v>119.7</v>
      </c>
      <c r="I40" s="3">
        <f t="shared" si="0"/>
        <v>127.1428057553957</v>
      </c>
      <c r="J40">
        <v>4.33</v>
      </c>
      <c r="L40">
        <v>4.5999999999999996</v>
      </c>
      <c r="N40" s="6">
        <f t="shared" si="8"/>
        <v>4.33</v>
      </c>
      <c r="O40" s="3">
        <f t="shared" si="9"/>
        <v>101.88235294117646</v>
      </c>
      <c r="P40">
        <v>142.9</v>
      </c>
      <c r="S40">
        <f t="shared" si="1"/>
        <v>142.9</v>
      </c>
      <c r="T40" s="3">
        <f t="shared" si="2"/>
        <v>140.25981524249423</v>
      </c>
      <c r="U40" s="2">
        <v>41.660983240891902</v>
      </c>
      <c r="V40">
        <v>20.747372782303401</v>
      </c>
      <c r="W40">
        <v>31.204178011597602</v>
      </c>
      <c r="X40">
        <v>19.7738188957427</v>
      </c>
      <c r="Y40" s="6">
        <f t="shared" si="14"/>
        <v>148.08290155440415</v>
      </c>
      <c r="Z40" s="6">
        <f t="shared" si="15"/>
        <v>151.37363270005756</v>
      </c>
      <c r="AA40" s="6">
        <f t="shared" si="16"/>
        <v>144.66297311203917</v>
      </c>
      <c r="AB40" s="3">
        <f t="shared" si="17"/>
        <v>19.441170778906624</v>
      </c>
      <c r="AC40" s="3">
        <f t="shared" si="13"/>
        <v>3.9672988235294118</v>
      </c>
      <c r="AD40" s="3">
        <f t="shared" si="18"/>
        <v>0</v>
      </c>
      <c r="AE40" s="2">
        <v>118.44043803529399</v>
      </c>
      <c r="AF40" s="2">
        <v>125.067527720665</v>
      </c>
      <c r="AG40" s="2">
        <v>0.26064552878542502</v>
      </c>
      <c r="AH40" s="2">
        <v>127.332788489698</v>
      </c>
      <c r="AI40" s="2">
        <v>132.08392359756101</v>
      </c>
      <c r="AJ40" s="2"/>
      <c r="AK40" s="2"/>
      <c r="AL40" s="2"/>
      <c r="AM40" s="2"/>
      <c r="AN40" s="2"/>
      <c r="AO40" s="2"/>
      <c r="AP40" s="2"/>
      <c r="AR40" s="2">
        <v>0.11553473848555799</v>
      </c>
      <c r="AS40" s="2">
        <v>-2.9939477933290399E-2</v>
      </c>
      <c r="AT40" s="2">
        <v>0</v>
      </c>
      <c r="AU40" s="2">
        <v>-2.3273793825525E-2</v>
      </c>
    </row>
    <row r="41" spans="1:47" x14ac:dyDescent="0.25">
      <c r="A41">
        <v>1818</v>
      </c>
      <c r="B41">
        <v>12.33</v>
      </c>
      <c r="C41" s="3">
        <f t="shared" si="6"/>
        <v>42.634854771784227</v>
      </c>
      <c r="D41">
        <v>19.39</v>
      </c>
      <c r="E41" s="3">
        <f t="shared" si="7"/>
        <v>93.807450411223982</v>
      </c>
      <c r="F41" s="3">
        <f t="shared" si="4"/>
        <v>73.832335329341319</v>
      </c>
      <c r="G41">
        <v>116.6</v>
      </c>
      <c r="I41" s="3">
        <f t="shared" si="0"/>
        <v>124.29716348633318</v>
      </c>
      <c r="J41">
        <v>4.4400000000000004</v>
      </c>
      <c r="L41">
        <v>4.5</v>
      </c>
      <c r="N41" s="6">
        <f t="shared" si="8"/>
        <v>4.4400000000000004</v>
      </c>
      <c r="O41" s="3">
        <f t="shared" si="9"/>
        <v>104.47058823529413</v>
      </c>
      <c r="P41">
        <v>149.80000000000001</v>
      </c>
      <c r="S41">
        <f t="shared" si="1"/>
        <v>149.80000000000001</v>
      </c>
      <c r="T41" s="3">
        <f t="shared" si="2"/>
        <v>143.38963963963965</v>
      </c>
      <c r="U41" s="2">
        <v>39.298352023509402</v>
      </c>
      <c r="V41">
        <v>24.160913556525401</v>
      </c>
      <c r="W41">
        <v>31.729632790017401</v>
      </c>
      <c r="X41">
        <v>17.178716168268402</v>
      </c>
      <c r="Y41" s="6">
        <f t="shared" si="14"/>
        <v>155.23316062176167</v>
      </c>
      <c r="Z41" s="6">
        <f t="shared" si="15"/>
        <v>155.23316062176167</v>
      </c>
      <c r="AA41" s="6">
        <f t="shared" si="16"/>
        <v>147.8910516734351</v>
      </c>
      <c r="AB41" s="3">
        <f t="shared" si="17"/>
        <v>19.371238509917749</v>
      </c>
      <c r="AC41" s="3">
        <f t="shared" si="13"/>
        <v>4.0680847058823533</v>
      </c>
      <c r="AD41" s="3">
        <f t="shared" si="18"/>
        <v>0</v>
      </c>
      <c r="AE41" s="2">
        <v>114.38927027354499</v>
      </c>
      <c r="AF41" s="2">
        <v>123.612304545979</v>
      </c>
      <c r="AG41" s="2">
        <v>0.11155570627902101</v>
      </c>
      <c r="AH41" s="2">
        <v>118.02506040665899</v>
      </c>
      <c r="AI41" s="2">
        <v>133.65177134656901</v>
      </c>
      <c r="AJ41" s="2"/>
      <c r="AK41" s="2"/>
      <c r="AL41" s="2"/>
      <c r="AM41" s="2"/>
      <c r="AN41" s="2"/>
      <c r="AO41" s="2"/>
      <c r="AP41" s="2"/>
      <c r="AR41" s="2">
        <v>4.82855143456963E-2</v>
      </c>
      <c r="AS41" s="2">
        <v>-3.2203929629694102E-2</v>
      </c>
      <c r="AT41" s="2">
        <v>-2.58980785296575E-2</v>
      </c>
      <c r="AU41" s="2">
        <v>-3.2192535909792902E-2</v>
      </c>
    </row>
    <row r="42" spans="1:47" x14ac:dyDescent="0.25">
      <c r="A42">
        <v>1819</v>
      </c>
      <c r="B42">
        <v>12.33</v>
      </c>
      <c r="C42" s="3">
        <f t="shared" si="6"/>
        <v>42.634854771784227</v>
      </c>
      <c r="D42">
        <v>19.39</v>
      </c>
      <c r="E42" s="3">
        <f t="shared" si="7"/>
        <v>93.807450411223982</v>
      </c>
      <c r="F42" s="3">
        <f t="shared" si="4"/>
        <v>73.832335329341319</v>
      </c>
      <c r="G42">
        <v>99.1</v>
      </c>
      <c r="I42" s="3">
        <f t="shared" si="0"/>
        <v>105.64192882929346</v>
      </c>
      <c r="J42">
        <v>4.3600000000000003</v>
      </c>
      <c r="L42">
        <v>4.51</v>
      </c>
      <c r="N42" s="6">
        <f t="shared" si="8"/>
        <v>4.3600000000000003</v>
      </c>
      <c r="O42" s="3">
        <f t="shared" si="9"/>
        <v>102.58823529411767</v>
      </c>
      <c r="P42">
        <v>138.4</v>
      </c>
      <c r="S42">
        <f t="shared" si="1"/>
        <v>138.4</v>
      </c>
      <c r="T42" s="3">
        <f t="shared" si="2"/>
        <v>134.90825688073392</v>
      </c>
      <c r="U42" s="2">
        <v>21.0957045304642</v>
      </c>
      <c r="V42">
        <v>15.9917491333663</v>
      </c>
      <c r="W42">
        <v>18.543726831915301</v>
      </c>
      <c r="X42">
        <v>14.124666706642101</v>
      </c>
      <c r="Y42" s="6">
        <f t="shared" si="14"/>
        <v>143.41968911917098</v>
      </c>
      <c r="Z42" s="6">
        <f t="shared" si="15"/>
        <v>143.73839953943579</v>
      </c>
      <c r="AA42" s="6">
        <f t="shared" si="16"/>
        <v>139.14341398488378</v>
      </c>
      <c r="AB42" s="3">
        <f t="shared" si="17"/>
        <v>19.371238509917749</v>
      </c>
      <c r="AC42" s="3">
        <f t="shared" si="13"/>
        <v>3.9947858823529416</v>
      </c>
      <c r="AD42" s="3">
        <f t="shared" si="18"/>
        <v>0</v>
      </c>
      <c r="AE42" s="2">
        <v>109.72309075851</v>
      </c>
      <c r="AF42" s="2">
        <v>121.72805788732001</v>
      </c>
      <c r="AG42" s="2">
        <v>-3.9444810775714503E-2</v>
      </c>
      <c r="AH42" s="2">
        <v>107.274619949994</v>
      </c>
      <c r="AI42" s="2">
        <v>129.699777397237</v>
      </c>
      <c r="AJ42" s="2"/>
      <c r="AK42" s="2"/>
      <c r="AL42" s="2"/>
      <c r="AM42" s="2"/>
      <c r="AN42" s="2"/>
      <c r="AO42" s="2"/>
      <c r="AP42" s="2"/>
      <c r="AR42" s="2">
        <v>-7.6101468624833093E-2</v>
      </c>
      <c r="AS42" s="2">
        <v>-3.3924606804419603E-2</v>
      </c>
      <c r="AT42" s="2">
        <v>-0.15008576329331</v>
      </c>
      <c r="AU42" s="2">
        <v>-3.85335585561387E-2</v>
      </c>
    </row>
    <row r="43" spans="1:47" x14ac:dyDescent="0.25">
      <c r="A43">
        <v>1820</v>
      </c>
      <c r="B43">
        <v>11.36</v>
      </c>
      <c r="C43" s="3">
        <f t="shared" si="6"/>
        <v>39.28077455048409</v>
      </c>
      <c r="D43">
        <v>19.39</v>
      </c>
      <c r="E43" s="3">
        <f t="shared" si="7"/>
        <v>93.807450411223982</v>
      </c>
      <c r="F43" s="3">
        <f t="shared" si="4"/>
        <v>68.023952095808383</v>
      </c>
      <c r="G43">
        <v>84.1</v>
      </c>
      <c r="I43" s="3">
        <f t="shared" si="0"/>
        <v>89.651727694687992</v>
      </c>
      <c r="J43">
        <v>4.25</v>
      </c>
      <c r="L43">
        <v>4.5199999999999996</v>
      </c>
      <c r="N43" s="6">
        <f t="shared" si="8"/>
        <v>4.25</v>
      </c>
      <c r="O43" s="3">
        <f t="shared" si="9"/>
        <v>100</v>
      </c>
      <c r="P43">
        <v>124.7</v>
      </c>
      <c r="S43">
        <f t="shared" si="1"/>
        <v>124.7</v>
      </c>
      <c r="T43" s="3">
        <f t="shared" si="2"/>
        <v>124.7</v>
      </c>
      <c r="U43" s="2">
        <v>5.5433230557940396</v>
      </c>
      <c r="V43">
        <v>6.1185639131246798</v>
      </c>
      <c r="W43">
        <v>5.8309434844593602</v>
      </c>
      <c r="X43">
        <v>10.849974217739099</v>
      </c>
      <c r="Y43" s="6">
        <f t="shared" si="14"/>
        <v>129.22279792746113</v>
      </c>
      <c r="Z43" s="6">
        <f t="shared" si="15"/>
        <v>129.79712147380539</v>
      </c>
      <c r="AA43" s="6">
        <f t="shared" si="16"/>
        <v>128.61469064309662</v>
      </c>
      <c r="AB43" s="3">
        <f t="shared" si="17"/>
        <v>19.371238509917749</v>
      </c>
      <c r="AC43" s="3">
        <f t="shared" si="13"/>
        <v>3.8940000000000001</v>
      </c>
      <c r="AD43" s="3">
        <f t="shared" si="18"/>
        <v>0</v>
      </c>
      <c r="AE43" s="2">
        <v>104.85973063687</v>
      </c>
      <c r="AF43" s="2">
        <v>119.50381759653</v>
      </c>
      <c r="AG43" s="2">
        <v>-2.6782341495263599E-2</v>
      </c>
      <c r="AH43" s="2">
        <v>97.723487780016896</v>
      </c>
      <c r="AI43" s="2">
        <v>122.021512213557</v>
      </c>
      <c r="AJ43" s="2"/>
      <c r="AK43" s="2"/>
      <c r="AL43" s="2"/>
      <c r="AM43" s="2"/>
      <c r="AN43" s="2"/>
      <c r="AO43" s="2"/>
      <c r="AP43" s="2"/>
      <c r="AR43" s="2">
        <v>-9.8988439306358394E-2</v>
      </c>
      <c r="AS43" s="2">
        <v>-3.40538088778157E-2</v>
      </c>
      <c r="AT43" s="2">
        <v>-0.151362260343087</v>
      </c>
      <c r="AU43" s="2">
        <v>-4.1338027780645797E-2</v>
      </c>
    </row>
    <row r="44" spans="1:47" x14ac:dyDescent="0.25">
      <c r="A44">
        <v>1821</v>
      </c>
      <c r="B44">
        <v>10.96</v>
      </c>
      <c r="C44" s="3">
        <f t="shared" si="6"/>
        <v>37.897648686030429</v>
      </c>
      <c r="D44">
        <v>19.39</v>
      </c>
      <c r="E44" s="3">
        <f t="shared" si="7"/>
        <v>93.807450411223982</v>
      </c>
      <c r="F44" s="3">
        <f t="shared" si="4"/>
        <v>65.628742514970057</v>
      </c>
      <c r="G44">
        <v>84.1</v>
      </c>
      <c r="I44" s="3">
        <f t="shared" si="0"/>
        <v>89.651727694687992</v>
      </c>
      <c r="J44">
        <v>4.25</v>
      </c>
      <c r="L44">
        <v>4.82</v>
      </c>
      <c r="N44" s="6">
        <f t="shared" si="8"/>
        <v>4.25</v>
      </c>
      <c r="O44" s="3">
        <f t="shared" si="9"/>
        <v>100</v>
      </c>
      <c r="P44">
        <v>107.7</v>
      </c>
      <c r="S44">
        <f t="shared" si="1"/>
        <v>107.7</v>
      </c>
      <c r="T44" s="3">
        <f t="shared" si="2"/>
        <v>107.7</v>
      </c>
      <c r="U44" s="2">
        <v>5.96148989353639</v>
      </c>
      <c r="V44">
        <v>-10.5199385433777</v>
      </c>
      <c r="W44">
        <v>-2.2792243249206399</v>
      </c>
      <c r="X44">
        <v>7.6371330096874201</v>
      </c>
      <c r="Y44" s="6">
        <f t="shared" si="14"/>
        <v>111.60621761658031</v>
      </c>
      <c r="Z44" s="6">
        <f t="shared" si="15"/>
        <v>119.5426597582038</v>
      </c>
      <c r="AA44" s="6">
        <f t="shared" si="16"/>
        <v>111.08101188661996</v>
      </c>
      <c r="AB44" s="3">
        <f t="shared" si="17"/>
        <v>19.371238509917749</v>
      </c>
      <c r="AC44" s="3">
        <f t="shared" si="13"/>
        <v>3.8940000000000001</v>
      </c>
      <c r="AD44" s="3">
        <f t="shared" si="18"/>
        <v>0</v>
      </c>
      <c r="AE44" s="2">
        <v>100.17629014771801</v>
      </c>
      <c r="AF44" s="2">
        <v>117.142132946581</v>
      </c>
      <c r="AG44" s="2">
        <v>-1.45575192588684E-2</v>
      </c>
      <c r="AH44" s="2">
        <v>91.472144573708107</v>
      </c>
      <c r="AI44" s="2">
        <v>113.537287127109</v>
      </c>
      <c r="AJ44" s="2"/>
      <c r="AK44" s="2"/>
      <c r="AL44" s="2"/>
      <c r="AM44" s="2"/>
      <c r="AN44" s="2"/>
      <c r="AO44" s="2"/>
      <c r="AP44" s="2"/>
      <c r="AR44" s="2">
        <v>-0.13632718524458701</v>
      </c>
      <c r="AS44" s="2">
        <v>-3.1965603888435203E-2</v>
      </c>
      <c r="AT44" s="2">
        <v>0</v>
      </c>
      <c r="AU44" s="2">
        <v>-4.0762631646769402E-2</v>
      </c>
    </row>
    <row r="45" spans="1:47" x14ac:dyDescent="0.25">
      <c r="A45">
        <v>1822</v>
      </c>
      <c r="B45">
        <v>11.36</v>
      </c>
      <c r="C45" s="3">
        <f t="shared" si="6"/>
        <v>39.28077455048409</v>
      </c>
      <c r="D45">
        <v>19.39</v>
      </c>
      <c r="E45" s="3">
        <f t="shared" si="7"/>
        <v>93.807450411223982</v>
      </c>
      <c r="F45" s="3">
        <f t="shared" si="4"/>
        <v>68.023952095808383</v>
      </c>
      <c r="G45">
        <v>84.1</v>
      </c>
      <c r="I45" s="3">
        <f t="shared" si="0"/>
        <v>89.651727694687992</v>
      </c>
      <c r="J45">
        <v>4.24</v>
      </c>
      <c r="L45">
        <v>4.9800000000000004</v>
      </c>
      <c r="N45" s="6">
        <f t="shared" si="8"/>
        <v>4.24</v>
      </c>
      <c r="O45" s="3">
        <f t="shared" si="9"/>
        <v>99.764705882352942</v>
      </c>
      <c r="P45">
        <v>95</v>
      </c>
      <c r="S45">
        <f t="shared" si="1"/>
        <v>95</v>
      </c>
      <c r="T45" s="3">
        <f t="shared" si="2"/>
        <v>95.22405660377359</v>
      </c>
      <c r="U45" s="2">
        <v>6.3604873377289302</v>
      </c>
      <c r="V45">
        <v>-22.615035514795998</v>
      </c>
      <c r="W45">
        <v>-8.1272740885335502</v>
      </c>
      <c r="X45">
        <v>4.7184470832822596</v>
      </c>
      <c r="Y45" s="6">
        <f t="shared" si="14"/>
        <v>98.445595854922274</v>
      </c>
      <c r="Z45" s="6">
        <f t="shared" si="15"/>
        <v>108.94645941278065</v>
      </c>
      <c r="AA45" s="6">
        <f t="shared" si="16"/>
        <v>98.21341284583049</v>
      </c>
      <c r="AB45" s="3">
        <f t="shared" si="17"/>
        <v>19.371238509917749</v>
      </c>
      <c r="AC45" s="3">
        <f t="shared" si="13"/>
        <v>3.884837647058824</v>
      </c>
      <c r="AD45" s="3">
        <f t="shared" si="18"/>
        <v>0</v>
      </c>
      <c r="AE45" s="2">
        <v>95.897872223780297</v>
      </c>
      <c r="AF45" s="2">
        <v>114.897515034478</v>
      </c>
      <c r="AG45" s="2">
        <v>-3.2995541318843503E-2</v>
      </c>
      <c r="AH45" s="2">
        <v>87.933241748043301</v>
      </c>
      <c r="AI45" s="2">
        <v>108.06024273161999</v>
      </c>
      <c r="AJ45" s="2"/>
      <c r="AK45" s="2"/>
      <c r="AL45" s="2"/>
      <c r="AM45" s="2"/>
      <c r="AN45" s="2"/>
      <c r="AO45" s="2"/>
      <c r="AP45" s="2"/>
      <c r="AR45" s="2">
        <v>-0.11792014856081701</v>
      </c>
      <c r="AS45" s="2">
        <v>-2.76834061791165E-2</v>
      </c>
      <c r="AT45" s="2">
        <v>0</v>
      </c>
      <c r="AU45" s="2">
        <v>-3.8064300543588898E-2</v>
      </c>
    </row>
    <row r="46" spans="1:47" x14ac:dyDescent="0.25">
      <c r="A46">
        <v>1823</v>
      </c>
      <c r="B46">
        <v>10.15</v>
      </c>
      <c r="C46" s="3">
        <f t="shared" si="6"/>
        <v>35.096818810511756</v>
      </c>
      <c r="D46">
        <v>19.39</v>
      </c>
      <c r="E46" s="3">
        <f t="shared" si="7"/>
        <v>93.807450411223982</v>
      </c>
      <c r="F46" s="3">
        <f t="shared" si="4"/>
        <v>60.778443113772461</v>
      </c>
      <c r="G46">
        <v>81.599999999999994</v>
      </c>
      <c r="I46" s="3">
        <f t="shared" si="0"/>
        <v>86.986694172253749</v>
      </c>
      <c r="J46">
        <v>4.2300000000000004</v>
      </c>
      <c r="L46">
        <v>4.8</v>
      </c>
      <c r="N46" s="6">
        <f t="shared" si="8"/>
        <v>4.2300000000000004</v>
      </c>
      <c r="O46" s="3">
        <f t="shared" si="9"/>
        <v>99.529411764705898</v>
      </c>
      <c r="P46">
        <v>105.4</v>
      </c>
      <c r="S46">
        <f t="shared" si="1"/>
        <v>105.4</v>
      </c>
      <c r="T46" s="3">
        <f t="shared" si="2"/>
        <v>105.89834515366428</v>
      </c>
      <c r="U46" s="2">
        <v>4.0805976824092403</v>
      </c>
      <c r="V46">
        <v>-11.527985119262601</v>
      </c>
      <c r="W46">
        <v>-3.7236937184266599</v>
      </c>
      <c r="X46">
        <v>2.2270568659727599</v>
      </c>
      <c r="Y46" s="6">
        <f t="shared" si="14"/>
        <v>109.22279792746114</v>
      </c>
      <c r="Z46" s="6">
        <f t="shared" si="15"/>
        <v>116.50431778929189</v>
      </c>
      <c r="AA46" s="6">
        <f t="shared" si="16"/>
        <v>109.22279792746114</v>
      </c>
      <c r="AB46" s="3">
        <f t="shared" si="17"/>
        <v>19.371238509917749</v>
      </c>
      <c r="AC46" s="3">
        <f t="shared" si="13"/>
        <v>3.8756752941176478</v>
      </c>
      <c r="AD46" s="3">
        <f t="shared" si="18"/>
        <v>0</v>
      </c>
      <c r="AE46" s="2">
        <v>92.144416896305401</v>
      </c>
      <c r="AF46" s="2">
        <v>112.93005362776201</v>
      </c>
      <c r="AG46" s="2">
        <v>-6.9302612005182604E-2</v>
      </c>
      <c r="AH46" s="2">
        <v>85.915382528762095</v>
      </c>
      <c r="AI46" s="2">
        <v>107.457757245113</v>
      </c>
      <c r="AJ46" s="2"/>
      <c r="AK46" s="2"/>
      <c r="AL46" s="2"/>
      <c r="AM46" s="2"/>
      <c r="AN46" s="2"/>
      <c r="AO46" s="2"/>
      <c r="AP46" s="2"/>
      <c r="AR46" s="2">
        <v>0.109473684210526</v>
      </c>
      <c r="AS46" s="2">
        <v>-2.2274245906259298E-2</v>
      </c>
      <c r="AT46" s="2">
        <v>-2.9726516052318599E-2</v>
      </c>
      <c r="AU46" s="2">
        <v>-3.40923385437161E-2</v>
      </c>
    </row>
    <row r="47" spans="1:47" x14ac:dyDescent="0.25">
      <c r="A47">
        <v>1824</v>
      </c>
      <c r="B47">
        <v>9.35</v>
      </c>
      <c r="C47" s="3">
        <f t="shared" si="6"/>
        <v>32.330567081604421</v>
      </c>
      <c r="D47">
        <v>19.39</v>
      </c>
      <c r="E47" s="3">
        <f t="shared" si="7"/>
        <v>93.807450411223982</v>
      </c>
      <c r="F47" s="3">
        <f t="shared" si="4"/>
        <v>55.988023952095809</v>
      </c>
      <c r="G47">
        <v>77.8</v>
      </c>
      <c r="I47" s="3">
        <f t="shared" si="0"/>
        <v>82.935843218153707</v>
      </c>
      <c r="J47">
        <v>4.2300000000000004</v>
      </c>
      <c r="L47">
        <v>4.87</v>
      </c>
      <c r="N47" s="6">
        <f t="shared" si="8"/>
        <v>4.2300000000000004</v>
      </c>
      <c r="O47" s="3">
        <f t="shared" si="9"/>
        <v>99.529411764705898</v>
      </c>
      <c r="P47">
        <v>110.1</v>
      </c>
      <c r="S47">
        <f t="shared" si="1"/>
        <v>110.1</v>
      </c>
      <c r="T47" s="3">
        <f t="shared" si="2"/>
        <v>110.62056737588651</v>
      </c>
      <c r="U47" s="2">
        <v>0.392103221615068</v>
      </c>
      <c r="V47">
        <v>-6.3800263143865603</v>
      </c>
      <c r="W47">
        <v>-2.9939615463857501</v>
      </c>
      <c r="X47">
        <v>0.16764557348990899</v>
      </c>
      <c r="Y47" s="6">
        <f t="shared" si="14"/>
        <v>114.09326424870466</v>
      </c>
      <c r="Z47" s="6">
        <f t="shared" si="15"/>
        <v>123.47426597582037</v>
      </c>
      <c r="AA47" s="6">
        <f t="shared" si="16"/>
        <v>114.09326424870466</v>
      </c>
      <c r="AB47" s="3">
        <f t="shared" si="17"/>
        <v>19.371238509917749</v>
      </c>
      <c r="AC47" s="3">
        <f t="shared" si="13"/>
        <v>3.8756752941176478</v>
      </c>
      <c r="AD47" s="3">
        <f t="shared" si="18"/>
        <v>0</v>
      </c>
      <c r="AE47" s="2">
        <v>88.973485474304297</v>
      </c>
      <c r="AF47" s="2">
        <v>111.206563343626</v>
      </c>
      <c r="AG47" s="2">
        <v>-1.0676784466558901E-2</v>
      </c>
      <c r="AH47" s="2">
        <v>84.802756225589505</v>
      </c>
      <c r="AI47" s="2">
        <v>109.433794641739</v>
      </c>
      <c r="AJ47" s="2"/>
      <c r="AK47" s="2"/>
      <c r="AL47" s="2"/>
      <c r="AM47" s="2"/>
      <c r="AN47" s="2"/>
      <c r="AO47" s="2"/>
      <c r="AP47" s="2"/>
      <c r="AR47" s="2">
        <v>4.45920303605312E-2</v>
      </c>
      <c r="AS47" s="2">
        <v>-1.77075206500803E-2</v>
      </c>
      <c r="AT47" s="2">
        <v>-4.6568627450980303E-2</v>
      </c>
      <c r="AU47" s="2">
        <v>-2.9315406714326898E-2</v>
      </c>
    </row>
    <row r="48" spans="1:47" x14ac:dyDescent="0.25">
      <c r="A48">
        <v>1825</v>
      </c>
      <c r="B48">
        <v>9.59</v>
      </c>
      <c r="C48" s="3">
        <f t="shared" si="6"/>
        <v>33.160442600276625</v>
      </c>
      <c r="D48">
        <v>19.39</v>
      </c>
      <c r="E48" s="3">
        <f t="shared" si="7"/>
        <v>93.807450411223982</v>
      </c>
      <c r="F48" s="3">
        <f t="shared" si="4"/>
        <v>57.425149700598801</v>
      </c>
      <c r="G48">
        <v>81.599999999999994</v>
      </c>
      <c r="I48" s="3">
        <f t="shared" si="0"/>
        <v>86.986694172253749</v>
      </c>
      <c r="J48">
        <v>4.24</v>
      </c>
      <c r="L48">
        <v>4.83</v>
      </c>
      <c r="N48" s="6">
        <f t="shared" si="8"/>
        <v>4.24</v>
      </c>
      <c r="O48" s="3">
        <f t="shared" si="9"/>
        <v>99.764705882352942</v>
      </c>
      <c r="P48">
        <v>122.1</v>
      </c>
      <c r="S48">
        <f t="shared" si="1"/>
        <v>122.1</v>
      </c>
      <c r="T48" s="3">
        <f t="shared" si="2"/>
        <v>122.3879716981132</v>
      </c>
      <c r="U48" s="2">
        <v>4.7852862493839101</v>
      </c>
      <c r="V48">
        <v>5.8376211027458096</v>
      </c>
      <c r="W48">
        <v>5.3114536760648603</v>
      </c>
      <c r="X48">
        <v>-1.5146110842793199</v>
      </c>
      <c r="Y48" s="6">
        <f t="shared" si="14"/>
        <v>126.52849740932642</v>
      </c>
      <c r="Z48" s="6">
        <f t="shared" si="15"/>
        <v>135.80725388601036</v>
      </c>
      <c r="AA48" s="6">
        <f t="shared" si="16"/>
        <v>126.23008114185161</v>
      </c>
      <c r="AB48" s="3">
        <f t="shared" si="17"/>
        <v>19.371238509917749</v>
      </c>
      <c r="AC48" s="3">
        <f t="shared" si="13"/>
        <v>3.884837647058824</v>
      </c>
      <c r="AD48" s="3">
        <f t="shared" si="18"/>
        <v>0</v>
      </c>
      <c r="AE48" s="2">
        <v>86.391095097824305</v>
      </c>
      <c r="AF48" s="2">
        <v>109.624958262989</v>
      </c>
      <c r="AG48" s="2">
        <v>-3.8812504325750001E-2</v>
      </c>
      <c r="AH48" s="2">
        <v>84.337757971996794</v>
      </c>
      <c r="AI48" s="2">
        <v>111.21973314727801</v>
      </c>
      <c r="AJ48" s="2">
        <v>112</v>
      </c>
      <c r="AK48" s="2">
        <v>84</v>
      </c>
      <c r="AL48" s="2"/>
      <c r="AM48" s="2"/>
      <c r="AN48" s="2"/>
      <c r="AO48" s="2"/>
      <c r="AP48" s="2"/>
      <c r="AR48" s="2">
        <v>0.108991825613079</v>
      </c>
      <c r="AS48" s="2">
        <v>-1.46351486896286E-2</v>
      </c>
      <c r="AT48" s="2">
        <v>4.8843187660668301E-2</v>
      </c>
      <c r="AU48" s="2">
        <v>-2.4158507897683298E-2</v>
      </c>
    </row>
    <row r="49" spans="1:47" x14ac:dyDescent="0.25">
      <c r="A49">
        <v>1826</v>
      </c>
      <c r="B49">
        <v>9.59</v>
      </c>
      <c r="C49" s="3">
        <f t="shared" si="6"/>
        <v>33.160442600276625</v>
      </c>
      <c r="D49">
        <v>19.39</v>
      </c>
      <c r="E49" s="3">
        <f t="shared" si="7"/>
        <v>93.807450411223982</v>
      </c>
      <c r="F49" s="3">
        <f t="shared" si="4"/>
        <v>57.425149700598801</v>
      </c>
      <c r="G49">
        <v>78.5</v>
      </c>
      <c r="I49" s="3">
        <f t="shared" si="0"/>
        <v>83.682052604435285</v>
      </c>
      <c r="J49">
        <v>4.2300000000000004</v>
      </c>
      <c r="L49">
        <v>4.92</v>
      </c>
      <c r="N49" s="6">
        <f t="shared" si="8"/>
        <v>4.2300000000000004</v>
      </c>
      <c r="O49" s="3">
        <f t="shared" si="9"/>
        <v>99.529411764705898</v>
      </c>
      <c r="P49">
        <v>108</v>
      </c>
      <c r="S49">
        <f t="shared" si="1"/>
        <v>108</v>
      </c>
      <c r="T49" s="3">
        <f t="shared" si="2"/>
        <v>108.51063829787232</v>
      </c>
      <c r="U49" s="2">
        <v>1.80042905975352</v>
      </c>
      <c r="V49">
        <v>-7.5762435044286596</v>
      </c>
      <c r="W49">
        <v>-2.8879072223375699</v>
      </c>
      <c r="X49">
        <v>-2.9061534686466999</v>
      </c>
      <c r="Y49" s="6">
        <f t="shared" si="14"/>
        <v>111.91709844559585</v>
      </c>
      <c r="Z49" s="6">
        <f t="shared" si="15"/>
        <v>122.36269430051813</v>
      </c>
      <c r="AA49" s="6">
        <f t="shared" si="16"/>
        <v>111.91709844559585</v>
      </c>
      <c r="AB49" s="3">
        <f t="shared" si="17"/>
        <v>19.371238509917749</v>
      </c>
      <c r="AC49" s="3">
        <f t="shared" si="13"/>
        <v>3.8756752941176478</v>
      </c>
      <c r="AD49" s="3">
        <f t="shared" si="18"/>
        <v>0</v>
      </c>
      <c r="AE49" s="2">
        <v>84.342928052170294</v>
      </c>
      <c r="AF49" s="2">
        <v>108.078686833332</v>
      </c>
      <c r="AG49" s="2">
        <v>-3.7682379203225903E-2</v>
      </c>
      <c r="AH49" s="2">
        <v>83.641864159591705</v>
      </c>
      <c r="AI49" s="2">
        <v>110.489019440265</v>
      </c>
      <c r="AJ49" s="2"/>
      <c r="AK49" s="2"/>
      <c r="AL49" s="2"/>
      <c r="AM49" s="2"/>
      <c r="AN49" s="2"/>
      <c r="AO49" s="2"/>
      <c r="AP49" s="2"/>
      <c r="AR49" s="2">
        <v>-0.115479115479115</v>
      </c>
      <c r="AS49" s="2">
        <v>-1.30860527938468E-2</v>
      </c>
      <c r="AT49" s="2">
        <v>-3.79901960784313E-2</v>
      </c>
      <c r="AU49" s="2">
        <v>-1.9219177143413799E-2</v>
      </c>
    </row>
    <row r="50" spans="1:47" x14ac:dyDescent="0.25">
      <c r="A50">
        <v>1827</v>
      </c>
      <c r="B50">
        <v>9.67</v>
      </c>
      <c r="C50" s="3">
        <f t="shared" si="6"/>
        <v>33.437067773167357</v>
      </c>
      <c r="D50">
        <v>19.39</v>
      </c>
      <c r="E50" s="3">
        <f t="shared" si="7"/>
        <v>93.807450411223982</v>
      </c>
      <c r="F50" s="3">
        <f t="shared" si="4"/>
        <v>57.904191616766468</v>
      </c>
      <c r="G50">
        <v>77.8</v>
      </c>
      <c r="I50" s="3">
        <f t="shared" si="0"/>
        <v>82.935843218153707</v>
      </c>
      <c r="J50">
        <v>4.2300000000000004</v>
      </c>
      <c r="L50">
        <v>4.9400000000000004</v>
      </c>
      <c r="N50" s="6">
        <f t="shared" si="8"/>
        <v>4.2300000000000004</v>
      </c>
      <c r="O50" s="3">
        <f t="shared" si="9"/>
        <v>99.529411764705898</v>
      </c>
      <c r="P50">
        <v>107.3</v>
      </c>
      <c r="S50">
        <f t="shared" si="1"/>
        <v>107.3</v>
      </c>
      <c r="T50" s="3">
        <f t="shared" si="2"/>
        <v>107.80732860520092</v>
      </c>
      <c r="U50" s="2">
        <v>1.3678139467613799</v>
      </c>
      <c r="V50">
        <v>-7.7928016119501597</v>
      </c>
      <c r="W50">
        <v>-3.2124938325943901</v>
      </c>
      <c r="X50">
        <v>-4.0251612933205596</v>
      </c>
      <c r="Y50" s="6">
        <f t="shared" si="14"/>
        <v>111.19170984455958</v>
      </c>
      <c r="Z50" s="6">
        <f t="shared" si="15"/>
        <v>122.0637881404721</v>
      </c>
      <c r="AA50" s="6">
        <f t="shared" si="16"/>
        <v>111.19170984455958</v>
      </c>
      <c r="AB50" s="3">
        <f t="shared" si="17"/>
        <v>19.371238509917749</v>
      </c>
      <c r="AC50" s="3">
        <f t="shared" si="13"/>
        <v>3.8756752941176478</v>
      </c>
      <c r="AD50" s="3">
        <f t="shared" si="18"/>
        <v>0</v>
      </c>
      <c r="AE50" s="2">
        <v>82.780655671668498</v>
      </c>
      <c r="AF50" s="2">
        <v>106.58834791950601</v>
      </c>
      <c r="AG50" s="2">
        <v>-3.9591767907071397E-2</v>
      </c>
      <c r="AH50" s="2">
        <v>82.720631855983399</v>
      </c>
      <c r="AI50" s="2">
        <v>108.621855816805</v>
      </c>
      <c r="AJ50" s="2"/>
      <c r="AK50" s="2"/>
      <c r="AL50" s="2"/>
      <c r="AM50" s="2"/>
      <c r="AN50" s="2"/>
      <c r="AO50" s="2"/>
      <c r="AP50" s="2"/>
      <c r="AR50" s="2">
        <v>-6.4814814814815004E-3</v>
      </c>
      <c r="AS50" s="2">
        <v>-1.1852885988650899E-2</v>
      </c>
      <c r="AT50" s="2">
        <v>-8.9171974522293303E-3</v>
      </c>
      <c r="AU50" s="2">
        <v>-1.4364932545563199E-2</v>
      </c>
    </row>
    <row r="51" spans="1:47" x14ac:dyDescent="0.25">
      <c r="A51">
        <v>1828</v>
      </c>
      <c r="B51">
        <v>9.19</v>
      </c>
      <c r="C51" s="3">
        <f t="shared" si="6"/>
        <v>31.777316735822957</v>
      </c>
      <c r="D51">
        <v>19.39</v>
      </c>
      <c r="E51" s="3">
        <f t="shared" si="7"/>
        <v>93.807450411223982</v>
      </c>
      <c r="F51" s="3">
        <f t="shared" si="4"/>
        <v>55.029940119760482</v>
      </c>
      <c r="G51">
        <v>76.900000000000006</v>
      </c>
      <c r="I51" s="3">
        <f t="shared" si="0"/>
        <v>81.976431150077374</v>
      </c>
      <c r="J51">
        <v>4.2300000000000004</v>
      </c>
      <c r="L51">
        <v>4.93</v>
      </c>
      <c r="N51" s="6">
        <f t="shared" si="8"/>
        <v>4.2300000000000004</v>
      </c>
      <c r="O51" s="3">
        <f t="shared" si="9"/>
        <v>99.529411764705898</v>
      </c>
      <c r="P51">
        <v>104.1</v>
      </c>
      <c r="S51">
        <f t="shared" si="1"/>
        <v>104.1</v>
      </c>
      <c r="T51" s="3">
        <f t="shared" si="2"/>
        <v>104.59219858156027</v>
      </c>
      <c r="U51" s="2">
        <v>0.69772320444522296</v>
      </c>
      <c r="V51">
        <v>-10.513215535335799</v>
      </c>
      <c r="W51">
        <v>-4.9077461654452996</v>
      </c>
      <c r="X51">
        <v>-4.8896318095461302</v>
      </c>
      <c r="Y51" s="6">
        <f t="shared" si="14"/>
        <v>107.87564766839378</v>
      </c>
      <c r="Z51" s="6">
        <f t="shared" si="15"/>
        <v>118.18376511226251</v>
      </c>
      <c r="AA51" s="6">
        <f t="shared" si="16"/>
        <v>107.87564766839378</v>
      </c>
      <c r="AB51" s="3">
        <f t="shared" si="17"/>
        <v>19.371238509917749</v>
      </c>
      <c r="AC51" s="3">
        <f t="shared" si="13"/>
        <v>3.8756752941176478</v>
      </c>
      <c r="AD51" s="3">
        <f t="shared" si="18"/>
        <v>0</v>
      </c>
      <c r="AE51" s="2">
        <v>81.649420010123606</v>
      </c>
      <c r="AF51" s="2">
        <v>105.18025351802901</v>
      </c>
      <c r="AG51" s="2">
        <v>-3.9319638588225403E-2</v>
      </c>
      <c r="AH51" s="2">
        <v>81.595663408916707</v>
      </c>
      <c r="AI51" s="2">
        <v>106.385438092919</v>
      </c>
      <c r="AJ51" s="2"/>
      <c r="AK51" s="2"/>
      <c r="AL51" s="2"/>
      <c r="AM51" s="2"/>
      <c r="AN51" s="2"/>
      <c r="AO51" s="2"/>
      <c r="AP51" s="2"/>
      <c r="AR51" s="2">
        <v>-2.9822926374650501E-2</v>
      </c>
      <c r="AS51" s="2">
        <v>-1.0752231926809E-2</v>
      </c>
      <c r="AT51" s="2">
        <v>-1.1568123393315999E-2</v>
      </c>
      <c r="AU51" s="2">
        <v>-9.6510023875267092E-3</v>
      </c>
    </row>
    <row r="52" spans="1:47" x14ac:dyDescent="0.25">
      <c r="A52">
        <v>1829</v>
      </c>
      <c r="B52">
        <v>9.02</v>
      </c>
      <c r="C52" s="3">
        <f t="shared" si="6"/>
        <v>31.189488243430151</v>
      </c>
      <c r="D52">
        <v>19.39</v>
      </c>
      <c r="E52" s="3">
        <f t="shared" si="7"/>
        <v>93.807450411223982</v>
      </c>
      <c r="F52" s="3">
        <f t="shared" si="4"/>
        <v>54.011976047904191</v>
      </c>
      <c r="G52">
        <v>76.2</v>
      </c>
      <c r="I52" s="3">
        <f t="shared" si="0"/>
        <v>81.230221763795782</v>
      </c>
      <c r="J52">
        <v>4.24</v>
      </c>
      <c r="L52">
        <v>4.8600000000000003</v>
      </c>
      <c r="N52" s="6">
        <f t="shared" si="8"/>
        <v>4.24</v>
      </c>
      <c r="O52" s="3">
        <f t="shared" si="9"/>
        <v>99.764705882352942</v>
      </c>
      <c r="P52">
        <v>103.5</v>
      </c>
      <c r="S52">
        <f t="shared" si="1"/>
        <v>103.5</v>
      </c>
      <c r="T52" s="3">
        <f t="shared" si="2"/>
        <v>103.74410377358491</v>
      </c>
      <c r="U52" s="2">
        <v>0.22043912684258901</v>
      </c>
      <c r="V52">
        <v>-10.848628429579801</v>
      </c>
      <c r="W52">
        <v>-5.31409465136863</v>
      </c>
      <c r="X52">
        <v>-5.5094355939613999</v>
      </c>
      <c r="Y52" s="6">
        <f t="shared" si="14"/>
        <v>107.25388601036269</v>
      </c>
      <c r="Z52" s="6">
        <f t="shared" si="15"/>
        <v>115.83419689119171</v>
      </c>
      <c r="AA52" s="6">
        <f t="shared" si="16"/>
        <v>107.00092873203637</v>
      </c>
      <c r="AB52" s="3">
        <f t="shared" si="17"/>
        <v>19.371238509917749</v>
      </c>
      <c r="AC52" s="3">
        <f t="shared" si="13"/>
        <v>3.884837647058824</v>
      </c>
      <c r="AD52" s="3">
        <f t="shared" si="18"/>
        <v>0</v>
      </c>
      <c r="AE52" s="2">
        <v>80.895956564623503</v>
      </c>
      <c r="AF52" s="2">
        <v>103.894332146224</v>
      </c>
      <c r="AG52" s="2">
        <v>-8.4358603471142504E-2</v>
      </c>
      <c r="AH52" s="2">
        <v>80.361683880809196</v>
      </c>
      <c r="AI52" s="2">
        <v>104.32301014569001</v>
      </c>
      <c r="AJ52" s="2"/>
      <c r="AK52" s="2"/>
      <c r="AL52" s="2"/>
      <c r="AM52" s="2"/>
      <c r="AN52" s="2"/>
      <c r="AO52" s="2"/>
      <c r="AP52" s="2"/>
      <c r="AR52" s="2">
        <v>-5.7636887608068597E-3</v>
      </c>
      <c r="AS52" s="2">
        <v>-9.5469602160181202E-3</v>
      </c>
      <c r="AT52" s="2">
        <v>-9.1027308192458099E-3</v>
      </c>
      <c r="AU52" s="2">
        <v>-5.07813760176609E-3</v>
      </c>
    </row>
    <row r="53" spans="1:47" x14ac:dyDescent="0.25">
      <c r="A53">
        <v>1830</v>
      </c>
      <c r="B53">
        <v>8.94</v>
      </c>
      <c r="C53" s="3">
        <f t="shared" si="6"/>
        <v>30.912863070539416</v>
      </c>
      <c r="D53">
        <v>19.39</v>
      </c>
      <c r="E53" s="3">
        <f t="shared" si="7"/>
        <v>93.807450411223982</v>
      </c>
      <c r="F53" s="3">
        <f t="shared" si="4"/>
        <v>53.532934131736532</v>
      </c>
      <c r="G53">
        <v>72.2</v>
      </c>
      <c r="I53" s="3">
        <f t="shared" si="0"/>
        <v>76.966168127900985</v>
      </c>
      <c r="J53">
        <v>4.24</v>
      </c>
      <c r="L53">
        <v>4.76</v>
      </c>
      <c r="N53" s="6">
        <f t="shared" si="8"/>
        <v>4.24</v>
      </c>
      <c r="O53" s="3">
        <f t="shared" si="9"/>
        <v>99.764705882352942</v>
      </c>
      <c r="P53">
        <v>102.1</v>
      </c>
      <c r="S53">
        <f t="shared" si="1"/>
        <v>102.1</v>
      </c>
      <c r="T53" s="3">
        <f t="shared" si="2"/>
        <v>102.34080188679245</v>
      </c>
      <c r="U53" s="2">
        <v>-3.7837559920088402</v>
      </c>
      <c r="V53">
        <v>-11.720164289153301</v>
      </c>
      <c r="W53">
        <v>-7.7519601405810699</v>
      </c>
      <c r="X53">
        <v>-5.8946243667633302</v>
      </c>
      <c r="Y53" s="6">
        <f t="shared" si="14"/>
        <v>105.80310880829016</v>
      </c>
      <c r="Z53" s="6">
        <f t="shared" si="15"/>
        <v>111.91617731721358</v>
      </c>
      <c r="AA53" s="6">
        <f t="shared" si="16"/>
        <v>105.55357317430835</v>
      </c>
      <c r="AB53" s="3">
        <f t="shared" si="17"/>
        <v>19.371238509917749</v>
      </c>
      <c r="AC53" s="3">
        <f t="shared" si="13"/>
        <v>3.884837647058824</v>
      </c>
      <c r="AD53" s="3">
        <f t="shared" si="18"/>
        <v>0</v>
      </c>
      <c r="AE53" s="2">
        <v>80.470306632155001</v>
      </c>
      <c r="AF53" s="2">
        <v>102.766009786233</v>
      </c>
      <c r="AG53" s="2">
        <v>-4.5711298527015498E-2</v>
      </c>
      <c r="AH53" s="2">
        <v>79.241530531105795</v>
      </c>
      <c r="AI53" s="2">
        <v>102.42600315456301</v>
      </c>
      <c r="AJ53" s="2"/>
      <c r="AK53" s="2"/>
      <c r="AL53" s="2"/>
      <c r="AM53" s="2"/>
      <c r="AN53" s="2"/>
      <c r="AO53" s="2"/>
      <c r="AP53" s="2"/>
      <c r="AR53" s="2">
        <v>-1.35265700483092E-2</v>
      </c>
      <c r="AS53" s="2">
        <v>-8.1906474084532006E-3</v>
      </c>
      <c r="AT53" s="2">
        <v>-5.2493438320209897E-2</v>
      </c>
      <c r="AU53" s="2">
        <v>-6.6626033080102796E-4</v>
      </c>
    </row>
    <row r="54" spans="1:47" x14ac:dyDescent="0.25">
      <c r="A54">
        <v>1831</v>
      </c>
      <c r="B54">
        <v>8.3800000000000008</v>
      </c>
      <c r="C54" s="3">
        <f t="shared" si="6"/>
        <v>28.976486860304291</v>
      </c>
      <c r="D54">
        <v>19.39</v>
      </c>
      <c r="E54" s="3">
        <f t="shared" si="7"/>
        <v>93.807450411223982</v>
      </c>
      <c r="F54" s="3">
        <f t="shared" si="4"/>
        <v>50.179640718562887</v>
      </c>
      <c r="G54">
        <v>74.400000000000006</v>
      </c>
      <c r="I54" s="3">
        <f t="shared" si="0"/>
        <v>79.311397627643132</v>
      </c>
      <c r="J54">
        <v>4.25</v>
      </c>
      <c r="L54">
        <v>4.8600000000000003</v>
      </c>
      <c r="N54" s="6">
        <f t="shared" si="8"/>
        <v>4.25</v>
      </c>
      <c r="O54" s="3">
        <f t="shared" si="9"/>
        <v>100</v>
      </c>
      <c r="P54">
        <v>102.9</v>
      </c>
      <c r="S54">
        <f t="shared" si="1"/>
        <v>102.9</v>
      </c>
      <c r="T54" s="3">
        <f t="shared" si="2"/>
        <v>102.9</v>
      </c>
      <c r="U54" s="2">
        <v>-1.20457985807143</v>
      </c>
      <c r="V54">
        <v>-10.6189279480043</v>
      </c>
      <c r="W54">
        <v>-5.9117539030378801</v>
      </c>
      <c r="X54">
        <v>-6.0532964387229899</v>
      </c>
      <c r="Y54" s="6">
        <f t="shared" si="14"/>
        <v>106.6321243523316</v>
      </c>
      <c r="Z54" s="6">
        <f t="shared" si="15"/>
        <v>115.16269430051814</v>
      </c>
      <c r="AA54" s="6">
        <f t="shared" si="16"/>
        <v>106.13032612008536</v>
      </c>
      <c r="AB54" s="3">
        <f t="shared" si="17"/>
        <v>19.371238509917749</v>
      </c>
      <c r="AC54" s="3">
        <f t="shared" si="13"/>
        <v>3.8940000000000001</v>
      </c>
      <c r="AD54" s="3">
        <f t="shared" si="18"/>
        <v>0</v>
      </c>
      <c r="AE54" s="2">
        <v>80.325951944058602</v>
      </c>
      <c r="AF54" s="2">
        <v>101.828869098737</v>
      </c>
      <c r="AG54" s="2">
        <v>-2.5482268900466998E-2</v>
      </c>
      <c r="AH54" s="2">
        <v>78.7508126589819</v>
      </c>
      <c r="AI54" s="2">
        <v>100.481511583752</v>
      </c>
      <c r="AJ54" s="2"/>
      <c r="AK54" s="2"/>
      <c r="AL54" s="2"/>
      <c r="AM54" s="2"/>
      <c r="AN54" s="2"/>
      <c r="AO54" s="2"/>
      <c r="AP54" s="2"/>
      <c r="AR54" s="2">
        <v>7.8354554358473199E-3</v>
      </c>
      <c r="AS54" s="2">
        <v>-6.5990373417373202E-3</v>
      </c>
      <c r="AT54" s="2">
        <v>3.0470914127423799E-2</v>
      </c>
      <c r="AU54" s="2">
        <v>3.5244613506739998E-3</v>
      </c>
    </row>
    <row r="55" spans="1:47" x14ac:dyDescent="0.25">
      <c r="A55">
        <v>1832</v>
      </c>
      <c r="B55">
        <v>8.3000000000000007</v>
      </c>
      <c r="C55" s="3">
        <f t="shared" si="6"/>
        <v>28.699861687413556</v>
      </c>
      <c r="D55">
        <v>19.39</v>
      </c>
      <c r="E55" s="3">
        <f t="shared" si="7"/>
        <v>93.807450411223982</v>
      </c>
      <c r="F55" s="3">
        <f t="shared" si="4"/>
        <v>49.70059880239522</v>
      </c>
      <c r="G55">
        <v>75.3</v>
      </c>
      <c r="I55" s="3">
        <f t="shared" si="0"/>
        <v>80.27080969571945</v>
      </c>
      <c r="J55">
        <v>4.24</v>
      </c>
      <c r="L55">
        <v>4.8600000000000003</v>
      </c>
      <c r="N55" s="6">
        <f t="shared" si="8"/>
        <v>4.24</v>
      </c>
      <c r="O55" s="3">
        <f t="shared" si="9"/>
        <v>99.764705882352942</v>
      </c>
      <c r="P55">
        <v>98.8</v>
      </c>
      <c r="S55">
        <f t="shared" si="1"/>
        <v>98.8</v>
      </c>
      <c r="T55" s="3">
        <f t="shared" si="2"/>
        <v>99.033018867924525</v>
      </c>
      <c r="U55" s="2">
        <v>-2.1750177307588998E-2</v>
      </c>
      <c r="V55">
        <v>-13.9360050795581</v>
      </c>
      <c r="W55">
        <v>-6.97887762843283</v>
      </c>
      <c r="X55">
        <v>-6.0121234783495998</v>
      </c>
      <c r="Y55" s="6">
        <f t="shared" si="14"/>
        <v>102.38341968911917</v>
      </c>
      <c r="Z55" s="6">
        <f t="shared" si="15"/>
        <v>110.5740932642487</v>
      </c>
      <c r="AA55" s="6">
        <f t="shared" si="16"/>
        <v>102.14194935966371</v>
      </c>
      <c r="AB55" s="3">
        <f t="shared" si="17"/>
        <v>19.371238509917749</v>
      </c>
      <c r="AC55" s="3">
        <f t="shared" si="13"/>
        <v>3.884837647058824</v>
      </c>
      <c r="AD55" s="3">
        <f t="shared" si="18"/>
        <v>0</v>
      </c>
      <c r="AE55" s="2">
        <v>80.3813711653534</v>
      </c>
      <c r="AF55" s="2">
        <v>101.111832646555</v>
      </c>
      <c r="AG55" s="2">
        <v>-1.7651015083683601E-2</v>
      </c>
      <c r="AH55" s="2">
        <v>78.647962719910694</v>
      </c>
      <c r="AI55" s="2">
        <v>98.234628845951406</v>
      </c>
      <c r="AJ55" s="2"/>
      <c r="AK55" s="2"/>
      <c r="AL55" s="2"/>
      <c r="AM55" s="2"/>
      <c r="AN55" s="2"/>
      <c r="AO55" s="2"/>
      <c r="AP55" s="2"/>
      <c r="AR55" s="2">
        <v>-3.9844509232264402E-2</v>
      </c>
      <c r="AS55" s="2">
        <v>-4.74123307989208E-3</v>
      </c>
      <c r="AT55" s="2">
        <v>1.2096774193548199E-2</v>
      </c>
      <c r="AU55" s="2">
        <v>6.9155875880704499E-3</v>
      </c>
    </row>
    <row r="56" spans="1:47" x14ac:dyDescent="0.25">
      <c r="A56">
        <v>1833</v>
      </c>
      <c r="B56">
        <v>8.14</v>
      </c>
      <c r="C56" s="3">
        <f t="shared" si="6"/>
        <v>28.146611341632088</v>
      </c>
      <c r="D56">
        <v>19.39</v>
      </c>
      <c r="E56" s="3">
        <f t="shared" si="7"/>
        <v>93.807450411223982</v>
      </c>
      <c r="F56" s="3">
        <f t="shared" si="4"/>
        <v>48.742514970059879</v>
      </c>
      <c r="G56">
        <v>75.3</v>
      </c>
      <c r="I56" s="3">
        <f t="shared" si="0"/>
        <v>80.27080969571945</v>
      </c>
      <c r="J56">
        <v>4.24</v>
      </c>
      <c r="L56">
        <v>4.79</v>
      </c>
      <c r="N56" s="6">
        <f t="shared" si="8"/>
        <v>4.24</v>
      </c>
      <c r="O56" s="3">
        <f t="shared" si="9"/>
        <v>99.764705882352942</v>
      </c>
      <c r="P56">
        <v>95.7</v>
      </c>
      <c r="S56">
        <f t="shared" si="1"/>
        <v>95.7</v>
      </c>
      <c r="T56" s="3">
        <f t="shared" si="2"/>
        <v>95.925707547169807</v>
      </c>
      <c r="U56" s="2">
        <v>0.185015344320313</v>
      </c>
      <c r="V56">
        <v>-16.472462196716599</v>
      </c>
      <c r="W56">
        <v>-8.1437234261981306</v>
      </c>
      <c r="X56">
        <v>-5.7963617287955396</v>
      </c>
      <c r="Y56" s="6">
        <f t="shared" si="14"/>
        <v>99.170984455958546</v>
      </c>
      <c r="Z56" s="6">
        <f t="shared" si="15"/>
        <v>105.56200345423144</v>
      </c>
      <c r="AA56" s="6">
        <f t="shared" si="16"/>
        <v>98.937090624694505</v>
      </c>
      <c r="AB56" s="3">
        <f t="shared" si="17"/>
        <v>19.371238509917749</v>
      </c>
      <c r="AC56" s="3">
        <f t="shared" si="13"/>
        <v>3.884837647058824</v>
      </c>
      <c r="AD56" s="3">
        <f t="shared" si="18"/>
        <v>0</v>
      </c>
      <c r="AE56" s="2">
        <v>80.544983441617703</v>
      </c>
      <c r="AF56" s="2">
        <v>100.65663430151599</v>
      </c>
      <c r="AG56" s="2">
        <v>-9.8280017386732796E-2</v>
      </c>
      <c r="AH56" s="2">
        <v>78.881142283038301</v>
      </c>
      <c r="AI56" s="2">
        <v>96.306611159270801</v>
      </c>
      <c r="AJ56" s="2"/>
      <c r="AK56" s="2"/>
      <c r="AL56" s="2"/>
      <c r="AM56" s="2"/>
      <c r="AN56" s="2"/>
      <c r="AO56" s="2"/>
      <c r="AP56" s="2"/>
      <c r="AR56" s="2">
        <v>-3.1376518218623403E-2</v>
      </c>
      <c r="AS56" s="2">
        <v>-2.4419927591632301E-3</v>
      </c>
      <c r="AT56" s="2">
        <v>0</v>
      </c>
      <c r="AU56" s="2">
        <v>9.1981430545672507E-3</v>
      </c>
    </row>
    <row r="57" spans="1:47" x14ac:dyDescent="0.25">
      <c r="A57">
        <v>1834</v>
      </c>
      <c r="B57">
        <v>8.3000000000000007</v>
      </c>
      <c r="C57" s="3">
        <f t="shared" si="6"/>
        <v>28.699861687413556</v>
      </c>
      <c r="D57">
        <v>19.940000000000001</v>
      </c>
      <c r="E57" s="3">
        <f t="shared" si="7"/>
        <v>96.468311562651195</v>
      </c>
      <c r="F57" s="3">
        <f t="shared" si="4"/>
        <v>49.70059880239522</v>
      </c>
      <c r="G57">
        <v>71.3</v>
      </c>
      <c r="I57" s="3">
        <f t="shared" si="0"/>
        <v>73.91028084252757</v>
      </c>
      <c r="J57">
        <v>4.24</v>
      </c>
      <c r="L57">
        <v>4.6399999999999997</v>
      </c>
      <c r="N57" s="6">
        <f t="shared" si="8"/>
        <v>4.24</v>
      </c>
      <c r="O57" s="3">
        <f t="shared" si="9"/>
        <v>99.764705882352942</v>
      </c>
      <c r="P57">
        <v>93.4</v>
      </c>
      <c r="S57">
        <f t="shared" si="1"/>
        <v>93.4</v>
      </c>
      <c r="T57" s="3">
        <f t="shared" si="2"/>
        <v>93.620283018867923</v>
      </c>
      <c r="U57" s="2">
        <v>-5.98400099915008</v>
      </c>
      <c r="V57">
        <v>-18.209346651859001</v>
      </c>
      <c r="W57">
        <v>-12.096673825504499</v>
      </c>
      <c r="X57">
        <v>-5.4409349747140103</v>
      </c>
      <c r="Y57" s="6">
        <f t="shared" si="14"/>
        <v>96.787564766839381</v>
      </c>
      <c r="Z57" s="6">
        <f t="shared" si="15"/>
        <v>99.79873344847438</v>
      </c>
      <c r="AA57" s="6">
        <f t="shared" si="16"/>
        <v>96.559292208427038</v>
      </c>
      <c r="AB57" s="3">
        <f t="shared" si="17"/>
        <v>19.92070633768747</v>
      </c>
      <c r="AC57" s="3">
        <f t="shared" si="13"/>
        <v>3.884837647058824</v>
      </c>
      <c r="AD57" s="3">
        <f t="shared" si="18"/>
        <v>0</v>
      </c>
      <c r="AE57" s="2">
        <v>80.724194206776502</v>
      </c>
      <c r="AF57" s="2">
        <v>100.483889608986</v>
      </c>
      <c r="AG57" s="2">
        <v>-1.4087841902709401E-2</v>
      </c>
      <c r="AH57" s="2">
        <v>79.942525344206999</v>
      </c>
      <c r="AI57" s="2">
        <v>95.573838459835997</v>
      </c>
      <c r="AJ57" s="2"/>
      <c r="AK57" s="2"/>
      <c r="AL57" s="2"/>
      <c r="AM57" s="2"/>
      <c r="AN57" s="2"/>
      <c r="AO57" s="2"/>
      <c r="AP57" s="2"/>
      <c r="AR57" s="2">
        <v>-2.4033437826541201E-2</v>
      </c>
      <c r="AS57" s="2">
        <v>1.2289272267975999E-4</v>
      </c>
      <c r="AT57" s="2">
        <v>-5.3120849933598897E-2</v>
      </c>
      <c r="AU57" s="2">
        <v>1.01149642893981E-2</v>
      </c>
    </row>
    <row r="58" spans="1:47" x14ac:dyDescent="0.25">
      <c r="A58">
        <v>1835</v>
      </c>
      <c r="B58">
        <v>8.5399999999999991</v>
      </c>
      <c r="C58" s="3">
        <f t="shared" si="6"/>
        <v>29.529737206085748</v>
      </c>
      <c r="D58">
        <v>20.69</v>
      </c>
      <c r="E58" s="3">
        <f t="shared" si="7"/>
        <v>100.09675858732462</v>
      </c>
      <c r="F58" s="3">
        <f t="shared" si="4"/>
        <v>51.137724550898199</v>
      </c>
      <c r="G58">
        <v>79.400000000000006</v>
      </c>
      <c r="I58" s="3">
        <f t="shared" si="0"/>
        <v>79.323247945867593</v>
      </c>
      <c r="J58">
        <v>4.24</v>
      </c>
      <c r="L58">
        <v>4.8499999999999996</v>
      </c>
      <c r="N58" s="6">
        <f t="shared" si="8"/>
        <v>4.24</v>
      </c>
      <c r="O58" s="3">
        <f t="shared" si="9"/>
        <v>99.764705882352942</v>
      </c>
      <c r="P58">
        <v>91.3</v>
      </c>
      <c r="S58">
        <f t="shared" si="1"/>
        <v>91.3</v>
      </c>
      <c r="T58" s="3">
        <f t="shared" si="2"/>
        <v>91.515330188679243</v>
      </c>
      <c r="U58" s="2">
        <v>-0.39851691368117997</v>
      </c>
      <c r="V58">
        <v>-19.727686636841199</v>
      </c>
      <c r="W58">
        <v>-10.063101775261201</v>
      </c>
      <c r="X58">
        <v>-5.0042406177322496</v>
      </c>
      <c r="Y58" s="6">
        <f t="shared" si="14"/>
        <v>94.611398963730565</v>
      </c>
      <c r="Z58" s="6">
        <f t="shared" si="15"/>
        <v>101.97006332757627</v>
      </c>
      <c r="AA58" s="6">
        <f t="shared" si="16"/>
        <v>94.388258871834978</v>
      </c>
      <c r="AB58" s="3">
        <f t="shared" si="17"/>
        <v>20.669980648282532</v>
      </c>
      <c r="AC58" s="3">
        <f t="shared" si="13"/>
        <v>3.884837647058824</v>
      </c>
      <c r="AD58" s="3">
        <f t="shared" si="18"/>
        <v>0</v>
      </c>
      <c r="AE58" s="2">
        <v>80.823759060338404</v>
      </c>
      <c r="AF58" s="2">
        <v>100.56654777131401</v>
      </c>
      <c r="AG58" s="2">
        <v>0.122424876192631</v>
      </c>
      <c r="AH58" s="2">
        <v>82.790571804913199</v>
      </c>
      <c r="AI58" s="2">
        <v>96.773820297349204</v>
      </c>
      <c r="AJ58" s="2"/>
      <c r="AK58" s="2"/>
      <c r="AL58" s="2"/>
      <c r="AM58" s="2"/>
      <c r="AN58" s="2"/>
      <c r="AO58" s="2"/>
      <c r="AP58" s="2"/>
      <c r="AR58" s="2">
        <v>-2.2483940042826601E-2</v>
      </c>
      <c r="AS58" s="2">
        <v>2.48828721327283E-3</v>
      </c>
      <c r="AT58" s="2">
        <v>0.113604488078541</v>
      </c>
      <c r="AU58" s="2">
        <v>9.3169064012511103E-3</v>
      </c>
    </row>
    <row r="59" spans="1:47" x14ac:dyDescent="0.25">
      <c r="A59">
        <v>1836</v>
      </c>
      <c r="B59">
        <v>9.02</v>
      </c>
      <c r="C59" s="3">
        <f t="shared" si="6"/>
        <v>31.189488243430151</v>
      </c>
      <c r="D59">
        <v>20.69</v>
      </c>
      <c r="E59" s="3">
        <f t="shared" si="7"/>
        <v>100.09675858732462</v>
      </c>
      <c r="F59" s="3">
        <f t="shared" si="4"/>
        <v>54.011976047904191</v>
      </c>
      <c r="G59">
        <v>90.4</v>
      </c>
      <c r="I59" s="3">
        <f t="shared" si="0"/>
        <v>90.312614789753511</v>
      </c>
      <c r="J59">
        <v>4.24</v>
      </c>
      <c r="L59">
        <v>4.82</v>
      </c>
      <c r="N59" s="6">
        <f t="shared" si="8"/>
        <v>4.24</v>
      </c>
      <c r="O59" s="3">
        <f t="shared" si="9"/>
        <v>99.764705882352942</v>
      </c>
      <c r="P59">
        <v>102.8</v>
      </c>
      <c r="S59">
        <f t="shared" si="1"/>
        <v>102.8</v>
      </c>
      <c r="T59" s="3">
        <f t="shared" si="2"/>
        <v>103.04245283018868</v>
      </c>
      <c r="U59" s="2">
        <v>10.7517498947647</v>
      </c>
      <c r="V59">
        <v>-7.6184911829964701</v>
      </c>
      <c r="W59">
        <v>1.56662935588412</v>
      </c>
      <c r="X59">
        <v>-4.6112334479854198</v>
      </c>
      <c r="Y59" s="6">
        <f t="shared" si="14"/>
        <v>106.52849740932642</v>
      </c>
      <c r="Z59" s="6">
        <f t="shared" si="15"/>
        <v>114.10385722510074</v>
      </c>
      <c r="AA59" s="6">
        <f t="shared" si="16"/>
        <v>106.27725095317236</v>
      </c>
      <c r="AB59" s="3">
        <f t="shared" si="17"/>
        <v>20.669980648282532</v>
      </c>
      <c r="AC59" s="3">
        <f t="shared" si="13"/>
        <v>3.884837647058824</v>
      </c>
      <c r="AD59" s="3">
        <f t="shared" si="18"/>
        <v>0</v>
      </c>
      <c r="AE59" s="2">
        <v>80.676291659744606</v>
      </c>
      <c r="AF59" s="2">
        <v>100.80861909476199</v>
      </c>
      <c r="AG59" s="2">
        <v>0.13875614763462099</v>
      </c>
      <c r="AH59" s="2">
        <v>86.239566451917298</v>
      </c>
      <c r="AI59" s="2">
        <v>99.9827867349005</v>
      </c>
      <c r="AJ59" s="2"/>
      <c r="AK59" s="2"/>
      <c r="AL59" s="2"/>
      <c r="AM59" s="2"/>
      <c r="AN59" s="2"/>
      <c r="AO59" s="2"/>
      <c r="AP59" s="2"/>
      <c r="AR59" s="2">
        <v>0.125958378970427</v>
      </c>
      <c r="AS59" s="2">
        <v>3.9474912547596899E-3</v>
      </c>
      <c r="AT59" s="2">
        <v>0.138539042821158</v>
      </c>
      <c r="AU59" s="2">
        <v>5.82246635658429E-3</v>
      </c>
    </row>
    <row r="60" spans="1:47" x14ac:dyDescent="0.25">
      <c r="A60">
        <v>1837</v>
      </c>
      <c r="B60">
        <v>9.27</v>
      </c>
      <c r="C60" s="3">
        <f t="shared" si="6"/>
        <v>32.053941908713689</v>
      </c>
      <c r="D60">
        <v>21.64</v>
      </c>
      <c r="E60" s="3">
        <f t="shared" si="7"/>
        <v>104.69279148524431</v>
      </c>
      <c r="F60" s="3">
        <f t="shared" si="4"/>
        <v>55.508982035928149</v>
      </c>
      <c r="G60">
        <v>91.3</v>
      </c>
      <c r="I60" s="3">
        <f t="shared" si="0"/>
        <v>87.207532347504625</v>
      </c>
      <c r="J60">
        <v>4.24</v>
      </c>
      <c r="L60">
        <v>5.0999999999999996</v>
      </c>
      <c r="N60" s="6">
        <f t="shared" si="8"/>
        <v>4.24</v>
      </c>
      <c r="O60" s="3">
        <f t="shared" si="9"/>
        <v>99.764705882352942</v>
      </c>
      <c r="P60">
        <v>101.9</v>
      </c>
      <c r="S60">
        <f t="shared" si="1"/>
        <v>101.9</v>
      </c>
      <c r="T60" s="3">
        <f t="shared" si="2"/>
        <v>102.14033018867924</v>
      </c>
      <c r="U60" s="2">
        <v>7.7970817202251297</v>
      </c>
      <c r="V60">
        <v>-7.92275016113474</v>
      </c>
      <c r="W60">
        <v>-6.2834220454802497E-2</v>
      </c>
      <c r="X60">
        <v>-4.4374568671839301</v>
      </c>
      <c r="Y60" s="6">
        <f t="shared" si="14"/>
        <v>105.5958549222798</v>
      </c>
      <c r="Z60" s="6">
        <f t="shared" si="15"/>
        <v>119.67530224525044</v>
      </c>
      <c r="AA60" s="6">
        <f t="shared" si="16"/>
        <v>105.34680809463292</v>
      </c>
      <c r="AB60" s="3">
        <f t="shared" si="17"/>
        <v>21.619061441702947</v>
      </c>
      <c r="AC60" s="3">
        <f t="shared" si="13"/>
        <v>3.884837647058824</v>
      </c>
      <c r="AD60" s="3">
        <f t="shared" si="18"/>
        <v>0</v>
      </c>
      <c r="AE60" s="2">
        <v>80.100168071832599</v>
      </c>
      <c r="AF60" s="2">
        <v>101.02324840787399</v>
      </c>
      <c r="AG60" s="2">
        <v>9.8898746432258794E-2</v>
      </c>
      <c r="AH60" s="2">
        <v>87.973603470342297</v>
      </c>
      <c r="AI60" s="2">
        <v>103.512361069797</v>
      </c>
      <c r="AJ60" s="2"/>
      <c r="AK60" s="2"/>
      <c r="AL60" s="2"/>
      <c r="AM60" s="2"/>
      <c r="AN60" s="2"/>
      <c r="AO60" s="2"/>
      <c r="AP60" s="2"/>
      <c r="AR60" s="2">
        <v>-8.7548638132294802E-3</v>
      </c>
      <c r="AS60" s="2">
        <v>3.54408311672307E-3</v>
      </c>
      <c r="AT60" s="2">
        <v>9.9557522123892798E-3</v>
      </c>
      <c r="AU60" s="2">
        <v>-3.06983061371334E-4</v>
      </c>
    </row>
    <row r="61" spans="1:47" x14ac:dyDescent="0.25">
      <c r="A61">
        <v>1838</v>
      </c>
      <c r="B61">
        <v>9.02</v>
      </c>
      <c r="C61" s="3">
        <f t="shared" si="6"/>
        <v>31.189488243430151</v>
      </c>
      <c r="D61">
        <v>20.86</v>
      </c>
      <c r="E61" s="3">
        <f t="shared" si="7"/>
        <v>100.91920657958393</v>
      </c>
      <c r="F61" s="3">
        <f t="shared" si="4"/>
        <v>54.011976047904191</v>
      </c>
      <c r="G61">
        <v>87.2</v>
      </c>
      <c r="I61" s="3">
        <f t="shared" si="0"/>
        <v>86.405752636625124</v>
      </c>
      <c r="J61">
        <v>4.24</v>
      </c>
      <c r="L61">
        <v>4.8899999999999997</v>
      </c>
      <c r="N61" s="6">
        <f t="shared" si="8"/>
        <v>4.24</v>
      </c>
      <c r="O61" s="3">
        <f t="shared" si="9"/>
        <v>99.764705882352942</v>
      </c>
      <c r="P61">
        <v>105.7</v>
      </c>
      <c r="S61">
        <f t="shared" si="1"/>
        <v>105.7</v>
      </c>
      <c r="T61" s="3">
        <f t="shared" si="2"/>
        <v>105.94929245283019</v>
      </c>
      <c r="U61" s="2">
        <v>7.1277608567377397</v>
      </c>
      <c r="V61">
        <v>-3.51143428154296</v>
      </c>
      <c r="W61">
        <v>1.8081632875973901</v>
      </c>
      <c r="X61">
        <v>-4.5966756489995397</v>
      </c>
      <c r="Y61" s="6">
        <f t="shared" si="14"/>
        <v>109.53367875647669</v>
      </c>
      <c r="Z61" s="6">
        <f t="shared" si="15"/>
        <v>119.02659758203801</v>
      </c>
      <c r="AA61" s="6">
        <f t="shared" si="16"/>
        <v>109.27534460846614</v>
      </c>
      <c r="AB61" s="3">
        <f t="shared" si="17"/>
        <v>20.83981615868408</v>
      </c>
      <c r="AC61" s="3">
        <f t="shared" si="13"/>
        <v>3.884837647058824</v>
      </c>
      <c r="AD61" s="3">
        <f t="shared" si="18"/>
        <v>0</v>
      </c>
      <c r="AE61" s="2">
        <v>79.011001446842599</v>
      </c>
      <c r="AF61" s="2">
        <v>101.045594348252</v>
      </c>
      <c r="AG61" s="2">
        <v>0.122840797199037</v>
      </c>
      <c r="AH61" s="2">
        <v>87.063588228005202</v>
      </c>
      <c r="AI61" s="2">
        <v>106.683237687713</v>
      </c>
      <c r="AJ61" s="2"/>
      <c r="AK61" s="2"/>
      <c r="AL61" s="2"/>
      <c r="AM61" s="2"/>
      <c r="AN61" s="2"/>
      <c r="AO61" s="2"/>
      <c r="AP61" s="2"/>
      <c r="AR61" s="2">
        <v>3.7291462217860602E-2</v>
      </c>
      <c r="AS61" s="2">
        <v>1.5417499459023699E-3</v>
      </c>
      <c r="AT61" s="2">
        <v>-4.4906900328586997E-2</v>
      </c>
      <c r="AU61" s="2">
        <v>-7.68290330473906E-3</v>
      </c>
    </row>
    <row r="62" spans="1:47" x14ac:dyDescent="0.25">
      <c r="A62">
        <v>1839</v>
      </c>
      <c r="B62">
        <v>9.02</v>
      </c>
      <c r="C62" s="3">
        <f t="shared" si="6"/>
        <v>31.189488243430151</v>
      </c>
      <c r="D62">
        <v>20.67</v>
      </c>
      <c r="E62" s="3">
        <f t="shared" si="7"/>
        <v>99.999999999999986</v>
      </c>
      <c r="F62" s="3">
        <f t="shared" si="4"/>
        <v>54.011976047904191</v>
      </c>
      <c r="G62">
        <v>88.8</v>
      </c>
      <c r="I62" s="3">
        <f t="shared" si="0"/>
        <v>88.800000000000011</v>
      </c>
      <c r="J62">
        <v>4.25</v>
      </c>
      <c r="L62">
        <v>4.99</v>
      </c>
      <c r="N62" s="6">
        <f t="shared" si="8"/>
        <v>4.25</v>
      </c>
      <c r="O62" s="3">
        <f t="shared" si="9"/>
        <v>100</v>
      </c>
      <c r="P62">
        <v>112.7</v>
      </c>
      <c r="S62">
        <f t="shared" si="1"/>
        <v>112.7</v>
      </c>
      <c r="T62" s="3">
        <f t="shared" si="2"/>
        <v>112.7</v>
      </c>
      <c r="U62" s="2">
        <v>9.6340695983401794</v>
      </c>
      <c r="V62">
        <v>3.8445049060147398</v>
      </c>
      <c r="W62">
        <v>6.7392872521774603</v>
      </c>
      <c r="X62">
        <v>-5.1589083406366898</v>
      </c>
      <c r="Y62" s="6">
        <f t="shared" si="14"/>
        <v>116.78756476683938</v>
      </c>
      <c r="Z62" s="6">
        <f t="shared" si="15"/>
        <v>129.50443293033968</v>
      </c>
      <c r="AA62" s="6">
        <f t="shared" si="16"/>
        <v>116.23797622676017</v>
      </c>
      <c r="AB62" s="3">
        <f t="shared" si="17"/>
        <v>20.649999999999995</v>
      </c>
      <c r="AC62" s="3">
        <f t="shared" si="13"/>
        <v>3.8940000000000001</v>
      </c>
      <c r="AD62" s="3">
        <f t="shared" si="18"/>
        <v>0</v>
      </c>
      <c r="AE62" s="2">
        <v>77.436403254296494</v>
      </c>
      <c r="AF62" s="2">
        <v>100.721583069415</v>
      </c>
      <c r="AG62" s="2">
        <v>-3.6628938154162398E-2</v>
      </c>
      <c r="AH62" s="2">
        <v>83.689224935942093</v>
      </c>
      <c r="AI62" s="2">
        <v>108.34532395105499</v>
      </c>
      <c r="AJ62" s="2"/>
      <c r="AK62" s="2"/>
      <c r="AL62" s="2"/>
      <c r="AM62" s="2"/>
      <c r="AN62" s="2"/>
      <c r="AO62" s="2"/>
      <c r="AP62" s="2"/>
      <c r="AR62" s="2">
        <v>6.6225165562913899E-2</v>
      </c>
      <c r="AS62" s="2">
        <v>-1.91881058026253E-3</v>
      </c>
      <c r="AT62" s="2">
        <v>1.8348623853210899E-2</v>
      </c>
      <c r="AU62" s="2">
        <v>-1.48141284729045E-2</v>
      </c>
    </row>
    <row r="63" spans="1:47" x14ac:dyDescent="0.25">
      <c r="A63">
        <v>1840</v>
      </c>
      <c r="B63">
        <v>8.3800000000000008</v>
      </c>
      <c r="C63" s="3">
        <f t="shared" si="6"/>
        <v>28.976486860304291</v>
      </c>
      <c r="D63">
        <v>20.67</v>
      </c>
      <c r="E63" s="3">
        <f t="shared" si="7"/>
        <v>99.999999999999986</v>
      </c>
      <c r="F63" s="3">
        <f t="shared" si="4"/>
        <v>50.179640718562887</v>
      </c>
      <c r="G63">
        <v>75.3</v>
      </c>
      <c r="I63" s="3">
        <f t="shared" si="0"/>
        <v>75.300000000000011</v>
      </c>
      <c r="J63">
        <v>4.24</v>
      </c>
      <c r="L63">
        <v>5</v>
      </c>
      <c r="N63" s="6">
        <f t="shared" si="8"/>
        <v>4.24</v>
      </c>
      <c r="O63" s="3">
        <f t="shared" si="9"/>
        <v>99.764705882352942</v>
      </c>
      <c r="P63">
        <v>110.7</v>
      </c>
      <c r="S63">
        <f t="shared" si="1"/>
        <v>110.7</v>
      </c>
      <c r="T63" s="3">
        <f t="shared" si="2"/>
        <v>110.96108490566037</v>
      </c>
      <c r="U63" s="2">
        <v>-3.7637097609299301</v>
      </c>
      <c r="V63">
        <v>2.7141350122974202</v>
      </c>
      <c r="W63">
        <v>-0.524787374316253</v>
      </c>
      <c r="X63">
        <v>-6.1301250999338599</v>
      </c>
      <c r="Y63" s="6">
        <f t="shared" si="14"/>
        <v>114.71502590673575</v>
      </c>
      <c r="Z63" s="6">
        <f t="shared" si="15"/>
        <v>127.46113989637306</v>
      </c>
      <c r="AA63" s="6">
        <f t="shared" si="16"/>
        <v>114.44447160035195</v>
      </c>
      <c r="AB63" s="3">
        <f t="shared" si="17"/>
        <v>20.649999999999995</v>
      </c>
      <c r="AC63" s="3">
        <f t="shared" si="13"/>
        <v>3.884837647058824</v>
      </c>
      <c r="AD63" s="3">
        <f t="shared" si="18"/>
        <v>0</v>
      </c>
      <c r="AE63" s="2">
        <v>75.485874949247702</v>
      </c>
      <c r="AF63" s="2">
        <v>99.945784781402097</v>
      </c>
      <c r="AG63" s="2">
        <v>-6.3900233995299593E-2</v>
      </c>
      <c r="AH63" s="2">
        <v>78.0756883958543</v>
      </c>
      <c r="AI63" s="2">
        <v>107.090781326327</v>
      </c>
      <c r="AJ63" s="2"/>
      <c r="AK63" s="2"/>
      <c r="AL63" s="2"/>
      <c r="AM63" s="2"/>
      <c r="AN63" s="2"/>
      <c r="AO63" s="2"/>
      <c r="AP63" s="2"/>
      <c r="AR63" s="2">
        <v>-1.7746228926353101E-2</v>
      </c>
      <c r="AS63" s="2">
        <v>-6.3394036616122003E-3</v>
      </c>
      <c r="AT63" s="2">
        <v>-0.152027027027027</v>
      </c>
      <c r="AU63" s="2">
        <v>-2.05817326354918E-2</v>
      </c>
    </row>
    <row r="64" spans="1:47" x14ac:dyDescent="0.25">
      <c r="A64">
        <v>1841</v>
      </c>
      <c r="B64">
        <v>8.4600000000000009</v>
      </c>
      <c r="C64" s="3">
        <f t="shared" si="6"/>
        <v>29.253112033195023</v>
      </c>
      <c r="D64">
        <v>20.67</v>
      </c>
      <c r="E64" s="3">
        <f t="shared" si="7"/>
        <v>99.999999999999986</v>
      </c>
      <c r="F64" s="3">
        <f t="shared" si="4"/>
        <v>50.658682634730546</v>
      </c>
      <c r="G64">
        <v>72.900000000000006</v>
      </c>
      <c r="I64" s="3">
        <f t="shared" si="0"/>
        <v>72.90000000000002</v>
      </c>
      <c r="J64">
        <v>4.24</v>
      </c>
      <c r="L64">
        <v>4.99</v>
      </c>
      <c r="N64" s="6">
        <f t="shared" si="8"/>
        <v>4.24</v>
      </c>
      <c r="O64" s="3">
        <f t="shared" si="9"/>
        <v>99.764705882352942</v>
      </c>
      <c r="P64">
        <v>105.5</v>
      </c>
      <c r="S64">
        <f t="shared" si="1"/>
        <v>105.5</v>
      </c>
      <c r="T64" s="3">
        <f t="shared" si="2"/>
        <v>105.74882075471697</v>
      </c>
      <c r="U64" s="2">
        <v>-6.0752949270349603</v>
      </c>
      <c r="V64">
        <v>-1.88345719141284</v>
      </c>
      <c r="W64">
        <v>-3.9793760592238998</v>
      </c>
      <c r="X64">
        <v>-7.3973141288014004</v>
      </c>
      <c r="Y64" s="6">
        <f t="shared" si="14"/>
        <v>109.32642487046633</v>
      </c>
      <c r="Z64" s="6">
        <f t="shared" si="15"/>
        <v>121.23085780080601</v>
      </c>
      <c r="AA64" s="6">
        <f t="shared" si="16"/>
        <v>109.06857952879071</v>
      </c>
      <c r="AB64" s="3">
        <f t="shared" si="17"/>
        <v>20.649999999999995</v>
      </c>
      <c r="AC64" s="3">
        <f t="shared" si="13"/>
        <v>3.884837647058824</v>
      </c>
      <c r="AD64" s="3">
        <f t="shared" si="18"/>
        <v>0</v>
      </c>
      <c r="AE64" s="2">
        <v>73.3825539542066</v>
      </c>
      <c r="AF64" s="2">
        <v>98.734853863556296</v>
      </c>
      <c r="AG64" s="2">
        <v>-0.173791611097626</v>
      </c>
      <c r="AH64" s="2">
        <v>72.151745097461998</v>
      </c>
      <c r="AI64" s="2">
        <v>103.03999662968199</v>
      </c>
      <c r="AJ64" s="2"/>
      <c r="AK64" s="2"/>
      <c r="AL64" s="2"/>
      <c r="AM64" s="2"/>
      <c r="AN64" s="2"/>
      <c r="AO64" s="2"/>
      <c r="AP64" s="2"/>
      <c r="AR64" s="2">
        <v>-4.6973803071364E-2</v>
      </c>
      <c r="AS64" s="2">
        <v>-1.05403947365554E-2</v>
      </c>
      <c r="AT64" s="2">
        <v>-3.1872509960159202E-2</v>
      </c>
      <c r="AU64" s="2">
        <v>-2.3535162338864098E-2</v>
      </c>
    </row>
    <row r="65" spans="1:47" x14ac:dyDescent="0.25">
      <c r="A65">
        <v>1842</v>
      </c>
      <c r="B65">
        <v>7.9</v>
      </c>
      <c r="C65" s="3">
        <f t="shared" si="6"/>
        <v>27.316735822959888</v>
      </c>
      <c r="D65">
        <v>20.67</v>
      </c>
      <c r="E65" s="3">
        <f t="shared" si="7"/>
        <v>99.999999999999986</v>
      </c>
      <c r="F65" s="3">
        <f t="shared" si="4"/>
        <v>47.305389221556887</v>
      </c>
      <c r="G65">
        <v>65</v>
      </c>
      <c r="I65" s="3">
        <f t="shared" si="0"/>
        <v>65.000000000000014</v>
      </c>
      <c r="J65">
        <v>4.24</v>
      </c>
      <c r="L65">
        <v>4.8</v>
      </c>
      <c r="N65" s="6">
        <f t="shared" si="8"/>
        <v>4.24</v>
      </c>
      <c r="O65" s="3">
        <f t="shared" si="9"/>
        <v>99.764705882352942</v>
      </c>
      <c r="P65">
        <v>95.9</v>
      </c>
      <c r="S65">
        <f t="shared" si="1"/>
        <v>95.9</v>
      </c>
      <c r="T65" s="3">
        <f t="shared" si="2"/>
        <v>96.126179245283012</v>
      </c>
      <c r="U65" s="2">
        <v>-13.900403605937299</v>
      </c>
      <c r="V65">
        <v>-10.889165773311101</v>
      </c>
      <c r="W65">
        <v>-12.394784689624201</v>
      </c>
      <c r="X65">
        <v>-8.7914102518934598</v>
      </c>
      <c r="Y65" s="6">
        <f t="shared" si="14"/>
        <v>99.37823834196891</v>
      </c>
      <c r="Z65" s="6">
        <f t="shared" si="15"/>
        <v>106.00345423143351</v>
      </c>
      <c r="AA65" s="6">
        <f t="shared" si="16"/>
        <v>99.14385570436994</v>
      </c>
      <c r="AB65" s="3">
        <f t="shared" si="17"/>
        <v>20.649999999999995</v>
      </c>
      <c r="AC65" s="3">
        <f t="shared" si="13"/>
        <v>3.884837647058824</v>
      </c>
      <c r="AD65" s="3">
        <f t="shared" si="18"/>
        <v>0</v>
      </c>
      <c r="AE65" s="2">
        <v>71.347718942191193</v>
      </c>
      <c r="AF65" s="2">
        <v>97.215186847408205</v>
      </c>
      <c r="AG65" s="2">
        <v>-0.25937849858593398</v>
      </c>
      <c r="AH65" s="2">
        <v>66.920932065200702</v>
      </c>
      <c r="AI65" s="2">
        <v>97.589762901829104</v>
      </c>
      <c r="AJ65" s="2"/>
      <c r="AK65" s="2"/>
      <c r="AL65" s="2"/>
      <c r="AM65" s="2"/>
      <c r="AN65" s="2"/>
      <c r="AO65" s="2"/>
      <c r="AP65" s="2"/>
      <c r="AR65" s="2">
        <v>-9.0995260663506994E-2</v>
      </c>
      <c r="AS65" s="2">
        <v>-1.3456217496148301E-2</v>
      </c>
      <c r="AT65" s="2">
        <v>-0.108367626886145</v>
      </c>
      <c r="AU65" s="2">
        <v>-2.3538317073299501E-2</v>
      </c>
    </row>
    <row r="66" spans="1:47" x14ac:dyDescent="0.25">
      <c r="A66">
        <v>1843</v>
      </c>
      <c r="B66">
        <v>7.17</v>
      </c>
      <c r="C66" s="3">
        <f t="shared" si="6"/>
        <v>24.792531120331947</v>
      </c>
      <c r="D66">
        <v>20.67</v>
      </c>
      <c r="E66" s="3">
        <f t="shared" si="7"/>
        <v>99.999999999999986</v>
      </c>
      <c r="F66" s="3">
        <f t="shared" si="4"/>
        <v>42.93413173652695</v>
      </c>
      <c r="G66">
        <v>59.4</v>
      </c>
      <c r="I66" s="3">
        <f t="shared" si="0"/>
        <v>59.400000000000006</v>
      </c>
      <c r="J66">
        <v>4.24</v>
      </c>
      <c r="L66">
        <v>4.79</v>
      </c>
      <c r="N66" s="6">
        <f t="shared" si="8"/>
        <v>4.24</v>
      </c>
      <c r="O66" s="3">
        <f t="shared" si="9"/>
        <v>99.764705882352942</v>
      </c>
      <c r="P66">
        <v>86.1</v>
      </c>
      <c r="S66">
        <f t="shared" si="1"/>
        <v>86.1</v>
      </c>
      <c r="T66" s="3">
        <f t="shared" si="2"/>
        <v>86.303066037735846</v>
      </c>
      <c r="U66" s="2">
        <v>-19.438753503599401</v>
      </c>
      <c r="V66">
        <v>-20.103865641069198</v>
      </c>
      <c r="W66">
        <v>-19.7713095723343</v>
      </c>
      <c r="X66">
        <v>-10.1091689131684</v>
      </c>
      <c r="Y66" s="6">
        <f t="shared" si="14"/>
        <v>89.222797927461144</v>
      </c>
      <c r="Z66" s="6">
        <f t="shared" si="15"/>
        <v>94.972711571675319</v>
      </c>
      <c r="AA66" s="6">
        <f t="shared" si="16"/>
        <v>89.012366800273739</v>
      </c>
      <c r="AB66" s="3">
        <f t="shared" si="17"/>
        <v>20.649999999999995</v>
      </c>
      <c r="AC66" s="3">
        <f t="shared" si="13"/>
        <v>3.884837647058824</v>
      </c>
      <c r="AD66" s="3">
        <f t="shared" si="18"/>
        <v>0</v>
      </c>
      <c r="AE66" s="2">
        <v>69.597823046677306</v>
      </c>
      <c r="AF66" s="2">
        <v>95.582931725852006</v>
      </c>
      <c r="AG66" s="2">
        <v>-0.22859016876488</v>
      </c>
      <c r="AH66" s="2">
        <v>63.636204624352203</v>
      </c>
      <c r="AI66" s="2">
        <v>93.026874306916397</v>
      </c>
      <c r="AJ66" s="2"/>
      <c r="AK66" s="2"/>
      <c r="AL66" s="2"/>
      <c r="AM66" s="2"/>
      <c r="AN66" s="2"/>
      <c r="AO66" s="2"/>
      <c r="AP66" s="2"/>
      <c r="AR66" s="2">
        <v>-0.10218978102189701</v>
      </c>
      <c r="AS66" s="2">
        <v>-1.4385639714795199E-2</v>
      </c>
      <c r="AT66" s="2">
        <v>-8.6153846153846095E-2</v>
      </c>
      <c r="AU66" s="2">
        <v>-2.0538469805289401E-2</v>
      </c>
    </row>
    <row r="67" spans="1:47" x14ac:dyDescent="0.25">
      <c r="A67">
        <v>1844</v>
      </c>
      <c r="B67">
        <v>7.25</v>
      </c>
      <c r="C67" s="3">
        <f t="shared" si="6"/>
        <v>25.069156293222683</v>
      </c>
      <c r="D67">
        <v>20.67</v>
      </c>
      <c r="E67" s="3">
        <f t="shared" si="7"/>
        <v>99.999999999999986</v>
      </c>
      <c r="F67" s="3">
        <f t="shared" si="4"/>
        <v>43.41317365269461</v>
      </c>
      <c r="G67">
        <v>61</v>
      </c>
      <c r="I67" s="3">
        <f t="shared" ref="I67:I130" si="19">G67*100/E67</f>
        <v>61.000000000000007</v>
      </c>
      <c r="J67">
        <v>4.24</v>
      </c>
      <c r="L67">
        <v>4.8600000000000003</v>
      </c>
      <c r="N67" s="6">
        <f t="shared" si="8"/>
        <v>4.24</v>
      </c>
      <c r="O67" s="3">
        <f t="shared" si="9"/>
        <v>99.764705882352942</v>
      </c>
      <c r="P67">
        <v>87.6</v>
      </c>
      <c r="S67">
        <f t="shared" ref="S67:T130" si="20">P67</f>
        <v>87.6</v>
      </c>
      <c r="T67" s="3">
        <f t="shared" ref="T67:T130" si="21">S67*100/O67</f>
        <v>87.806603773584911</v>
      </c>
      <c r="U67" s="2">
        <v>-17.790062325983499</v>
      </c>
      <c r="V67">
        <v>-17.9784125418361</v>
      </c>
      <c r="W67">
        <v>-17.884237433909799</v>
      </c>
      <c r="X67">
        <v>-11.183379300962001</v>
      </c>
      <c r="Y67" s="6">
        <f t="shared" si="14"/>
        <v>90.777202072538856</v>
      </c>
      <c r="Z67" s="6">
        <f t="shared" si="15"/>
        <v>98.039378238341968</v>
      </c>
      <c r="AA67" s="6">
        <f t="shared" si="16"/>
        <v>90.56310489783948</v>
      </c>
      <c r="AB67" s="3">
        <f t="shared" si="17"/>
        <v>20.649999999999995</v>
      </c>
      <c r="AC67" s="3">
        <f t="shared" si="13"/>
        <v>3.884837647058824</v>
      </c>
      <c r="AD67" s="3">
        <f t="shared" si="18"/>
        <v>0</v>
      </c>
      <c r="AE67" s="2">
        <v>68.285842211718901</v>
      </c>
      <c r="AF67" s="2">
        <v>94.022984623308204</v>
      </c>
      <c r="AG67" s="2">
        <v>-0.147407991480247</v>
      </c>
      <c r="AH67" s="2">
        <v>62.9102074117976</v>
      </c>
      <c r="AI67" s="2">
        <v>91.138204041816394</v>
      </c>
      <c r="AJ67" s="2"/>
      <c r="AK67" s="2"/>
      <c r="AL67" s="2"/>
      <c r="AM67" s="2"/>
      <c r="AN67" s="2"/>
      <c r="AO67" s="2"/>
      <c r="AP67" s="2"/>
      <c r="AR67" s="2">
        <v>1.74216027874564E-2</v>
      </c>
      <c r="AS67" s="2">
        <v>-1.3402819598573999E-2</v>
      </c>
      <c r="AT67" s="2">
        <v>2.69360269360269E-2</v>
      </c>
      <c r="AU67" s="2">
        <v>-1.53311865994536E-2</v>
      </c>
    </row>
    <row r="68" spans="1:47" x14ac:dyDescent="0.25">
      <c r="A68">
        <v>1845</v>
      </c>
      <c r="B68">
        <v>7.33</v>
      </c>
      <c r="C68" s="3">
        <f t="shared" si="6"/>
        <v>25.345781466113415</v>
      </c>
      <c r="D68">
        <v>20.67</v>
      </c>
      <c r="E68" s="3">
        <f t="shared" si="7"/>
        <v>99.999999999999986</v>
      </c>
      <c r="F68" s="3">
        <f t="shared" ref="F68:F131" si="22">B68*100/$B$153</f>
        <v>43.892215568862277</v>
      </c>
      <c r="G68">
        <v>65.900000000000006</v>
      </c>
      <c r="I68" s="3">
        <f t="shared" si="19"/>
        <v>65.90000000000002</v>
      </c>
      <c r="J68">
        <v>4.24</v>
      </c>
      <c r="L68">
        <v>4.87</v>
      </c>
      <c r="N68" s="6">
        <f t="shared" si="8"/>
        <v>4.24</v>
      </c>
      <c r="O68" s="3">
        <f t="shared" si="9"/>
        <v>99.764705882352942</v>
      </c>
      <c r="P68">
        <v>90</v>
      </c>
      <c r="S68">
        <f t="shared" si="20"/>
        <v>90</v>
      </c>
      <c r="T68" s="3">
        <f t="shared" si="21"/>
        <v>90.212264150943398</v>
      </c>
      <c r="U68" s="2">
        <v>-12.854047779051999</v>
      </c>
      <c r="V68">
        <v>-14.9636430622379</v>
      </c>
      <c r="W68">
        <v>-13.9088454206449</v>
      </c>
      <c r="X68">
        <v>-11.9434520102016</v>
      </c>
      <c r="Y68" s="6">
        <f t="shared" si="14"/>
        <v>93.264248704663217</v>
      </c>
      <c r="Z68" s="6">
        <f t="shared" si="15"/>
        <v>100.93264248704664</v>
      </c>
      <c r="AA68" s="6">
        <f t="shared" si="16"/>
        <v>93.044285853944686</v>
      </c>
      <c r="AB68" s="3">
        <f t="shared" si="17"/>
        <v>20.649999999999995</v>
      </c>
      <c r="AC68" s="3">
        <f t="shared" si="13"/>
        <v>3.884837647058824</v>
      </c>
      <c r="AD68" s="3">
        <f t="shared" si="18"/>
        <v>0</v>
      </c>
      <c r="AE68" s="2">
        <v>67.462774150903101</v>
      </c>
      <c r="AF68" s="2">
        <v>92.627112346938702</v>
      </c>
      <c r="AG68" s="2">
        <v>-0.143775111642092</v>
      </c>
      <c r="AH68" s="2">
        <v>63.943516856301002</v>
      </c>
      <c r="AI68" s="2">
        <v>91.458333867762704</v>
      </c>
      <c r="AJ68" s="2"/>
      <c r="AK68" s="2"/>
      <c r="AL68" s="2"/>
      <c r="AM68" s="2"/>
      <c r="AN68" s="2"/>
      <c r="AO68" s="2"/>
      <c r="AP68" s="2"/>
      <c r="AR68" s="2">
        <v>2.7397260273972601E-2</v>
      </c>
      <c r="AS68" s="2">
        <v>-1.14599567666335E-2</v>
      </c>
      <c r="AT68" s="2">
        <v>8.03278688524591E-2</v>
      </c>
      <c r="AU68" s="2">
        <v>-9.3681872838974299E-3</v>
      </c>
    </row>
    <row r="69" spans="1:47" x14ac:dyDescent="0.25">
      <c r="A69">
        <v>1846</v>
      </c>
      <c r="B69">
        <v>7.41</v>
      </c>
      <c r="C69" s="3">
        <f t="shared" si="6"/>
        <v>25.622406639004147</v>
      </c>
      <c r="D69">
        <v>20.67</v>
      </c>
      <c r="E69" s="3">
        <f t="shared" si="7"/>
        <v>99.999999999999986</v>
      </c>
      <c r="F69" s="3">
        <f t="shared" si="22"/>
        <v>44.371257485029943</v>
      </c>
      <c r="G69">
        <v>65.900000000000006</v>
      </c>
      <c r="I69" s="3">
        <f t="shared" si="19"/>
        <v>65.90000000000002</v>
      </c>
      <c r="J69">
        <v>4.24</v>
      </c>
      <c r="L69">
        <v>4.82</v>
      </c>
      <c r="N69" s="6">
        <f t="shared" si="8"/>
        <v>4.24</v>
      </c>
      <c r="O69" s="3">
        <f t="shared" si="9"/>
        <v>99.764705882352942</v>
      </c>
      <c r="P69">
        <v>92.9</v>
      </c>
      <c r="S69">
        <f t="shared" si="20"/>
        <v>92.9</v>
      </c>
      <c r="T69" s="3">
        <f t="shared" si="21"/>
        <v>93.119103773584911</v>
      </c>
      <c r="U69" s="2">
        <v>-12.8304275687674</v>
      </c>
      <c r="V69">
        <v>-11.440374628377199</v>
      </c>
      <c r="W69">
        <v>-12.1354010985723</v>
      </c>
      <c r="X69">
        <v>-12.385806217143999</v>
      </c>
      <c r="Y69" s="6">
        <f t="shared" si="14"/>
        <v>96.269430051813472</v>
      </c>
      <c r="Z69" s="6">
        <f t="shared" si="15"/>
        <v>103.11525618883132</v>
      </c>
      <c r="AA69" s="6">
        <f t="shared" si="16"/>
        <v>96.042379509238458</v>
      </c>
      <c r="AB69" s="3">
        <f t="shared" si="17"/>
        <v>20.649999999999995</v>
      </c>
      <c r="AC69" s="3">
        <f t="shared" si="13"/>
        <v>3.884837647058824</v>
      </c>
      <c r="AD69" s="3">
        <f t="shared" si="18"/>
        <v>0</v>
      </c>
      <c r="AE69" s="2">
        <v>67.106758155699893</v>
      </c>
      <c r="AF69" s="2">
        <v>91.424651857672302</v>
      </c>
      <c r="AG69" s="2">
        <v>-6.1662694047945499E-2</v>
      </c>
      <c r="AH69" s="2">
        <v>65.299973582693596</v>
      </c>
      <c r="AI69" s="2">
        <v>92.402444198716395</v>
      </c>
      <c r="AJ69" s="2"/>
      <c r="AK69" s="2"/>
      <c r="AL69" s="2"/>
      <c r="AM69" s="2"/>
      <c r="AN69" s="2"/>
      <c r="AO69" s="2"/>
      <c r="AP69" s="2"/>
      <c r="AR69" s="2">
        <v>3.2222222222222201E-2</v>
      </c>
      <c r="AS69" s="2">
        <v>-9.2010066142624407E-3</v>
      </c>
      <c r="AT69" s="2">
        <v>0</v>
      </c>
      <c r="AU69" s="2">
        <v>-3.6785195513713001E-3</v>
      </c>
    </row>
    <row r="70" spans="1:47" x14ac:dyDescent="0.25">
      <c r="A70">
        <v>1847</v>
      </c>
      <c r="B70">
        <v>7.98</v>
      </c>
      <c r="C70" s="3">
        <f t="shared" si="6"/>
        <v>27.59336099585062</v>
      </c>
      <c r="D70">
        <v>20.67</v>
      </c>
      <c r="E70" s="3">
        <f t="shared" si="7"/>
        <v>99.999999999999986</v>
      </c>
      <c r="F70" s="3">
        <f t="shared" si="22"/>
        <v>47.784431137724553</v>
      </c>
      <c r="G70">
        <v>71.3</v>
      </c>
      <c r="I70" s="3">
        <f t="shared" si="19"/>
        <v>71.300000000000011</v>
      </c>
      <c r="J70">
        <v>4.24</v>
      </c>
      <c r="L70">
        <v>4.79</v>
      </c>
      <c r="N70" s="6">
        <f t="shared" si="8"/>
        <v>4.24</v>
      </c>
      <c r="O70" s="3">
        <f t="shared" si="9"/>
        <v>99.764705882352942</v>
      </c>
      <c r="P70">
        <v>104.6</v>
      </c>
      <c r="S70">
        <f t="shared" si="20"/>
        <v>104.6</v>
      </c>
      <c r="T70" s="3">
        <f t="shared" si="21"/>
        <v>104.84669811320755</v>
      </c>
      <c r="U70" s="2">
        <v>-7.4189194010919</v>
      </c>
      <c r="V70">
        <v>0.90059449416590498</v>
      </c>
      <c r="W70">
        <v>-3.2591624534629999</v>
      </c>
      <c r="X70">
        <v>-12.526515032150501</v>
      </c>
      <c r="Y70" s="6">
        <f t="shared" si="14"/>
        <v>108.39378238341969</v>
      </c>
      <c r="Z70" s="6">
        <f t="shared" si="15"/>
        <v>115.3791594703512</v>
      </c>
      <c r="AA70" s="6">
        <f t="shared" si="16"/>
        <v>108.13813667025126</v>
      </c>
      <c r="AB70" s="3">
        <f t="shared" si="17"/>
        <v>20.649999999999995</v>
      </c>
      <c r="AC70" s="3">
        <f t="shared" si="13"/>
        <v>3.884837647058824</v>
      </c>
      <c r="AD70" s="3">
        <f t="shared" si="18"/>
        <v>0</v>
      </c>
      <c r="AE70" s="2">
        <v>67.180305776070298</v>
      </c>
      <c r="AF70" s="2">
        <v>90.420468992968395</v>
      </c>
      <c r="AG70" s="2">
        <v>-0.151089196090468</v>
      </c>
      <c r="AH70" s="2">
        <v>66.195579263706406</v>
      </c>
      <c r="AI70" s="2">
        <v>91.959604159384398</v>
      </c>
      <c r="AJ70" s="2">
        <v>92</v>
      </c>
      <c r="AK70" s="2">
        <v>65</v>
      </c>
      <c r="AL70" s="2"/>
      <c r="AM70" s="2"/>
      <c r="AN70" s="2"/>
      <c r="AO70" s="2"/>
      <c r="AP70" s="2"/>
      <c r="AR70" s="2">
        <v>0.12594187298170001</v>
      </c>
      <c r="AS70" s="2">
        <v>-6.8813523663431297E-3</v>
      </c>
      <c r="AT70" s="2">
        <v>8.1942336874051405E-2</v>
      </c>
      <c r="AU70" s="2">
        <v>1.6057294667378001E-3</v>
      </c>
    </row>
    <row r="71" spans="1:47" x14ac:dyDescent="0.25">
      <c r="A71">
        <v>1848</v>
      </c>
      <c r="B71">
        <v>7.65</v>
      </c>
      <c r="C71" s="3">
        <f t="shared" si="6"/>
        <v>26.452282157676347</v>
      </c>
      <c r="D71">
        <v>20.67</v>
      </c>
      <c r="E71" s="3">
        <f t="shared" si="7"/>
        <v>99.999999999999986</v>
      </c>
      <c r="F71" s="3">
        <f t="shared" si="22"/>
        <v>45.808383233532936</v>
      </c>
      <c r="G71">
        <v>65</v>
      </c>
      <c r="I71" s="3">
        <f t="shared" si="19"/>
        <v>65.000000000000014</v>
      </c>
      <c r="J71">
        <v>4.24</v>
      </c>
      <c r="L71">
        <v>4.87</v>
      </c>
      <c r="N71" s="6">
        <f t="shared" si="8"/>
        <v>4.24</v>
      </c>
      <c r="O71" s="3">
        <f t="shared" si="9"/>
        <v>99.764705882352942</v>
      </c>
      <c r="P71">
        <v>88.4</v>
      </c>
      <c r="S71">
        <f t="shared" si="20"/>
        <v>88.4</v>
      </c>
      <c r="T71" s="3">
        <f t="shared" si="21"/>
        <v>88.60849056603773</v>
      </c>
      <c r="U71" s="2">
        <v>-13.719240981987999</v>
      </c>
      <c r="V71">
        <v>-14.731514799665399</v>
      </c>
      <c r="W71">
        <v>-14.225377890826699</v>
      </c>
      <c r="X71">
        <v>-12.3791475143966</v>
      </c>
      <c r="Y71" s="6">
        <f t="shared" si="14"/>
        <v>91.606217616580309</v>
      </c>
      <c r="Z71" s="6">
        <f t="shared" si="15"/>
        <v>99.138284398388024</v>
      </c>
      <c r="AA71" s="6">
        <f t="shared" si="16"/>
        <v>91.39016521654122</v>
      </c>
      <c r="AB71" s="3">
        <f t="shared" si="17"/>
        <v>20.649999999999995</v>
      </c>
      <c r="AC71" s="3">
        <f t="shared" si="13"/>
        <v>3.884837647058824</v>
      </c>
      <c r="AD71" s="3">
        <f t="shared" si="18"/>
        <v>0</v>
      </c>
      <c r="AE71" s="2">
        <v>67.633860980418206</v>
      </c>
      <c r="AF71" s="2">
        <v>89.636083071709706</v>
      </c>
      <c r="AG71" s="2">
        <v>-0.14827224485311499</v>
      </c>
      <c r="AH71" s="2">
        <v>66.046344377839105</v>
      </c>
      <c r="AI71" s="2">
        <v>88.348068141568405</v>
      </c>
      <c r="AJ71" s="2"/>
      <c r="AK71" s="2"/>
      <c r="AL71" s="2"/>
      <c r="AM71" s="2"/>
      <c r="AN71" s="2"/>
      <c r="AO71" s="2"/>
      <c r="AP71" s="2"/>
      <c r="AR71" s="2">
        <v>-0.15487571701720801</v>
      </c>
      <c r="AS71" s="2">
        <v>-4.34214495939332E-3</v>
      </c>
      <c r="AT71" s="2">
        <v>-8.83590462833099E-2</v>
      </c>
      <c r="AU71" s="2">
        <v>6.3892578345566397E-3</v>
      </c>
    </row>
    <row r="72" spans="1:47" x14ac:dyDescent="0.25">
      <c r="A72">
        <v>1849</v>
      </c>
      <c r="B72">
        <v>7.41</v>
      </c>
      <c r="C72" s="3">
        <f t="shared" si="6"/>
        <v>25.622406639004147</v>
      </c>
      <c r="D72">
        <v>20.67</v>
      </c>
      <c r="E72" s="3">
        <f t="shared" si="7"/>
        <v>99.999999999999986</v>
      </c>
      <c r="F72" s="3">
        <f t="shared" si="22"/>
        <v>44.371257485029943</v>
      </c>
      <c r="G72">
        <v>65</v>
      </c>
      <c r="I72" s="3">
        <f t="shared" si="19"/>
        <v>65.000000000000014</v>
      </c>
      <c r="J72">
        <v>4.24</v>
      </c>
      <c r="L72">
        <v>4.8099999999999996</v>
      </c>
      <c r="N72" s="6">
        <f t="shared" si="8"/>
        <v>4.24</v>
      </c>
      <c r="O72" s="3">
        <f t="shared" si="9"/>
        <v>99.764705882352942</v>
      </c>
      <c r="P72">
        <v>79.8</v>
      </c>
      <c r="S72">
        <f t="shared" si="20"/>
        <v>79.8</v>
      </c>
      <c r="T72" s="3">
        <f t="shared" si="21"/>
        <v>79.988207547169807</v>
      </c>
      <c r="U72" s="2">
        <v>-13.731110017418001</v>
      </c>
      <c r="V72">
        <v>-22.747462454404999</v>
      </c>
      <c r="W72">
        <v>-18.2392862359115</v>
      </c>
      <c r="X72">
        <v>-11.864599197271</v>
      </c>
      <c r="Y72" s="6">
        <f t="shared" si="14"/>
        <v>82.69430051813471</v>
      </c>
      <c r="Z72" s="6">
        <f t="shared" si="15"/>
        <v>88.39101899827287</v>
      </c>
      <c r="AA72" s="6">
        <f t="shared" si="16"/>
        <v>82.499266790497614</v>
      </c>
      <c r="AB72" s="3">
        <f t="shared" si="17"/>
        <v>20.649999999999995</v>
      </c>
      <c r="AC72" s="3">
        <f t="shared" si="13"/>
        <v>3.884837647058824</v>
      </c>
      <c r="AD72" s="3">
        <f t="shared" si="18"/>
        <v>0</v>
      </c>
      <c r="AE72" s="2">
        <v>68.459064679386699</v>
      </c>
      <c r="AF72" s="2">
        <v>89.236908722849194</v>
      </c>
      <c r="AG72" s="2">
        <v>-0.121397218254261</v>
      </c>
      <c r="AH72" s="2">
        <v>65.969752982356198</v>
      </c>
      <c r="AI72" s="2">
        <v>84.069555817274903</v>
      </c>
      <c r="AJ72" s="2"/>
      <c r="AK72" s="2"/>
      <c r="AL72" s="2"/>
      <c r="AM72" s="2"/>
      <c r="AN72" s="2"/>
      <c r="AO72" s="2"/>
      <c r="AP72" s="2"/>
      <c r="AR72" s="2">
        <v>-9.7285067873303196E-2</v>
      </c>
      <c r="AS72" s="2">
        <v>-9.6303076450221495E-5</v>
      </c>
      <c r="AT72" s="2">
        <v>0</v>
      </c>
      <c r="AU72" s="2">
        <v>1.1380129690285099E-2</v>
      </c>
    </row>
    <row r="73" spans="1:47" x14ac:dyDescent="0.25">
      <c r="A73">
        <v>1850</v>
      </c>
      <c r="B73">
        <v>7.57</v>
      </c>
      <c r="C73" s="3">
        <f t="shared" si="6"/>
        <v>26.175656984785615</v>
      </c>
      <c r="D73">
        <v>20.67</v>
      </c>
      <c r="E73" s="3">
        <f t="shared" si="7"/>
        <v>99.999999999999986</v>
      </c>
      <c r="F73" s="3">
        <f t="shared" si="22"/>
        <v>45.32934131736527</v>
      </c>
      <c r="G73">
        <v>66.599999999999994</v>
      </c>
      <c r="I73" s="3">
        <f t="shared" si="19"/>
        <v>66.599999999999994</v>
      </c>
      <c r="J73">
        <v>4.24</v>
      </c>
      <c r="L73">
        <v>4.87</v>
      </c>
      <c r="N73" s="6">
        <f t="shared" si="8"/>
        <v>4.24</v>
      </c>
      <c r="O73" s="3">
        <f t="shared" si="9"/>
        <v>99.764705882352942</v>
      </c>
      <c r="P73">
        <v>79.400000000000006</v>
      </c>
      <c r="S73">
        <f t="shared" si="20"/>
        <v>79.400000000000006</v>
      </c>
      <c r="T73" s="3">
        <f t="shared" si="21"/>
        <v>79.587264150943412</v>
      </c>
      <c r="U73" s="2">
        <v>-12.154244213344301</v>
      </c>
      <c r="V73">
        <v>-22.547989254063701</v>
      </c>
      <c r="W73">
        <v>-17.351116733704</v>
      </c>
      <c r="X73">
        <v>-10.922227917926699</v>
      </c>
      <c r="Y73" s="6">
        <f t="shared" si="14"/>
        <v>82.279792746113998</v>
      </c>
      <c r="Z73" s="6">
        <f t="shared" si="15"/>
        <v>89.045020149683367</v>
      </c>
      <c r="AA73" s="6">
        <f t="shared" si="16"/>
        <v>82.085736631146759</v>
      </c>
      <c r="AB73" s="3">
        <f t="shared" si="17"/>
        <v>20.649999999999995</v>
      </c>
      <c r="AC73" s="3">
        <f t="shared" si="13"/>
        <v>3.884837647058824</v>
      </c>
      <c r="AD73" s="3">
        <f t="shared" si="18"/>
        <v>0</v>
      </c>
      <c r="AE73" s="2">
        <v>69.621219173815007</v>
      </c>
      <c r="AF73" s="2">
        <v>89.377799744622806</v>
      </c>
      <c r="AG73" s="2">
        <v>-0.12965849567767301</v>
      </c>
      <c r="AH73" s="2">
        <v>66.734507675242099</v>
      </c>
      <c r="AI73" s="2">
        <v>81.703097477987896</v>
      </c>
      <c r="AJ73" s="2"/>
      <c r="AK73" s="2"/>
      <c r="AL73" s="2"/>
      <c r="AM73" s="2"/>
      <c r="AN73" s="2"/>
      <c r="AO73" s="2"/>
      <c r="AP73" s="2"/>
      <c r="AR73" s="2">
        <v>-5.0125313283206898E-3</v>
      </c>
      <c r="AS73" s="2">
        <v>5.8379188788707896E-3</v>
      </c>
      <c r="AT73" s="2">
        <v>2.4615384615384501E-2</v>
      </c>
      <c r="AU73" s="2">
        <v>1.6338926130944498E-2</v>
      </c>
    </row>
    <row r="74" spans="1:47" x14ac:dyDescent="0.25">
      <c r="A74">
        <v>1851</v>
      </c>
      <c r="B74">
        <v>7.41</v>
      </c>
      <c r="C74" s="3">
        <f t="shared" ref="C74:C137" si="23">B74*100/$B$181</f>
        <v>25.622406639004147</v>
      </c>
      <c r="D74">
        <v>20.67</v>
      </c>
      <c r="E74" s="3">
        <f t="shared" ref="E74:E137" si="24">D74*100/$D$153</f>
        <v>99.999999999999986</v>
      </c>
      <c r="F74" s="3">
        <f t="shared" si="22"/>
        <v>44.371257485029943</v>
      </c>
      <c r="G74">
        <v>65.900000000000006</v>
      </c>
      <c r="I74" s="3">
        <f t="shared" si="19"/>
        <v>65.90000000000002</v>
      </c>
      <c r="J74">
        <v>4.24</v>
      </c>
      <c r="L74">
        <v>4.91</v>
      </c>
      <c r="N74" s="6">
        <f t="shared" ref="N74:N137" si="25">+J74</f>
        <v>4.24</v>
      </c>
      <c r="O74" s="3">
        <f t="shared" ref="O74:O137" si="26">N74*100/$N$153</f>
        <v>99.764705882352942</v>
      </c>
      <c r="P74">
        <v>77.3</v>
      </c>
      <c r="S74">
        <f t="shared" si="20"/>
        <v>77.3</v>
      </c>
      <c r="T74" s="3">
        <f t="shared" si="21"/>
        <v>77.482311320754718</v>
      </c>
      <c r="U74" s="2">
        <v>-12.8883612757293</v>
      </c>
      <c r="V74">
        <v>-24.063816822129301</v>
      </c>
      <c r="W74">
        <v>-18.4760890489293</v>
      </c>
      <c r="X74">
        <v>-9.5551383839031097</v>
      </c>
      <c r="Y74" s="6">
        <f t="shared" si="14"/>
        <v>80.103626943005182</v>
      </c>
      <c r="Z74" s="6">
        <f t="shared" si="15"/>
        <v>87.401957397812325</v>
      </c>
      <c r="AA74" s="6">
        <f t="shared" si="16"/>
        <v>79.914703294554712</v>
      </c>
      <c r="AB74" s="3">
        <f t="shared" si="17"/>
        <v>20.649999999999995</v>
      </c>
      <c r="AC74" s="3">
        <f t="shared" si="13"/>
        <v>3.884837647058824</v>
      </c>
      <c r="AD74" s="3">
        <f t="shared" si="18"/>
        <v>0</v>
      </c>
      <c r="AE74" s="2">
        <v>71.051036117748296</v>
      </c>
      <c r="AF74" s="2">
        <v>90.120840848038</v>
      </c>
      <c r="AG74" s="2">
        <v>-7.1538249183330696E-2</v>
      </c>
      <c r="AH74" s="2">
        <v>68.786060060362502</v>
      </c>
      <c r="AI74" s="2">
        <v>82.457871476099598</v>
      </c>
      <c r="AJ74" s="2"/>
      <c r="AK74" s="2"/>
      <c r="AL74" s="2"/>
      <c r="AM74" s="2"/>
      <c r="AN74" s="2"/>
      <c r="AO74" s="2"/>
      <c r="AP74" s="2"/>
      <c r="AR74" s="2">
        <v>-2.6448362720403101E-2</v>
      </c>
      <c r="AS74" s="2">
        <v>1.24703788549858E-2</v>
      </c>
      <c r="AT74" s="2">
        <v>-1.05105105105103E-2</v>
      </c>
      <c r="AU74" s="2">
        <v>2.0912426956653199E-2</v>
      </c>
    </row>
    <row r="75" spans="1:47" x14ac:dyDescent="0.25">
      <c r="A75">
        <v>1852</v>
      </c>
      <c r="B75">
        <v>7.49</v>
      </c>
      <c r="C75" s="3">
        <f t="shared" si="23"/>
        <v>25.899031811894879</v>
      </c>
      <c r="D75">
        <v>20.67</v>
      </c>
      <c r="E75" s="3">
        <f t="shared" si="24"/>
        <v>99.999999999999986</v>
      </c>
      <c r="F75" s="3">
        <f t="shared" si="22"/>
        <v>44.85029940119761</v>
      </c>
      <c r="G75">
        <v>69.7</v>
      </c>
      <c r="I75" s="3">
        <f t="shared" si="19"/>
        <v>69.7</v>
      </c>
      <c r="J75">
        <v>4.24</v>
      </c>
      <c r="L75">
        <v>4.9000000000000004</v>
      </c>
      <c r="N75" s="6">
        <f t="shared" si="25"/>
        <v>4.24</v>
      </c>
      <c r="O75" s="3">
        <f t="shared" si="26"/>
        <v>99.764705882352942</v>
      </c>
      <c r="P75">
        <v>80.400000000000006</v>
      </c>
      <c r="S75">
        <f t="shared" si="20"/>
        <v>80.400000000000006</v>
      </c>
      <c r="T75" s="3">
        <f t="shared" si="21"/>
        <v>80.589622641509436</v>
      </c>
      <c r="U75" s="2">
        <v>-9.1331789105353796</v>
      </c>
      <c r="V75">
        <v>-20.365647621566701</v>
      </c>
      <c r="W75">
        <v>-14.749413266051</v>
      </c>
      <c r="X75">
        <v>-7.8307241908973504</v>
      </c>
      <c r="Y75" s="6">
        <f t="shared" si="14"/>
        <v>83.316062176165815</v>
      </c>
      <c r="Z75" s="6">
        <f t="shared" si="15"/>
        <v>90.721934369602792</v>
      </c>
      <c r="AA75" s="6">
        <f t="shared" si="16"/>
        <v>83.119562029523919</v>
      </c>
      <c r="AB75" s="3">
        <f t="shared" si="17"/>
        <v>20.649999999999995</v>
      </c>
      <c r="AC75" s="3">
        <f t="shared" si="13"/>
        <v>3.884837647058824</v>
      </c>
      <c r="AD75" s="3">
        <f t="shared" si="18"/>
        <v>0</v>
      </c>
      <c r="AE75" s="2">
        <v>72.649014973493706</v>
      </c>
      <c r="AF75" s="2">
        <v>91.429938746656006</v>
      </c>
      <c r="AG75" s="2">
        <v>2.85855633754988E-2</v>
      </c>
      <c r="AH75" s="2">
        <v>72.525025849835998</v>
      </c>
      <c r="AI75" s="2">
        <v>86.828690338006098</v>
      </c>
      <c r="AJ75" s="2"/>
      <c r="AK75" s="2"/>
      <c r="AL75" s="2"/>
      <c r="AM75" s="2"/>
      <c r="AN75" s="2"/>
      <c r="AO75" s="2"/>
      <c r="AP75" s="2"/>
      <c r="AR75" s="2">
        <v>4.01034928848642E-2</v>
      </c>
      <c r="AS75" s="2">
        <v>1.8702430298238999E-2</v>
      </c>
      <c r="AT75" s="2">
        <v>5.7663125948406599E-2</v>
      </c>
      <c r="AU75" s="2">
        <v>2.4830176552374E-2</v>
      </c>
    </row>
    <row r="76" spans="1:47" x14ac:dyDescent="0.25">
      <c r="A76">
        <v>1853</v>
      </c>
      <c r="B76">
        <v>7.49</v>
      </c>
      <c r="C76" s="3">
        <f t="shared" si="23"/>
        <v>25.899031811894879</v>
      </c>
      <c r="D76">
        <v>20.67</v>
      </c>
      <c r="E76" s="3">
        <f t="shared" si="24"/>
        <v>99.999999999999986</v>
      </c>
      <c r="F76" s="3">
        <f t="shared" si="22"/>
        <v>44.85029940119761</v>
      </c>
      <c r="G76">
        <v>76.900000000000006</v>
      </c>
      <c r="I76" s="3">
        <f t="shared" si="19"/>
        <v>76.90000000000002</v>
      </c>
      <c r="J76">
        <v>4.24</v>
      </c>
      <c r="L76">
        <v>4.8899999999999997</v>
      </c>
      <c r="N76" s="6">
        <f t="shared" si="25"/>
        <v>4.24</v>
      </c>
      <c r="O76" s="3">
        <f t="shared" si="26"/>
        <v>99.764705882352942</v>
      </c>
      <c r="P76">
        <v>97.9</v>
      </c>
      <c r="S76">
        <f t="shared" si="20"/>
        <v>97.9</v>
      </c>
      <c r="T76" s="3">
        <f t="shared" si="21"/>
        <v>98.130896226415089</v>
      </c>
      <c r="U76" s="2">
        <v>-1.98841482372489</v>
      </c>
      <c r="V76">
        <v>-2.2441649548177498</v>
      </c>
      <c r="W76">
        <v>-2.1162898892713198</v>
      </c>
      <c r="X76">
        <v>-5.9055884412568602</v>
      </c>
      <c r="Y76" s="6">
        <f t="shared" si="14"/>
        <v>101.45077720207254</v>
      </c>
      <c r="Z76" s="6">
        <f t="shared" si="15"/>
        <v>110.24317789291884</v>
      </c>
      <c r="AA76" s="6">
        <f t="shared" si="16"/>
        <v>101.21150650112428</v>
      </c>
      <c r="AB76" s="3">
        <f t="shared" si="17"/>
        <v>20.649999999999995</v>
      </c>
      <c r="AC76" s="3">
        <f t="shared" si="13"/>
        <v>3.884837647058824</v>
      </c>
      <c r="AD76" s="3">
        <f t="shared" si="18"/>
        <v>0</v>
      </c>
      <c r="AE76" s="2">
        <v>74.264144842180997</v>
      </c>
      <c r="AF76" s="2">
        <v>93.142291745557898</v>
      </c>
      <c r="AG76" s="2">
        <v>0.13851702181425901</v>
      </c>
      <c r="AH76" s="2">
        <v>77.390000735659996</v>
      </c>
      <c r="AI76" s="2">
        <v>93.6410760980703</v>
      </c>
      <c r="AJ76" s="2"/>
      <c r="AK76" s="2"/>
      <c r="AL76" s="2"/>
      <c r="AM76" s="2"/>
      <c r="AN76" s="2"/>
      <c r="AO76" s="2"/>
      <c r="AP76" s="2"/>
      <c r="AR76" s="2">
        <v>0.21766169154228801</v>
      </c>
      <c r="AS76" s="2">
        <v>2.3046239239220601E-2</v>
      </c>
      <c r="AT76" s="2">
        <v>0.103299856527977</v>
      </c>
      <c r="AU76" s="2">
        <v>2.7507489928398E-2</v>
      </c>
    </row>
    <row r="77" spans="1:47" x14ac:dyDescent="0.25">
      <c r="A77">
        <v>1854</v>
      </c>
      <c r="B77">
        <v>8.14</v>
      </c>
      <c r="C77" s="3">
        <f t="shared" si="23"/>
        <v>28.146611341632088</v>
      </c>
      <c r="D77">
        <v>20.67</v>
      </c>
      <c r="E77" s="3">
        <f t="shared" si="24"/>
        <v>99.999999999999986</v>
      </c>
      <c r="F77" s="3">
        <f t="shared" si="22"/>
        <v>48.742514970059879</v>
      </c>
      <c r="G77">
        <v>85.7</v>
      </c>
      <c r="I77" s="3">
        <f t="shared" si="19"/>
        <v>85.700000000000017</v>
      </c>
      <c r="J77">
        <v>4.24</v>
      </c>
      <c r="L77">
        <v>4.88</v>
      </c>
      <c r="N77" s="6">
        <f t="shared" si="25"/>
        <v>4.24</v>
      </c>
      <c r="O77" s="3">
        <f t="shared" si="26"/>
        <v>99.764705882352942</v>
      </c>
      <c r="P77">
        <v>105.2</v>
      </c>
      <c r="S77">
        <f t="shared" si="20"/>
        <v>105.2</v>
      </c>
      <c r="T77" s="3">
        <f t="shared" si="21"/>
        <v>105.44811320754717</v>
      </c>
      <c r="U77" s="2">
        <v>6.7462132787398001</v>
      </c>
      <c r="V77">
        <v>5.6499670361989303</v>
      </c>
      <c r="W77">
        <v>6.1980901574693599</v>
      </c>
      <c r="X77">
        <v>-4.00552112808061</v>
      </c>
      <c r="Y77" s="6">
        <f t="shared" si="14"/>
        <v>109.01554404145078</v>
      </c>
      <c r="Z77" s="6">
        <f t="shared" si="15"/>
        <v>118.22130109383994</v>
      </c>
      <c r="AA77" s="6">
        <f t="shared" si="16"/>
        <v>108.75843190927756</v>
      </c>
      <c r="AB77" s="3">
        <f t="shared" si="17"/>
        <v>20.649999999999995</v>
      </c>
      <c r="AC77" s="3">
        <f t="shared" si="13"/>
        <v>3.884837647058824</v>
      </c>
      <c r="AD77" s="3">
        <f t="shared" si="18"/>
        <v>0</v>
      </c>
      <c r="AE77" s="2">
        <v>75.715924675204803</v>
      </c>
      <c r="AF77" s="2">
        <v>94.986398762357695</v>
      </c>
      <c r="AG77" s="2">
        <v>0.15722566396052701</v>
      </c>
      <c r="AH77" s="2">
        <v>81.877905126553401</v>
      </c>
      <c r="AI77" s="2">
        <v>99.630987344653406</v>
      </c>
      <c r="AJ77" s="2"/>
      <c r="AK77" s="2"/>
      <c r="AL77" s="2"/>
      <c r="AM77" s="2"/>
      <c r="AN77" s="2"/>
      <c r="AO77" s="2"/>
      <c r="AP77" s="2"/>
      <c r="AR77" s="2">
        <v>7.4565883554647494E-2</v>
      </c>
      <c r="AS77" s="2">
        <v>2.4227982334387398E-2</v>
      </c>
      <c r="AT77" s="2">
        <v>0.114434330299089</v>
      </c>
      <c r="AU77" s="2">
        <v>2.8688011588976801E-2</v>
      </c>
    </row>
    <row r="78" spans="1:47" x14ac:dyDescent="0.25">
      <c r="A78">
        <v>1855</v>
      </c>
      <c r="B78">
        <v>8.3800000000000008</v>
      </c>
      <c r="C78" s="3">
        <f t="shared" si="23"/>
        <v>28.976486860304291</v>
      </c>
      <c r="D78">
        <v>20.67</v>
      </c>
      <c r="E78" s="3">
        <f t="shared" si="24"/>
        <v>99.999999999999986</v>
      </c>
      <c r="F78" s="3">
        <f t="shared" si="22"/>
        <v>50.179640718562887</v>
      </c>
      <c r="G78">
        <v>87.2</v>
      </c>
      <c r="I78" s="3">
        <f t="shared" si="19"/>
        <v>87.200000000000017</v>
      </c>
      <c r="J78">
        <v>4.24</v>
      </c>
      <c r="L78">
        <v>4.8899999999999997</v>
      </c>
      <c r="N78" s="6">
        <f t="shared" si="25"/>
        <v>4.24</v>
      </c>
      <c r="O78" s="3">
        <f t="shared" si="26"/>
        <v>99.764705882352942</v>
      </c>
      <c r="P78">
        <v>104.1</v>
      </c>
      <c r="S78">
        <f t="shared" si="20"/>
        <v>104.1</v>
      </c>
      <c r="T78" s="3">
        <f t="shared" si="21"/>
        <v>104.34551886792453</v>
      </c>
      <c r="U78" s="2">
        <v>8.1709876908963093</v>
      </c>
      <c r="V78">
        <v>5.1161033700874503</v>
      </c>
      <c r="W78">
        <v>6.6435455304918802</v>
      </c>
      <c r="X78">
        <v>-2.3184192589477099</v>
      </c>
      <c r="Y78" s="6">
        <f t="shared" si="14"/>
        <v>107.87564766839378</v>
      </c>
      <c r="Z78" s="6">
        <f t="shared" si="15"/>
        <v>117.22487046632125</v>
      </c>
      <c r="AA78" s="6">
        <f t="shared" si="16"/>
        <v>107.62122397106268</v>
      </c>
      <c r="AB78" s="3">
        <f t="shared" si="17"/>
        <v>20.649999999999995</v>
      </c>
      <c r="AC78" s="3">
        <f t="shared" ref="AC78:AC141" si="27">O78*$AC$153/100</f>
        <v>3.884837647058824</v>
      </c>
      <c r="AD78" s="3">
        <f t="shared" si="18"/>
        <v>0</v>
      </c>
      <c r="AE78" s="2">
        <v>76.850211975538002</v>
      </c>
      <c r="AF78" s="2">
        <v>96.740335797214399</v>
      </c>
      <c r="AG78" s="2">
        <v>0.11140481715180101</v>
      </c>
      <c r="AH78" s="2">
        <v>84.322325852681601</v>
      </c>
      <c r="AI78" s="2">
        <v>103.020690633426</v>
      </c>
      <c r="AJ78" s="2"/>
      <c r="AK78" s="2"/>
      <c r="AL78" s="2"/>
      <c r="AM78" s="2"/>
      <c r="AN78" s="2"/>
      <c r="AO78" s="2"/>
      <c r="AP78" s="2"/>
      <c r="AR78" s="2">
        <v>-1.0456273764258599E-2</v>
      </c>
      <c r="AS78" s="2">
        <v>2.2919990763226299E-2</v>
      </c>
      <c r="AT78" s="2">
        <v>1.7502917152858798E-2</v>
      </c>
      <c r="AU78" s="2">
        <v>2.8873309704357801E-2</v>
      </c>
    </row>
    <row r="79" spans="1:47" x14ac:dyDescent="0.25">
      <c r="A79">
        <v>1856</v>
      </c>
      <c r="B79">
        <v>8.2200000000000006</v>
      </c>
      <c r="C79" s="3">
        <f t="shared" si="23"/>
        <v>28.423236514522824</v>
      </c>
      <c r="D79">
        <v>20.67</v>
      </c>
      <c r="E79" s="3">
        <f t="shared" si="24"/>
        <v>99.999999999999986</v>
      </c>
      <c r="F79" s="3">
        <f t="shared" si="22"/>
        <v>49.221556886227553</v>
      </c>
      <c r="G79">
        <v>83.2</v>
      </c>
      <c r="I79" s="3">
        <f t="shared" si="19"/>
        <v>83.200000000000017</v>
      </c>
      <c r="J79">
        <v>4.24</v>
      </c>
      <c r="L79">
        <v>4.91</v>
      </c>
      <c r="N79" s="6">
        <f t="shared" si="25"/>
        <v>4.24</v>
      </c>
      <c r="O79" s="3">
        <f t="shared" si="26"/>
        <v>99.764705882352942</v>
      </c>
      <c r="P79">
        <v>104.1</v>
      </c>
      <c r="S79">
        <f t="shared" si="20"/>
        <v>104.1</v>
      </c>
      <c r="T79" s="3">
        <f t="shared" si="21"/>
        <v>104.34551886792453</v>
      </c>
      <c r="U79" s="2">
        <v>4.0861907067822596</v>
      </c>
      <c r="V79">
        <v>5.6736182259751002</v>
      </c>
      <c r="W79">
        <v>4.8799044663786804</v>
      </c>
      <c r="X79">
        <v>-0.93014372858178396</v>
      </c>
      <c r="Y79" s="6">
        <f t="shared" si="14"/>
        <v>107.87564766839378</v>
      </c>
      <c r="Z79" s="6">
        <f t="shared" si="15"/>
        <v>117.70431778929189</v>
      </c>
      <c r="AA79" s="6">
        <f t="shared" si="16"/>
        <v>107.62122397106268</v>
      </c>
      <c r="AB79" s="3">
        <f t="shared" si="17"/>
        <v>20.649999999999995</v>
      </c>
      <c r="AC79" s="3">
        <f t="shared" si="27"/>
        <v>3.884837647058824</v>
      </c>
      <c r="AD79" s="3">
        <f t="shared" si="18"/>
        <v>0</v>
      </c>
      <c r="AE79" s="2">
        <v>77.612704999401601</v>
      </c>
      <c r="AF79" s="2">
        <v>98.286414862663094</v>
      </c>
      <c r="AG79" s="2">
        <v>0.169551509945322</v>
      </c>
      <c r="AH79" s="2">
        <v>84.330881368692204</v>
      </c>
      <c r="AI79" s="2">
        <v>103.95879007184099</v>
      </c>
      <c r="AJ79" s="2"/>
      <c r="AK79" s="2"/>
      <c r="AL79" s="2"/>
      <c r="AM79" s="2"/>
      <c r="AN79" s="2"/>
      <c r="AO79" s="2"/>
      <c r="AP79" s="2"/>
      <c r="AR79" s="2">
        <v>0</v>
      </c>
      <c r="AS79" s="2">
        <v>2.0297974717427399E-2</v>
      </c>
      <c r="AT79" s="2">
        <v>-4.5871559633027498E-2</v>
      </c>
      <c r="AU79" s="2">
        <v>2.9422415631889201E-2</v>
      </c>
    </row>
    <row r="80" spans="1:47" x14ac:dyDescent="0.25">
      <c r="A80">
        <v>1857</v>
      </c>
      <c r="B80">
        <v>8.4600000000000009</v>
      </c>
      <c r="C80" s="3">
        <f t="shared" si="23"/>
        <v>29.253112033195023</v>
      </c>
      <c r="D80">
        <v>20.7</v>
      </c>
      <c r="E80" s="3">
        <f t="shared" si="24"/>
        <v>100.14513788098692</v>
      </c>
      <c r="F80" s="3">
        <f t="shared" si="22"/>
        <v>50.658682634730546</v>
      </c>
      <c r="G80">
        <v>88.1</v>
      </c>
      <c r="I80" s="3">
        <f t="shared" si="19"/>
        <v>87.972318840579717</v>
      </c>
      <c r="J80">
        <v>4.24</v>
      </c>
      <c r="L80">
        <v>4.8899999999999997</v>
      </c>
      <c r="N80" s="6">
        <f t="shared" si="25"/>
        <v>4.24</v>
      </c>
      <c r="O80" s="3">
        <f t="shared" si="26"/>
        <v>99.764705882352942</v>
      </c>
      <c r="P80">
        <v>108.2</v>
      </c>
      <c r="S80">
        <f t="shared" si="20"/>
        <v>108.2</v>
      </c>
      <c r="T80" s="3">
        <f t="shared" si="21"/>
        <v>108.45518867924528</v>
      </c>
      <c r="U80" s="2">
        <v>8.7621046204352595</v>
      </c>
      <c r="V80">
        <v>10.3319049435121</v>
      </c>
      <c r="W80">
        <v>9.5470047819736603</v>
      </c>
      <c r="X80">
        <v>0.16306421618796699</v>
      </c>
      <c r="Y80" s="6">
        <f t="shared" si="14"/>
        <v>112.12435233160622</v>
      </c>
      <c r="Z80" s="6">
        <f t="shared" si="15"/>
        <v>121.84179620034543</v>
      </c>
      <c r="AA80" s="6">
        <f t="shared" si="16"/>
        <v>111.85990810440904</v>
      </c>
      <c r="AB80" s="3">
        <f t="shared" si="17"/>
        <v>20.679970972423799</v>
      </c>
      <c r="AC80" s="3">
        <f t="shared" si="27"/>
        <v>3.884837647058824</v>
      </c>
      <c r="AD80" s="3">
        <f t="shared" si="18"/>
        <v>0</v>
      </c>
      <c r="AE80" s="2">
        <v>78.052599883261095</v>
      </c>
      <c r="AF80" s="2">
        <v>99.582644613266893</v>
      </c>
      <c r="AG80" s="2">
        <v>-6.8490403567991699E-3</v>
      </c>
      <c r="AH80" s="2">
        <v>82.470414845005493</v>
      </c>
      <c r="AI80" s="2">
        <v>103.023659556209</v>
      </c>
      <c r="AJ80" s="2"/>
      <c r="AK80" s="2"/>
      <c r="AL80" s="2"/>
      <c r="AM80" s="2"/>
      <c r="AN80" s="2"/>
      <c r="AO80" s="2"/>
      <c r="AP80" s="2"/>
      <c r="AR80" s="2">
        <v>3.9385206532180597E-2</v>
      </c>
      <c r="AS80" s="2">
        <v>1.7203881743405602E-2</v>
      </c>
      <c r="AT80" s="2">
        <v>5.8894230769230602E-2</v>
      </c>
      <c r="AU80" s="2">
        <v>3.1580656803404598E-2</v>
      </c>
    </row>
    <row r="81" spans="1:47" x14ac:dyDescent="0.25">
      <c r="A81">
        <v>1858</v>
      </c>
      <c r="B81">
        <v>7.98</v>
      </c>
      <c r="C81" s="3">
        <f t="shared" si="23"/>
        <v>27.59336099585062</v>
      </c>
      <c r="D81">
        <v>20.67</v>
      </c>
      <c r="E81" s="3">
        <f t="shared" si="24"/>
        <v>99.999999999999986</v>
      </c>
      <c r="F81" s="3">
        <f t="shared" si="22"/>
        <v>47.784431137724553</v>
      </c>
      <c r="G81">
        <v>73.8</v>
      </c>
      <c r="I81" s="3">
        <f t="shared" si="19"/>
        <v>73.800000000000011</v>
      </c>
      <c r="J81">
        <v>4.24</v>
      </c>
      <c r="L81">
        <v>4.8600000000000003</v>
      </c>
      <c r="N81" s="6">
        <f t="shared" si="25"/>
        <v>4.24</v>
      </c>
      <c r="O81" s="3">
        <f t="shared" si="26"/>
        <v>99.764705882352942</v>
      </c>
      <c r="P81">
        <v>93.8</v>
      </c>
      <c r="S81">
        <f t="shared" si="20"/>
        <v>93.8</v>
      </c>
      <c r="T81" s="3">
        <f t="shared" si="21"/>
        <v>94.021226415094333</v>
      </c>
      <c r="U81" s="2">
        <v>-5.5109882741070404</v>
      </c>
      <c r="V81">
        <v>-3.56962397712832</v>
      </c>
      <c r="W81">
        <v>-4.54030612561768</v>
      </c>
      <c r="X81">
        <v>1.0230638104819301</v>
      </c>
      <c r="Y81" s="6">
        <f t="shared" si="14"/>
        <v>97.202072538860108</v>
      </c>
      <c r="Z81" s="6">
        <f t="shared" si="15"/>
        <v>104.97823834196892</v>
      </c>
      <c r="AA81" s="6">
        <f t="shared" si="16"/>
        <v>96.972822367777894</v>
      </c>
      <c r="AB81" s="3">
        <f t="shared" si="17"/>
        <v>20.649999999999995</v>
      </c>
      <c r="AC81" s="3">
        <f t="shared" si="27"/>
        <v>3.884837647058824</v>
      </c>
      <c r="AD81" s="3">
        <f t="shared" si="18"/>
        <v>0</v>
      </c>
      <c r="AE81" s="2">
        <v>78.274965713588003</v>
      </c>
      <c r="AF81" s="2">
        <v>100.64726955496199</v>
      </c>
      <c r="AG81" s="2">
        <v>2.6976532671337899E-2</v>
      </c>
      <c r="AH81" s="2">
        <v>78.930808995811006</v>
      </c>
      <c r="AI81" s="2">
        <v>100.910742958895</v>
      </c>
      <c r="AJ81" s="2"/>
      <c r="AK81" s="2"/>
      <c r="AL81" s="2"/>
      <c r="AM81" s="2"/>
      <c r="AN81" s="2"/>
      <c r="AO81" s="2"/>
      <c r="AP81" s="2"/>
      <c r="AR81" s="2">
        <v>-0.13308687615526801</v>
      </c>
      <c r="AS81" s="2">
        <v>1.42766796404015E-2</v>
      </c>
      <c r="AT81" s="2">
        <v>-0.162315550510783</v>
      </c>
      <c r="AU81" s="2">
        <v>3.5840420898088303E-2</v>
      </c>
    </row>
    <row r="82" spans="1:47" x14ac:dyDescent="0.25">
      <c r="A82">
        <v>1859</v>
      </c>
      <c r="B82">
        <v>8.06</v>
      </c>
      <c r="C82" s="3">
        <f t="shared" si="23"/>
        <v>27.869986168741352</v>
      </c>
      <c r="D82">
        <v>20.67</v>
      </c>
      <c r="E82" s="3">
        <f t="shared" si="24"/>
        <v>99.999999999999986</v>
      </c>
      <c r="F82" s="3">
        <f t="shared" si="22"/>
        <v>48.26347305389222</v>
      </c>
      <c r="G82">
        <v>76.3</v>
      </c>
      <c r="I82" s="3">
        <f t="shared" si="19"/>
        <v>76.300000000000011</v>
      </c>
      <c r="J82">
        <v>4.24</v>
      </c>
      <c r="L82">
        <v>4.9000000000000004</v>
      </c>
      <c r="N82" s="6">
        <f t="shared" si="25"/>
        <v>4.24</v>
      </c>
      <c r="O82" s="3">
        <f t="shared" si="26"/>
        <v>99.764705882352942</v>
      </c>
      <c r="P82">
        <v>96.9</v>
      </c>
      <c r="S82">
        <f t="shared" si="20"/>
        <v>96.9</v>
      </c>
      <c r="T82" s="3">
        <f t="shared" si="21"/>
        <v>97.128537735849051</v>
      </c>
      <c r="U82" s="2">
        <v>-3.1228056828069999</v>
      </c>
      <c r="V82">
        <v>6.8463124750252305E-2</v>
      </c>
      <c r="W82">
        <v>-1.52717127902837</v>
      </c>
      <c r="X82">
        <v>1.80555369507835</v>
      </c>
      <c r="Y82" s="6">
        <f t="shared" si="14"/>
        <v>100.41450777202073</v>
      </c>
      <c r="Z82" s="6">
        <f t="shared" si="15"/>
        <v>109.34024179620036</v>
      </c>
      <c r="AA82" s="6">
        <f t="shared" si="16"/>
        <v>100.1776811027471</v>
      </c>
      <c r="AB82" s="3">
        <f t="shared" si="17"/>
        <v>20.649999999999995</v>
      </c>
      <c r="AC82" s="3">
        <f t="shared" si="27"/>
        <v>3.884837647058824</v>
      </c>
      <c r="AD82" s="3">
        <f t="shared" si="18"/>
        <v>0</v>
      </c>
      <c r="AE82" s="2">
        <v>78.485345578021096</v>
      </c>
      <c r="AF82" s="2">
        <v>101.586907747553</v>
      </c>
      <c r="AG82" s="2">
        <v>-6.02182040239702E-3</v>
      </c>
      <c r="AH82" s="2">
        <v>75.778474920296503</v>
      </c>
      <c r="AI82" s="2">
        <v>100.114264300192</v>
      </c>
      <c r="AJ82" s="2"/>
      <c r="AK82" s="2"/>
      <c r="AL82" s="2"/>
      <c r="AM82" s="2"/>
      <c r="AN82" s="2"/>
      <c r="AO82" s="2"/>
      <c r="AP82" s="2"/>
      <c r="AR82" s="2">
        <v>3.30490405117271E-2</v>
      </c>
      <c r="AS82" s="2">
        <v>1.23771494555437E-2</v>
      </c>
      <c r="AT82" s="2">
        <v>3.3875338753387503E-2</v>
      </c>
      <c r="AU82" s="2">
        <v>4.29672313347828E-2</v>
      </c>
    </row>
    <row r="83" spans="1:47" x14ac:dyDescent="0.25">
      <c r="A83">
        <v>1860</v>
      </c>
      <c r="B83">
        <v>8.06</v>
      </c>
      <c r="C83" s="3">
        <f t="shared" si="23"/>
        <v>27.869986168741352</v>
      </c>
      <c r="D83">
        <v>20.67</v>
      </c>
      <c r="E83" s="3">
        <f t="shared" si="24"/>
        <v>99.999999999999986</v>
      </c>
      <c r="F83" s="3">
        <f t="shared" si="22"/>
        <v>48.26347305389222</v>
      </c>
      <c r="G83">
        <v>73.8</v>
      </c>
      <c r="I83" s="3">
        <f t="shared" si="19"/>
        <v>73.800000000000011</v>
      </c>
      <c r="J83">
        <v>4.24</v>
      </c>
      <c r="L83">
        <v>4.8499999999999996</v>
      </c>
      <c r="N83" s="6">
        <f t="shared" si="25"/>
        <v>4.24</v>
      </c>
      <c r="O83" s="3">
        <f t="shared" si="26"/>
        <v>99.764705882352942</v>
      </c>
      <c r="P83">
        <v>102.1</v>
      </c>
      <c r="S83">
        <f t="shared" si="20"/>
        <v>102.1</v>
      </c>
      <c r="T83" s="3">
        <f t="shared" si="21"/>
        <v>102.34080188679245</v>
      </c>
      <c r="U83" s="2">
        <v>-5.74306531162705</v>
      </c>
      <c r="V83">
        <v>5.7956170703670002</v>
      </c>
      <c r="W83">
        <v>2.6275879369976E-2</v>
      </c>
      <c r="X83">
        <v>2.61059881139446</v>
      </c>
      <c r="Y83" s="6">
        <f t="shared" ref="Y83:Y146" si="28">100*S83/$S$13</f>
        <v>105.80310880829016</v>
      </c>
      <c r="Z83" s="6">
        <f t="shared" ref="Z83:Z146" si="29">Y83*(L83/$L$13)</f>
        <v>114.03223949337939</v>
      </c>
      <c r="AA83" s="6">
        <f t="shared" ref="AA83:AA146" si="30">Y83/(O83/$O$13)</f>
        <v>105.55357317430835</v>
      </c>
      <c r="AB83" s="3">
        <f t="shared" si="17"/>
        <v>20.649999999999995</v>
      </c>
      <c r="AC83" s="3">
        <f t="shared" si="27"/>
        <v>3.884837647058824</v>
      </c>
      <c r="AD83" s="3">
        <f t="shared" si="18"/>
        <v>0</v>
      </c>
      <c r="AE83" s="2">
        <v>78.844532907063495</v>
      </c>
      <c r="AF83" s="2">
        <v>102.441604555293</v>
      </c>
      <c r="AG83" s="2">
        <v>-5.0223694677751299E-2</v>
      </c>
      <c r="AH83" s="2">
        <v>73.3695540523792</v>
      </c>
      <c r="AI83" s="2">
        <v>100.821533280762</v>
      </c>
      <c r="AJ83" s="2"/>
      <c r="AK83" s="2"/>
      <c r="AL83" s="2"/>
      <c r="AM83" s="2"/>
      <c r="AN83" s="2"/>
      <c r="AO83" s="2"/>
      <c r="AP83" s="2"/>
      <c r="AR83" s="2">
        <v>5.3663570691434299E-2</v>
      </c>
      <c r="AS83" s="2">
        <v>1.0892436678004E-2</v>
      </c>
      <c r="AT83" s="2">
        <v>-3.2765399737876802E-2</v>
      </c>
      <c r="AU83" s="2">
        <v>5.1745051818241801E-2</v>
      </c>
    </row>
    <row r="84" spans="1:47" x14ac:dyDescent="0.25">
      <c r="A84">
        <v>1861</v>
      </c>
      <c r="B84">
        <v>8.5399999999999991</v>
      </c>
      <c r="C84" s="3">
        <f t="shared" si="23"/>
        <v>29.529737206085748</v>
      </c>
      <c r="D84">
        <v>20.67</v>
      </c>
      <c r="E84" s="3">
        <f t="shared" si="24"/>
        <v>99.999999999999986</v>
      </c>
      <c r="F84" s="3">
        <f t="shared" si="22"/>
        <v>51.137724550898199</v>
      </c>
      <c r="G84">
        <v>70.599999999999994</v>
      </c>
      <c r="I84" s="3">
        <f t="shared" si="19"/>
        <v>70.599999999999994</v>
      </c>
      <c r="J84">
        <v>4.24</v>
      </c>
      <c r="L84">
        <v>4.7699999999999996</v>
      </c>
      <c r="N84" s="6">
        <f t="shared" si="25"/>
        <v>4.24</v>
      </c>
      <c r="O84" s="3">
        <f t="shared" si="26"/>
        <v>99.764705882352942</v>
      </c>
      <c r="P84">
        <v>101</v>
      </c>
      <c r="S84">
        <f t="shared" si="20"/>
        <v>101</v>
      </c>
      <c r="T84" s="3">
        <f t="shared" si="21"/>
        <v>101.23820754716981</v>
      </c>
      <c r="U84" s="2">
        <v>-9.0714848665295307</v>
      </c>
      <c r="V84">
        <v>5.2013078414642901</v>
      </c>
      <c r="W84">
        <v>-1.93508851253262</v>
      </c>
      <c r="X84">
        <v>3.5049368511064598</v>
      </c>
      <c r="Y84" s="6">
        <f t="shared" si="28"/>
        <v>104.66321243523316</v>
      </c>
      <c r="Z84" s="6">
        <f t="shared" si="29"/>
        <v>110.94300518134713</v>
      </c>
      <c r="AA84" s="6">
        <f t="shared" si="30"/>
        <v>104.41636523609347</v>
      </c>
      <c r="AB84" s="3">
        <f t="shared" si="17"/>
        <v>20.649999999999995</v>
      </c>
      <c r="AC84" s="3">
        <f t="shared" si="27"/>
        <v>3.884837647058824</v>
      </c>
      <c r="AD84" s="3">
        <f t="shared" si="18"/>
        <v>0</v>
      </c>
      <c r="AE84" s="2">
        <v>79.491467675438102</v>
      </c>
      <c r="AF84" s="2">
        <v>103.206436264961</v>
      </c>
      <c r="AG84" s="2">
        <v>-1.9319252420626699E-2</v>
      </c>
      <c r="AH84" s="2">
        <v>72.234029519211006</v>
      </c>
      <c r="AI84" s="2">
        <v>102.211771501204</v>
      </c>
      <c r="AJ84" s="2"/>
      <c r="AK84" s="2"/>
      <c r="AL84" s="2"/>
      <c r="AM84" s="2"/>
      <c r="AN84" s="2"/>
      <c r="AO84" s="2"/>
      <c r="AP84" s="2"/>
      <c r="AR84" s="2">
        <v>-1.07737512242898E-2</v>
      </c>
      <c r="AS84" s="2">
        <v>9.4164057075158299E-3</v>
      </c>
      <c r="AT84" s="2">
        <v>-4.3360433604336002E-2</v>
      </c>
      <c r="AU84" s="2">
        <v>6.0866927127405303E-2</v>
      </c>
    </row>
    <row r="85" spans="1:47" x14ac:dyDescent="0.25">
      <c r="A85">
        <v>1862</v>
      </c>
      <c r="B85">
        <v>9.75</v>
      </c>
      <c r="C85" s="3">
        <f t="shared" si="23"/>
        <v>33.713692946058089</v>
      </c>
      <c r="D85">
        <v>23.42</v>
      </c>
      <c r="E85" s="3">
        <f t="shared" si="24"/>
        <v>113.30430575713594</v>
      </c>
      <c r="F85" s="3">
        <f t="shared" si="22"/>
        <v>58.383233532934135</v>
      </c>
      <c r="G85">
        <v>82.5</v>
      </c>
      <c r="I85" s="3">
        <f t="shared" si="19"/>
        <v>72.812766865926562</v>
      </c>
      <c r="J85">
        <v>4.24</v>
      </c>
      <c r="L85">
        <v>5.56</v>
      </c>
      <c r="N85" s="6">
        <f t="shared" si="25"/>
        <v>4.24</v>
      </c>
      <c r="O85" s="3">
        <f t="shared" si="26"/>
        <v>99.764705882352942</v>
      </c>
      <c r="P85">
        <v>104.1</v>
      </c>
      <c r="S85">
        <f t="shared" si="20"/>
        <v>104.1</v>
      </c>
      <c r="T85" s="3">
        <f t="shared" si="21"/>
        <v>104.34551886792453</v>
      </c>
      <c r="U85" s="2">
        <v>-6.9977820534767901</v>
      </c>
      <c r="V85">
        <v>8.8050245803073999</v>
      </c>
      <c r="W85">
        <v>0.90362126341530502</v>
      </c>
      <c r="X85">
        <v>4.5294622765702703</v>
      </c>
      <c r="Y85" s="6">
        <f t="shared" si="28"/>
        <v>107.87564766839378</v>
      </c>
      <c r="Z85" s="6">
        <f t="shared" si="29"/>
        <v>133.28635578583766</v>
      </c>
      <c r="AA85" s="6">
        <f t="shared" si="30"/>
        <v>107.62122397106268</v>
      </c>
      <c r="AB85" s="3">
        <f t="shared" si="17"/>
        <v>23.397339138848569</v>
      </c>
      <c r="AC85" s="3">
        <f t="shared" si="27"/>
        <v>3.884837647058824</v>
      </c>
      <c r="AD85" s="3">
        <f t="shared" si="18"/>
        <v>0</v>
      </c>
      <c r="AE85" s="2">
        <v>80.514644528797206</v>
      </c>
      <c r="AF85" s="2">
        <v>103.87506311778201</v>
      </c>
      <c r="AG85" s="2">
        <v>-2.27151767294432E-2</v>
      </c>
      <c r="AH85" s="2">
        <v>73.045366430483895</v>
      </c>
      <c r="AI85" s="2">
        <v>103.957022801863</v>
      </c>
      <c r="AJ85" s="2"/>
      <c r="AK85" s="2"/>
      <c r="AL85" s="2"/>
      <c r="AM85" s="2"/>
      <c r="AN85" s="2"/>
      <c r="AO85" s="2"/>
      <c r="AP85" s="2"/>
      <c r="AR85" s="2">
        <v>3.0693069306930599E-2</v>
      </c>
      <c r="AS85" s="2">
        <v>7.9706322839471801E-3</v>
      </c>
      <c r="AT85" s="2">
        <v>0.168555240793201</v>
      </c>
      <c r="AU85" s="2">
        <v>6.8180797525651898E-2</v>
      </c>
    </row>
    <row r="86" spans="1:47" x14ac:dyDescent="0.25">
      <c r="A86">
        <v>1863</v>
      </c>
      <c r="B86">
        <v>12.17</v>
      </c>
      <c r="C86" s="3">
        <f t="shared" si="23"/>
        <v>42.081604426002762</v>
      </c>
      <c r="D86">
        <v>30.02</v>
      </c>
      <c r="E86" s="3">
        <f t="shared" si="24"/>
        <v>145.23463957426222</v>
      </c>
      <c r="F86" s="3">
        <f t="shared" si="22"/>
        <v>72.874251497005986</v>
      </c>
      <c r="G86">
        <v>105.4</v>
      </c>
      <c r="I86" s="3">
        <f t="shared" si="19"/>
        <v>72.572218520986013</v>
      </c>
      <c r="J86">
        <v>4.24</v>
      </c>
      <c r="L86">
        <v>7.08</v>
      </c>
      <c r="N86" s="6">
        <f t="shared" si="25"/>
        <v>4.24</v>
      </c>
      <c r="O86" s="3">
        <f t="shared" si="26"/>
        <v>99.764705882352942</v>
      </c>
      <c r="P86">
        <v>106.2</v>
      </c>
      <c r="S86">
        <f t="shared" si="20"/>
        <v>106.2</v>
      </c>
      <c r="T86" s="3">
        <f t="shared" si="21"/>
        <v>106.4504716981132</v>
      </c>
      <c r="U86" s="2">
        <v>-7.3816745784312703</v>
      </c>
      <c r="V86">
        <v>11.3862755896848</v>
      </c>
      <c r="W86">
        <v>2.00230050562674</v>
      </c>
      <c r="X86">
        <v>5.6706692965054399</v>
      </c>
      <c r="Y86" s="6">
        <f t="shared" si="28"/>
        <v>110.05181347150258</v>
      </c>
      <c r="Z86" s="6">
        <f t="shared" si="29"/>
        <v>173.14818652849738</v>
      </c>
      <c r="AA86" s="6">
        <f t="shared" si="30"/>
        <v>109.79225730765471</v>
      </c>
      <c r="AB86" s="3">
        <f t="shared" si="17"/>
        <v>29.990953072085144</v>
      </c>
      <c r="AC86" s="3">
        <f t="shared" si="27"/>
        <v>3.884837647058824</v>
      </c>
      <c r="AD86" s="3">
        <f t="shared" si="18"/>
        <v>0</v>
      </c>
      <c r="AE86" s="2">
        <v>81.913643436038498</v>
      </c>
      <c r="AF86" s="2">
        <v>104.421080992334</v>
      </c>
      <c r="AG86" s="2">
        <v>1.36681023170069E-2</v>
      </c>
      <c r="AH86" s="2">
        <v>75.932353389486195</v>
      </c>
      <c r="AI86" s="2">
        <v>105.392073856016</v>
      </c>
      <c r="AJ86" s="2"/>
      <c r="AK86" s="2"/>
      <c r="AL86" s="2"/>
      <c r="AM86" s="2"/>
      <c r="AN86" s="2"/>
      <c r="AO86" s="2"/>
      <c r="AP86" s="2"/>
      <c r="AR86" s="2">
        <v>2.0172910662824201E-2</v>
      </c>
      <c r="AS86" s="2">
        <v>6.3747905778478702E-3</v>
      </c>
      <c r="AT86" s="2">
        <v>0.27757575757575698</v>
      </c>
      <c r="AU86" s="2">
        <v>7.0492329669042897E-2</v>
      </c>
    </row>
    <row r="87" spans="1:47" x14ac:dyDescent="0.25">
      <c r="A87">
        <v>1864</v>
      </c>
      <c r="B87">
        <v>15.23</v>
      </c>
      <c r="C87" s="3">
        <f t="shared" si="23"/>
        <v>52.6625172890733</v>
      </c>
      <c r="D87">
        <v>42.03</v>
      </c>
      <c r="E87" s="3">
        <f t="shared" si="24"/>
        <v>203.33817126269955</v>
      </c>
      <c r="F87" s="3">
        <f t="shared" si="22"/>
        <v>91.197604790419163</v>
      </c>
      <c r="G87">
        <v>153.1</v>
      </c>
      <c r="I87" s="3">
        <f t="shared" si="19"/>
        <v>75.293290506780878</v>
      </c>
      <c r="J87">
        <v>4.24</v>
      </c>
      <c r="L87">
        <v>9.9700000000000006</v>
      </c>
      <c r="N87" s="6">
        <f t="shared" si="25"/>
        <v>4.24</v>
      </c>
      <c r="O87" s="3">
        <f t="shared" si="26"/>
        <v>99.764705882352942</v>
      </c>
      <c r="P87">
        <v>108.2</v>
      </c>
      <c r="S87">
        <f t="shared" si="20"/>
        <v>108.2</v>
      </c>
      <c r="T87" s="3">
        <f t="shared" si="21"/>
        <v>108.45518867924528</v>
      </c>
      <c r="U87" s="2">
        <v>-4.8128801473552496</v>
      </c>
      <c r="V87">
        <v>13.8645883329076</v>
      </c>
      <c r="W87">
        <v>4.5258540927761599</v>
      </c>
      <c r="X87">
        <v>6.8787937094999698</v>
      </c>
      <c r="Y87" s="6">
        <f t="shared" si="28"/>
        <v>112.12435233160622</v>
      </c>
      <c r="Z87" s="6">
        <f t="shared" si="29"/>
        <v>248.41773172135865</v>
      </c>
      <c r="AA87" s="6">
        <f t="shared" si="30"/>
        <v>111.85990810440904</v>
      </c>
      <c r="AB87" s="3">
        <f t="shared" si="17"/>
        <v>41.989332365747451</v>
      </c>
      <c r="AC87" s="3">
        <f t="shared" si="27"/>
        <v>3.884837647058824</v>
      </c>
      <c r="AD87" s="3">
        <f t="shared" si="18"/>
        <v>0</v>
      </c>
      <c r="AE87" s="2">
        <v>83.611097920771996</v>
      </c>
      <c r="AF87" s="2">
        <v>104.82243513601399</v>
      </c>
      <c r="AG87" s="2">
        <v>0.226236765168981</v>
      </c>
      <c r="AH87" s="2">
        <v>80.948656856011496</v>
      </c>
      <c r="AI87" s="2">
        <v>105.969370402983</v>
      </c>
      <c r="AJ87" s="2"/>
      <c r="AK87" s="2"/>
      <c r="AL87" s="2"/>
      <c r="AM87" s="2"/>
      <c r="AN87" s="2"/>
      <c r="AO87" s="2"/>
      <c r="AP87" s="2"/>
      <c r="AR87" s="2">
        <v>1.88323917137476E-2</v>
      </c>
      <c r="AS87" s="2">
        <v>4.6757791299976001E-3</v>
      </c>
      <c r="AT87" s="2">
        <v>0.45256166982922102</v>
      </c>
      <c r="AU87" s="2">
        <v>6.5610934646315094E-2</v>
      </c>
    </row>
    <row r="88" spans="1:47" x14ac:dyDescent="0.25">
      <c r="A88">
        <v>1865</v>
      </c>
      <c r="B88">
        <v>15.79</v>
      </c>
      <c r="C88" s="3">
        <f t="shared" si="23"/>
        <v>54.598893499308431</v>
      </c>
      <c r="D88">
        <v>32.520000000000003</v>
      </c>
      <c r="E88" s="3">
        <f t="shared" si="24"/>
        <v>157.32946298984035</v>
      </c>
      <c r="F88" s="3">
        <f t="shared" si="22"/>
        <v>94.550898203592823</v>
      </c>
      <c r="G88">
        <v>146.6</v>
      </c>
      <c r="I88" s="3">
        <f t="shared" si="19"/>
        <v>93.180258302583027</v>
      </c>
      <c r="J88">
        <v>4.24</v>
      </c>
      <c r="L88">
        <v>7.69</v>
      </c>
      <c r="N88" s="6">
        <f t="shared" si="25"/>
        <v>4.24</v>
      </c>
      <c r="O88" s="3">
        <f t="shared" si="26"/>
        <v>99.764705882352942</v>
      </c>
      <c r="P88">
        <v>104.1</v>
      </c>
      <c r="S88">
        <f t="shared" si="20"/>
        <v>104.1</v>
      </c>
      <c r="T88" s="3">
        <f t="shared" si="21"/>
        <v>104.34551886792453</v>
      </c>
      <c r="U88" s="2">
        <v>12.918883533788801</v>
      </c>
      <c r="V88">
        <v>10.2095094338104</v>
      </c>
      <c r="W88">
        <v>11.5641964837996</v>
      </c>
      <c r="X88">
        <v>8.0673876262330602</v>
      </c>
      <c r="Y88" s="6">
        <f t="shared" si="28"/>
        <v>107.87564766839378</v>
      </c>
      <c r="Z88" s="6">
        <f t="shared" si="29"/>
        <v>184.34749568221071</v>
      </c>
      <c r="AA88" s="6">
        <f t="shared" si="30"/>
        <v>107.62122397106268</v>
      </c>
      <c r="AB88" s="3">
        <f t="shared" ref="AB88:AB151" si="31">$AB$153*E88/100</f>
        <v>32.488534107402032</v>
      </c>
      <c r="AC88" s="3">
        <f t="shared" si="27"/>
        <v>3.884837647058824</v>
      </c>
      <c r="AD88" s="3">
        <f t="shared" ref="AD88:AD151" si="32">(I88*E88/100)-G88</f>
        <v>0</v>
      </c>
      <c r="AE88" s="2">
        <v>85.436405072247197</v>
      </c>
      <c r="AF88" s="2">
        <v>105.076959986297</v>
      </c>
      <c r="AG88" s="2">
        <v>0.27440569918812902</v>
      </c>
      <c r="AH88" s="2">
        <v>87.033825493358094</v>
      </c>
      <c r="AI88" s="2">
        <v>105.480666896749</v>
      </c>
      <c r="AJ88" s="2"/>
      <c r="AK88" s="2"/>
      <c r="AL88" s="2"/>
      <c r="AM88" s="2"/>
      <c r="AN88" s="2"/>
      <c r="AO88" s="2"/>
      <c r="AP88" s="2"/>
      <c r="AR88" s="2">
        <v>-3.7892791127541597E-2</v>
      </c>
      <c r="AS88" s="2">
        <v>3.05847768202579E-3</v>
      </c>
      <c r="AT88" s="2">
        <v>-4.2455911169170399E-2</v>
      </c>
      <c r="AU88" s="2">
        <v>5.3416857825272397E-2</v>
      </c>
    </row>
    <row r="89" spans="1:47" x14ac:dyDescent="0.25">
      <c r="A89">
        <v>1866</v>
      </c>
      <c r="B89">
        <v>15.39</v>
      </c>
      <c r="C89" s="3">
        <f t="shared" si="23"/>
        <v>53.215767634854771</v>
      </c>
      <c r="D89">
        <v>29.13</v>
      </c>
      <c r="E89" s="3">
        <f t="shared" si="24"/>
        <v>140.92888243831638</v>
      </c>
      <c r="F89" s="3">
        <f t="shared" si="22"/>
        <v>92.155688622754496</v>
      </c>
      <c r="G89">
        <v>137.9</v>
      </c>
      <c r="I89" s="3">
        <f t="shared" si="19"/>
        <v>97.850772399588067</v>
      </c>
      <c r="J89">
        <v>4.24</v>
      </c>
      <c r="L89">
        <v>6.88</v>
      </c>
      <c r="N89" s="6">
        <f t="shared" si="25"/>
        <v>4.24</v>
      </c>
      <c r="O89" s="3">
        <f t="shared" si="26"/>
        <v>99.764705882352942</v>
      </c>
      <c r="P89">
        <v>105.2</v>
      </c>
      <c r="S89">
        <f t="shared" si="20"/>
        <v>105.2</v>
      </c>
      <c r="T89" s="3">
        <f t="shared" si="21"/>
        <v>105.44811320754717</v>
      </c>
      <c r="U89" s="2">
        <v>17.423898759038501</v>
      </c>
      <c r="V89">
        <v>11.7506046767506</v>
      </c>
      <c r="W89">
        <v>14.5872517178945</v>
      </c>
      <c r="X89">
        <v>9.1264737612166904</v>
      </c>
      <c r="Y89" s="6">
        <f t="shared" si="28"/>
        <v>109.01554404145078</v>
      </c>
      <c r="Z89" s="6">
        <f t="shared" si="29"/>
        <v>166.67265400115141</v>
      </c>
      <c r="AA89" s="6">
        <f t="shared" si="30"/>
        <v>108.75843190927756</v>
      </c>
      <c r="AB89" s="3">
        <f t="shared" si="31"/>
        <v>29.101814223512328</v>
      </c>
      <c r="AC89" s="3">
        <f t="shared" si="27"/>
        <v>3.884837647058824</v>
      </c>
      <c r="AD89" s="3">
        <f t="shared" si="32"/>
        <v>0</v>
      </c>
      <c r="AE89" s="2">
        <v>87.135951000505898</v>
      </c>
      <c r="AF89" s="2">
        <v>105.218465629298</v>
      </c>
      <c r="AG89" s="2">
        <v>0.22227572724061601</v>
      </c>
      <c r="AH89" s="2">
        <v>91.247855679487003</v>
      </c>
      <c r="AI89" s="2">
        <v>104.534594323636</v>
      </c>
      <c r="AJ89" s="2"/>
      <c r="AK89" s="2"/>
      <c r="AL89" s="2"/>
      <c r="AM89" s="2"/>
      <c r="AN89" s="2"/>
      <c r="AO89" s="2"/>
      <c r="AP89" s="2"/>
      <c r="AR89" s="2">
        <v>1.0566762728146099E-2</v>
      </c>
      <c r="AS89" s="2">
        <v>1.8493321013993999E-3</v>
      </c>
      <c r="AT89" s="2">
        <v>-5.9345156889495099E-2</v>
      </c>
      <c r="AU89" s="2">
        <v>3.7659851925547903E-2</v>
      </c>
    </row>
    <row r="90" spans="1:47" x14ac:dyDescent="0.25">
      <c r="A90">
        <v>1867</v>
      </c>
      <c r="B90">
        <v>14.34</v>
      </c>
      <c r="C90" s="3">
        <f t="shared" si="23"/>
        <v>49.585062240663895</v>
      </c>
      <c r="D90">
        <v>28.57</v>
      </c>
      <c r="E90" s="3">
        <f t="shared" si="24"/>
        <v>138.2196419932269</v>
      </c>
      <c r="F90" s="3">
        <f t="shared" si="22"/>
        <v>85.868263473053901</v>
      </c>
      <c r="G90">
        <v>128.5</v>
      </c>
      <c r="I90" s="3">
        <f t="shared" si="19"/>
        <v>92.967973398669926</v>
      </c>
      <c r="J90">
        <v>4.24</v>
      </c>
      <c r="L90">
        <v>6.75</v>
      </c>
      <c r="N90" s="6">
        <f t="shared" si="25"/>
        <v>4.24</v>
      </c>
      <c r="O90" s="3">
        <f t="shared" si="26"/>
        <v>99.764705882352942</v>
      </c>
      <c r="P90">
        <v>103.1</v>
      </c>
      <c r="S90">
        <f t="shared" si="20"/>
        <v>103.1</v>
      </c>
      <c r="T90" s="3">
        <f t="shared" si="21"/>
        <v>103.34316037735849</v>
      </c>
      <c r="U90" s="2">
        <v>12.372447822431599</v>
      </c>
      <c r="V90">
        <v>10.0674590066084</v>
      </c>
      <c r="W90">
        <v>11.219953414520001</v>
      </c>
      <c r="X90">
        <v>9.9810429175385007</v>
      </c>
      <c r="Y90" s="6">
        <f t="shared" si="28"/>
        <v>106.83937823834196</v>
      </c>
      <c r="Z90" s="6">
        <f t="shared" si="29"/>
        <v>160.25906735751295</v>
      </c>
      <c r="AA90" s="6">
        <f t="shared" si="30"/>
        <v>106.58739857268552</v>
      </c>
      <c r="AB90" s="3">
        <f t="shared" si="31"/>
        <v>28.542356071601354</v>
      </c>
      <c r="AC90" s="3">
        <f t="shared" si="27"/>
        <v>3.884837647058824</v>
      </c>
      <c r="AD90" s="3">
        <f t="shared" si="32"/>
        <v>0</v>
      </c>
      <c r="AE90" s="2">
        <v>88.533757764867602</v>
      </c>
      <c r="AF90" s="2">
        <v>105.273092551269</v>
      </c>
      <c r="AG90" s="2">
        <v>0.18523173324620301</v>
      </c>
      <c r="AH90" s="2">
        <v>92.706135294573201</v>
      </c>
      <c r="AI90" s="2">
        <v>103.349561371051</v>
      </c>
      <c r="AJ90" s="2"/>
      <c r="AK90" s="2"/>
      <c r="AL90" s="2"/>
      <c r="AM90" s="2"/>
      <c r="AN90" s="2"/>
      <c r="AO90" s="2"/>
      <c r="AP90" s="2"/>
      <c r="AR90" s="2">
        <v>-1.9961977186311802E-2</v>
      </c>
      <c r="AS90" s="2">
        <v>9.6527556748968396E-4</v>
      </c>
      <c r="AT90" s="2">
        <v>-6.8165337200870202E-2</v>
      </c>
      <c r="AU90" s="2">
        <v>2.1130941976829899E-2</v>
      </c>
    </row>
    <row r="91" spans="1:47" x14ac:dyDescent="0.25">
      <c r="A91">
        <v>1868</v>
      </c>
      <c r="B91">
        <v>13.78</v>
      </c>
      <c r="C91" s="3">
        <f t="shared" si="23"/>
        <v>47.648686030428763</v>
      </c>
      <c r="D91">
        <v>28.88</v>
      </c>
      <c r="E91" s="3">
        <f t="shared" si="24"/>
        <v>139.71940009675856</v>
      </c>
      <c r="F91" s="3">
        <f t="shared" si="22"/>
        <v>82.514970059880241</v>
      </c>
      <c r="G91">
        <v>125.3</v>
      </c>
      <c r="I91" s="3">
        <f t="shared" si="19"/>
        <v>89.679743767313042</v>
      </c>
      <c r="J91">
        <v>4.24</v>
      </c>
      <c r="L91">
        <v>6.83</v>
      </c>
      <c r="N91" s="6">
        <f t="shared" si="25"/>
        <v>4.24</v>
      </c>
      <c r="O91" s="3">
        <f t="shared" si="26"/>
        <v>99.764705882352942</v>
      </c>
      <c r="P91">
        <v>102.1</v>
      </c>
      <c r="S91">
        <f t="shared" si="20"/>
        <v>102.1</v>
      </c>
      <c r="T91" s="3">
        <f t="shared" si="21"/>
        <v>102.34080188679245</v>
      </c>
      <c r="U91" s="2">
        <v>8.9048130180055693</v>
      </c>
      <c r="V91">
        <v>9.4796765287872695</v>
      </c>
      <c r="W91">
        <v>9.1922447733964194</v>
      </c>
      <c r="X91">
        <v>10.6106936778529</v>
      </c>
      <c r="Y91" s="6">
        <f t="shared" si="28"/>
        <v>105.80310880829016</v>
      </c>
      <c r="Z91" s="6">
        <f t="shared" si="29"/>
        <v>160.58560736902709</v>
      </c>
      <c r="AA91" s="6">
        <f t="shared" si="30"/>
        <v>105.55357317430835</v>
      </c>
      <c r="AB91" s="3">
        <f t="shared" si="31"/>
        <v>28.852056119980638</v>
      </c>
      <c r="AC91" s="3">
        <f t="shared" si="27"/>
        <v>3.884837647058824</v>
      </c>
      <c r="AD91" s="3">
        <f t="shared" si="32"/>
        <v>0</v>
      </c>
      <c r="AE91" s="2">
        <v>89.561187914646396</v>
      </c>
      <c r="AF91" s="2">
        <v>105.26889658216901</v>
      </c>
      <c r="AG91" s="2">
        <v>0.18752510045054099</v>
      </c>
      <c r="AH91" s="2">
        <v>92.7314336589627</v>
      </c>
      <c r="AI91" s="2">
        <v>102.43577861852</v>
      </c>
      <c r="AJ91" s="2"/>
      <c r="AK91" s="2"/>
      <c r="AL91" s="2"/>
      <c r="AM91" s="2"/>
      <c r="AN91" s="2"/>
      <c r="AO91" s="2"/>
      <c r="AP91" s="2"/>
      <c r="AR91" s="2">
        <v>-9.6993210475266704E-3</v>
      </c>
      <c r="AS91" s="2">
        <v>4.10415565935376E-4</v>
      </c>
      <c r="AT91" s="2">
        <v>-2.49027237354085E-2</v>
      </c>
      <c r="AU91" s="2">
        <v>5.6511029206567998E-3</v>
      </c>
    </row>
    <row r="92" spans="1:47" x14ac:dyDescent="0.25">
      <c r="A92">
        <v>1869</v>
      </c>
      <c r="B92">
        <v>13.21</v>
      </c>
      <c r="C92" s="3">
        <f t="shared" si="23"/>
        <v>45.677731673582294</v>
      </c>
      <c r="D92">
        <v>27.49</v>
      </c>
      <c r="E92" s="3">
        <f t="shared" si="24"/>
        <v>132.99467827769715</v>
      </c>
      <c r="F92" s="3">
        <f t="shared" si="22"/>
        <v>79.101796407185631</v>
      </c>
      <c r="G92">
        <v>119.7</v>
      </c>
      <c r="I92" s="3">
        <f t="shared" si="19"/>
        <v>90.003601309567117</v>
      </c>
      <c r="J92">
        <v>4.24</v>
      </c>
      <c r="L92">
        <v>6.48</v>
      </c>
      <c r="N92" s="6">
        <f t="shared" si="25"/>
        <v>4.24</v>
      </c>
      <c r="O92" s="3">
        <f t="shared" si="26"/>
        <v>99.764705882352942</v>
      </c>
      <c r="P92">
        <v>101</v>
      </c>
      <c r="S92">
        <f t="shared" si="20"/>
        <v>101</v>
      </c>
      <c r="T92" s="3">
        <f t="shared" si="21"/>
        <v>101.23820754716981</v>
      </c>
      <c r="U92" s="2">
        <v>9.0412766397981201</v>
      </c>
      <c r="V92">
        <v>8.7768805092138003</v>
      </c>
      <c r="W92">
        <v>8.9090785745059602</v>
      </c>
      <c r="X92">
        <v>11.007413729784099</v>
      </c>
      <c r="Y92" s="6">
        <f t="shared" si="28"/>
        <v>104.66321243523316</v>
      </c>
      <c r="Z92" s="6">
        <f t="shared" si="29"/>
        <v>150.71502590673578</v>
      </c>
      <c r="AA92" s="6">
        <f t="shared" si="30"/>
        <v>104.41636523609347</v>
      </c>
      <c r="AB92" s="3">
        <f t="shared" si="31"/>
        <v>27.463401064344456</v>
      </c>
      <c r="AC92" s="3">
        <f t="shared" si="27"/>
        <v>3.884837647058824</v>
      </c>
      <c r="AD92" s="3">
        <f t="shared" si="32"/>
        <v>0</v>
      </c>
      <c r="AE92" s="2">
        <v>90.194066421507998</v>
      </c>
      <c r="AF92" s="2">
        <v>105.214302626444</v>
      </c>
      <c r="AG92" s="2">
        <v>0.22031559792878899</v>
      </c>
      <c r="AH92" s="2">
        <v>92.737808328143601</v>
      </c>
      <c r="AI92" s="2">
        <v>102.29026952188801</v>
      </c>
      <c r="AJ92" s="2"/>
      <c r="AK92" s="2"/>
      <c r="AL92" s="2"/>
      <c r="AM92" s="2"/>
      <c r="AN92" s="2"/>
      <c r="AO92" s="2"/>
      <c r="AP92" s="2"/>
      <c r="AR92" s="2">
        <v>-1.07737512242898E-2</v>
      </c>
      <c r="AS92" s="2">
        <v>-2.04129451628036E-5</v>
      </c>
      <c r="AT92" s="2">
        <v>-4.4692737430167502E-2</v>
      </c>
      <c r="AU92" s="2">
        <v>-7.8516530932104794E-3</v>
      </c>
    </row>
    <row r="93" spans="1:47" x14ac:dyDescent="0.25">
      <c r="A93">
        <v>1870</v>
      </c>
      <c r="B93">
        <v>12.65</v>
      </c>
      <c r="C93" s="3">
        <f t="shared" si="23"/>
        <v>43.741355463347162</v>
      </c>
      <c r="D93">
        <v>23.75</v>
      </c>
      <c r="E93" s="3">
        <f t="shared" si="24"/>
        <v>114.90082244799225</v>
      </c>
      <c r="F93" s="3">
        <f t="shared" si="22"/>
        <v>75.748502994011986</v>
      </c>
      <c r="G93">
        <v>107</v>
      </c>
      <c r="I93" s="3">
        <f t="shared" si="19"/>
        <v>93.123789473684212</v>
      </c>
      <c r="J93">
        <v>4.24</v>
      </c>
      <c r="L93">
        <v>5.59</v>
      </c>
      <c r="N93" s="6">
        <f t="shared" si="25"/>
        <v>4.24</v>
      </c>
      <c r="O93" s="3">
        <f t="shared" si="26"/>
        <v>99.764705882352942</v>
      </c>
      <c r="P93">
        <v>99</v>
      </c>
      <c r="S93">
        <f t="shared" si="20"/>
        <v>99</v>
      </c>
      <c r="T93" s="3">
        <f t="shared" si="21"/>
        <v>99.23349056603773</v>
      </c>
      <c r="U93" s="2">
        <v>11.972120981846899</v>
      </c>
      <c r="V93">
        <v>7.1487133743373104</v>
      </c>
      <c r="W93">
        <v>9.5604171780920808</v>
      </c>
      <c r="X93">
        <v>11.1490062719118</v>
      </c>
      <c r="Y93" s="6">
        <f t="shared" si="28"/>
        <v>102.59067357512953</v>
      </c>
      <c r="Z93" s="6">
        <f t="shared" si="29"/>
        <v>127.440414507772</v>
      </c>
      <c r="AA93" s="6">
        <f t="shared" si="30"/>
        <v>102.34871443933913</v>
      </c>
      <c r="AB93" s="3">
        <f t="shared" si="31"/>
        <v>23.727019835510401</v>
      </c>
      <c r="AC93" s="3">
        <f t="shared" si="27"/>
        <v>3.884837647058824</v>
      </c>
      <c r="AD93" s="3">
        <f t="shared" si="32"/>
        <v>0</v>
      </c>
      <c r="AE93" s="2">
        <v>90.409506377971596</v>
      </c>
      <c r="AF93" s="2">
        <v>105.088046622718</v>
      </c>
      <c r="AG93" s="2">
        <v>0.21005651805678099</v>
      </c>
      <c r="AH93" s="2">
        <v>93.1255056379498</v>
      </c>
      <c r="AI93" s="2">
        <v>103.364797997491</v>
      </c>
      <c r="AJ93" s="2"/>
      <c r="AK93" s="2"/>
      <c r="AL93" s="2"/>
      <c r="AM93" s="2"/>
      <c r="AN93" s="2"/>
      <c r="AO93" s="2"/>
      <c r="AP93" s="2"/>
      <c r="AR93" s="2">
        <v>-1.9801980198019799E-2</v>
      </c>
      <c r="AS93" s="2">
        <v>-6.3347237383876002E-4</v>
      </c>
      <c r="AT93" s="2">
        <v>-0.10609857978279</v>
      </c>
      <c r="AU93" s="2">
        <v>-1.8754852181571399E-2</v>
      </c>
    </row>
    <row r="94" spans="1:47" x14ac:dyDescent="0.25">
      <c r="A94">
        <v>1871</v>
      </c>
      <c r="B94">
        <v>11.84</v>
      </c>
      <c r="C94" s="3">
        <f t="shared" si="23"/>
        <v>40.940525587828489</v>
      </c>
      <c r="D94">
        <v>23.09</v>
      </c>
      <c r="E94" s="3">
        <f t="shared" si="24"/>
        <v>111.70778906627962</v>
      </c>
      <c r="F94" s="3">
        <f t="shared" si="22"/>
        <v>70.898203592814369</v>
      </c>
      <c r="G94">
        <v>103.1</v>
      </c>
      <c r="I94" s="3">
        <f t="shared" si="19"/>
        <v>92.294369857080994</v>
      </c>
      <c r="J94">
        <v>4.24</v>
      </c>
      <c r="L94">
        <v>5.46</v>
      </c>
      <c r="N94" s="6">
        <f t="shared" si="25"/>
        <v>4.24</v>
      </c>
      <c r="O94" s="3">
        <f t="shared" si="26"/>
        <v>99.764705882352942</v>
      </c>
      <c r="P94">
        <v>103.1</v>
      </c>
      <c r="S94">
        <f t="shared" si="20"/>
        <v>103.1</v>
      </c>
      <c r="T94" s="3">
        <f t="shared" si="21"/>
        <v>103.34316037735849</v>
      </c>
      <c r="U94" s="2">
        <v>10.947628338189499</v>
      </c>
      <c r="V94">
        <v>11.6248367111302</v>
      </c>
      <c r="W94">
        <v>11.2862325246598</v>
      </c>
      <c r="X94">
        <v>10.992291151262799</v>
      </c>
      <c r="Y94" s="6">
        <f t="shared" si="28"/>
        <v>106.83937823834196</v>
      </c>
      <c r="Z94" s="6">
        <f t="shared" si="29"/>
        <v>129.63177892918824</v>
      </c>
      <c r="AA94" s="6">
        <f t="shared" si="30"/>
        <v>106.58739857268552</v>
      </c>
      <c r="AB94" s="3">
        <f t="shared" si="31"/>
        <v>23.06765844218674</v>
      </c>
      <c r="AC94" s="3">
        <f t="shared" si="27"/>
        <v>3.884837647058824</v>
      </c>
      <c r="AD94" s="3">
        <f t="shared" si="32"/>
        <v>0</v>
      </c>
      <c r="AE94" s="2">
        <v>90.182680212341197</v>
      </c>
      <c r="AF94" s="2">
        <v>104.82872148335299</v>
      </c>
      <c r="AG94" s="2">
        <v>0.24688934162261</v>
      </c>
      <c r="AH94" s="2">
        <v>93.382169148167407</v>
      </c>
      <c r="AI94" s="2">
        <v>105.747704787705</v>
      </c>
      <c r="AJ94" s="2"/>
      <c r="AK94" s="2"/>
      <c r="AL94" s="2"/>
      <c r="AM94" s="2"/>
      <c r="AN94" s="2"/>
      <c r="AO94" s="2"/>
      <c r="AP94" s="2"/>
      <c r="AR94" s="2">
        <v>4.1414141414141299E-2</v>
      </c>
      <c r="AS94" s="2">
        <v>-1.84255851091766E-3</v>
      </c>
      <c r="AT94" s="2">
        <v>-3.6448598130841101E-2</v>
      </c>
      <c r="AU94" s="2">
        <v>-2.6804431304595099E-2</v>
      </c>
    </row>
    <row r="95" spans="1:47" x14ac:dyDescent="0.25">
      <c r="A95">
        <v>1872</v>
      </c>
      <c r="B95">
        <v>11.84</v>
      </c>
      <c r="C95" s="3">
        <f t="shared" si="23"/>
        <v>40.940525587828489</v>
      </c>
      <c r="D95">
        <v>23.24</v>
      </c>
      <c r="E95" s="3">
        <f t="shared" si="24"/>
        <v>112.43347847121431</v>
      </c>
      <c r="F95" s="3">
        <f t="shared" si="22"/>
        <v>70.898203592814369</v>
      </c>
      <c r="G95">
        <v>107.8</v>
      </c>
      <c r="I95" s="3">
        <f t="shared" si="19"/>
        <v>95.878915662650613</v>
      </c>
      <c r="J95">
        <v>4.24</v>
      </c>
      <c r="L95">
        <v>5.45</v>
      </c>
      <c r="N95" s="6">
        <f t="shared" si="25"/>
        <v>4.24</v>
      </c>
      <c r="O95" s="3">
        <f t="shared" si="26"/>
        <v>99.764705882352942</v>
      </c>
      <c r="P95">
        <v>112.4</v>
      </c>
      <c r="S95">
        <f t="shared" si="20"/>
        <v>112.4</v>
      </c>
      <c r="T95" s="3">
        <f t="shared" si="21"/>
        <v>112.66509433962264</v>
      </c>
      <c r="U95" s="2">
        <v>14.338081002863399</v>
      </c>
      <c r="V95">
        <v>21.304931267088101</v>
      </c>
      <c r="W95">
        <v>17.821506134975799</v>
      </c>
      <c r="X95">
        <v>10.478202323925901</v>
      </c>
      <c r="Y95" s="6">
        <f t="shared" si="28"/>
        <v>116.47668393782384</v>
      </c>
      <c r="Z95" s="6">
        <f t="shared" si="29"/>
        <v>141.06620610247555</v>
      </c>
      <c r="AA95" s="6">
        <f t="shared" si="30"/>
        <v>116.20197477759314</v>
      </c>
      <c r="AB95" s="3">
        <f t="shared" si="31"/>
        <v>23.217513304305754</v>
      </c>
      <c r="AC95" s="3">
        <f t="shared" si="27"/>
        <v>3.884837647058824</v>
      </c>
      <c r="AD95" s="3">
        <f t="shared" si="32"/>
        <v>0</v>
      </c>
      <c r="AE95" s="2">
        <v>89.515865289141303</v>
      </c>
      <c r="AF95" s="2">
        <v>104.316039654479</v>
      </c>
      <c r="AG95" s="2">
        <v>0.21033822695812299</v>
      </c>
      <c r="AH95" s="2">
        <v>92.993607205932307</v>
      </c>
      <c r="AI95" s="2">
        <v>108.139064635739</v>
      </c>
      <c r="AJ95" s="2"/>
      <c r="AK95" s="2"/>
      <c r="AL95" s="2"/>
      <c r="AM95" s="2"/>
      <c r="AN95" s="2"/>
      <c r="AO95" s="2"/>
      <c r="AP95" s="2"/>
      <c r="AR95" s="2">
        <v>9.0203685741998094E-2</v>
      </c>
      <c r="AS95" s="2">
        <v>-4.2531522254665001E-3</v>
      </c>
      <c r="AT95" s="2">
        <v>4.5586808923375299E-2</v>
      </c>
      <c r="AU95" s="2">
        <v>-3.2619764698462901E-2</v>
      </c>
    </row>
    <row r="96" spans="1:47" x14ac:dyDescent="0.25">
      <c r="A96">
        <v>1873</v>
      </c>
      <c r="B96">
        <v>11.6</v>
      </c>
      <c r="C96" s="3">
        <f t="shared" si="23"/>
        <v>40.110650069156293</v>
      </c>
      <c r="D96">
        <v>23.52</v>
      </c>
      <c r="E96" s="3">
        <f t="shared" si="24"/>
        <v>113.78809869375907</v>
      </c>
      <c r="F96" s="3">
        <f t="shared" si="22"/>
        <v>69.461077844311376</v>
      </c>
      <c r="G96">
        <v>105.4</v>
      </c>
      <c r="I96" s="3">
        <f t="shared" si="19"/>
        <v>92.628316326530609</v>
      </c>
      <c r="J96">
        <v>4.24</v>
      </c>
      <c r="L96">
        <v>5.55</v>
      </c>
      <c r="N96" s="6">
        <f t="shared" si="25"/>
        <v>4.24</v>
      </c>
      <c r="O96" s="3">
        <f t="shared" si="26"/>
        <v>99.764705882352942</v>
      </c>
      <c r="P96">
        <v>114.4</v>
      </c>
      <c r="S96">
        <f t="shared" si="20"/>
        <v>114.4</v>
      </c>
      <c r="T96" s="3">
        <f t="shared" si="21"/>
        <v>114.66981132075472</v>
      </c>
      <c r="U96" s="2">
        <v>10.883761269906501</v>
      </c>
      <c r="V96">
        <v>23.638696950229399</v>
      </c>
      <c r="W96">
        <v>17.261229110067902</v>
      </c>
      <c r="X96">
        <v>9.5506131597236905</v>
      </c>
      <c r="Y96" s="6">
        <f t="shared" si="28"/>
        <v>118.54922279792746</v>
      </c>
      <c r="Z96" s="6">
        <f t="shared" si="29"/>
        <v>146.21070811744386</v>
      </c>
      <c r="AA96" s="6">
        <f t="shared" si="30"/>
        <v>118.26962557434746</v>
      </c>
      <c r="AB96" s="3">
        <f t="shared" si="31"/>
        <v>23.497242380261245</v>
      </c>
      <c r="AC96" s="3">
        <f t="shared" si="27"/>
        <v>3.884837647058824</v>
      </c>
      <c r="AD96" s="3">
        <f t="shared" si="32"/>
        <v>0</v>
      </c>
      <c r="AE96" s="2">
        <v>88.432512170772995</v>
      </c>
      <c r="AF96" s="2">
        <v>103.414526367398</v>
      </c>
      <c r="AG96" s="2">
        <v>0.17733170034040199</v>
      </c>
      <c r="AH96" s="2">
        <v>91.084905108991506</v>
      </c>
      <c r="AI96" s="2">
        <v>108.42638402223599</v>
      </c>
      <c r="AJ96" s="2">
        <v>110</v>
      </c>
      <c r="AK96" s="2">
        <v>91</v>
      </c>
      <c r="AL96" s="2"/>
      <c r="AM96" s="2"/>
      <c r="AN96" s="2"/>
      <c r="AO96" s="2"/>
      <c r="AP96" s="2"/>
      <c r="AR96" s="2">
        <v>1.7793594306049799E-2</v>
      </c>
      <c r="AS96" s="2">
        <v>-8.0381673873016705E-3</v>
      </c>
      <c r="AT96" s="2">
        <v>-2.2263450834879302E-2</v>
      </c>
      <c r="AU96" s="2">
        <v>-3.6916668267618399E-2</v>
      </c>
    </row>
    <row r="97" spans="1:47" x14ac:dyDescent="0.25">
      <c r="A97">
        <v>1874</v>
      </c>
      <c r="B97">
        <v>11.04</v>
      </c>
      <c r="C97" s="3">
        <f t="shared" si="23"/>
        <v>38.174273858921161</v>
      </c>
      <c r="D97">
        <v>22.99</v>
      </c>
      <c r="E97" s="3">
        <f t="shared" si="24"/>
        <v>111.2239961296565</v>
      </c>
      <c r="F97" s="3">
        <f t="shared" si="22"/>
        <v>66.107784431137731</v>
      </c>
      <c r="G97">
        <v>100</v>
      </c>
      <c r="I97" s="3">
        <f t="shared" si="19"/>
        <v>89.908655937364074</v>
      </c>
      <c r="J97">
        <v>4.24</v>
      </c>
      <c r="L97">
        <v>5.42</v>
      </c>
      <c r="N97" s="6">
        <f t="shared" si="25"/>
        <v>4.24</v>
      </c>
      <c r="O97" s="3">
        <f t="shared" si="26"/>
        <v>99.764705882352942</v>
      </c>
      <c r="P97">
        <v>105.2</v>
      </c>
      <c r="S97">
        <f t="shared" si="20"/>
        <v>105.2</v>
      </c>
      <c r="T97" s="3">
        <f t="shared" si="21"/>
        <v>105.44811320754717</v>
      </c>
      <c r="U97" s="2">
        <v>7.9549514333562898</v>
      </c>
      <c r="V97">
        <v>14.735852829095499</v>
      </c>
      <c r="W97">
        <v>11.345402131225899</v>
      </c>
      <c r="X97">
        <v>8.2268300665893506</v>
      </c>
      <c r="Y97" s="6">
        <f t="shared" si="28"/>
        <v>109.01554404145078</v>
      </c>
      <c r="Z97" s="6">
        <f t="shared" si="29"/>
        <v>131.30316637881404</v>
      </c>
      <c r="AA97" s="6">
        <f t="shared" si="30"/>
        <v>108.75843190927756</v>
      </c>
      <c r="AB97" s="3">
        <f t="shared" si="31"/>
        <v>22.967755200774064</v>
      </c>
      <c r="AC97" s="3">
        <f t="shared" si="27"/>
        <v>3.884837647058824</v>
      </c>
      <c r="AD97" s="3">
        <f t="shared" si="32"/>
        <v>0</v>
      </c>
      <c r="AE97" s="2">
        <v>87.020012766745793</v>
      </c>
      <c r="AF97" s="2">
        <v>102.071846456863</v>
      </c>
      <c r="AG97" s="2">
        <v>7.7358196410687294E-2</v>
      </c>
      <c r="AH97" s="2">
        <v>87.753279086447606</v>
      </c>
      <c r="AI97" s="2">
        <v>105.994147882592</v>
      </c>
      <c r="AJ97" s="2"/>
      <c r="AK97" s="2"/>
      <c r="AL97" s="2"/>
      <c r="AM97" s="2"/>
      <c r="AN97" s="2"/>
      <c r="AO97" s="2"/>
      <c r="AP97" s="2"/>
      <c r="AR97" s="2">
        <v>-8.0419580419580403E-2</v>
      </c>
      <c r="AS97" s="2">
        <v>-1.24259494865649E-2</v>
      </c>
      <c r="AT97" s="2">
        <v>-5.1233396584440198E-2</v>
      </c>
      <c r="AU97" s="2">
        <v>-3.9628892180287201E-2</v>
      </c>
    </row>
    <row r="98" spans="1:47" x14ac:dyDescent="0.25">
      <c r="A98">
        <v>1875</v>
      </c>
      <c r="B98">
        <v>10.64</v>
      </c>
      <c r="C98" s="3">
        <f t="shared" si="23"/>
        <v>36.791147994467494</v>
      </c>
      <c r="D98">
        <v>23.75</v>
      </c>
      <c r="E98" s="3">
        <f t="shared" si="24"/>
        <v>114.90082244799225</v>
      </c>
      <c r="F98" s="3">
        <f t="shared" si="22"/>
        <v>63.712574850299404</v>
      </c>
      <c r="G98">
        <v>93.5</v>
      </c>
      <c r="I98" s="3">
        <f t="shared" si="19"/>
        <v>81.374526315789481</v>
      </c>
      <c r="J98">
        <v>4.24</v>
      </c>
      <c r="L98">
        <v>5.59</v>
      </c>
      <c r="N98" s="6">
        <f t="shared" si="25"/>
        <v>4.24</v>
      </c>
      <c r="O98" s="3">
        <f t="shared" si="26"/>
        <v>99.764705882352942</v>
      </c>
      <c r="P98">
        <v>99</v>
      </c>
      <c r="S98">
        <f t="shared" si="20"/>
        <v>99</v>
      </c>
      <c r="T98" s="3">
        <f t="shared" si="21"/>
        <v>99.23349056603773</v>
      </c>
      <c r="U98" s="2">
        <v>-0.79806621274962397</v>
      </c>
      <c r="V98">
        <v>8.81613713275107</v>
      </c>
      <c r="W98">
        <v>4.0090354600007201</v>
      </c>
      <c r="X98">
        <v>6.6012656119594402</v>
      </c>
      <c r="Y98" s="6">
        <f t="shared" si="28"/>
        <v>102.59067357512953</v>
      </c>
      <c r="Z98" s="6">
        <f t="shared" si="29"/>
        <v>127.440414507772</v>
      </c>
      <c r="AA98" s="6">
        <f t="shared" si="30"/>
        <v>102.34871443933913</v>
      </c>
      <c r="AB98" s="3">
        <f t="shared" si="31"/>
        <v>23.727019835510401</v>
      </c>
      <c r="AC98" s="3">
        <f t="shared" si="27"/>
        <v>3.884837647058824</v>
      </c>
      <c r="AD98" s="3">
        <f t="shared" si="32"/>
        <v>0</v>
      </c>
      <c r="AE98" s="2">
        <v>85.407633864861793</v>
      </c>
      <c r="AF98" s="2">
        <v>100.347819493955</v>
      </c>
      <c r="AG98" s="2">
        <v>3.7468858459094E-2</v>
      </c>
      <c r="AH98" s="2">
        <v>83.607643664406197</v>
      </c>
      <c r="AI98" s="2">
        <v>102.294713144791</v>
      </c>
      <c r="AJ98" s="2"/>
      <c r="AK98" s="2"/>
      <c r="AL98" s="2"/>
      <c r="AM98" s="2"/>
      <c r="AN98" s="2"/>
      <c r="AO98" s="2"/>
      <c r="AP98" s="2"/>
      <c r="AR98" s="2">
        <v>-5.8935361216730001E-2</v>
      </c>
      <c r="AS98" s="2">
        <v>-1.6386526396464401E-2</v>
      </c>
      <c r="AT98" s="2">
        <v>-6.5000000000000002E-2</v>
      </c>
      <c r="AU98" s="2">
        <v>-4.0543654430367199E-2</v>
      </c>
    </row>
    <row r="99" spans="1:47" x14ac:dyDescent="0.25">
      <c r="A99">
        <v>1876</v>
      </c>
      <c r="B99">
        <v>10.39</v>
      </c>
      <c r="C99" s="3">
        <f t="shared" si="23"/>
        <v>35.926694329183952</v>
      </c>
      <c r="D99">
        <v>23.05</v>
      </c>
      <c r="E99" s="3">
        <f t="shared" si="24"/>
        <v>111.51427189163037</v>
      </c>
      <c r="F99" s="3">
        <f t="shared" si="22"/>
        <v>62.215568862275454</v>
      </c>
      <c r="G99">
        <v>87.2</v>
      </c>
      <c r="I99" s="3">
        <f t="shared" si="19"/>
        <v>78.196268980477228</v>
      </c>
      <c r="J99">
        <v>4.24</v>
      </c>
      <c r="L99">
        <v>5.42</v>
      </c>
      <c r="N99" s="6">
        <f t="shared" si="25"/>
        <v>4.24</v>
      </c>
      <c r="O99" s="3">
        <f t="shared" si="26"/>
        <v>99.764705882352942</v>
      </c>
      <c r="P99">
        <v>97.9</v>
      </c>
      <c r="S99">
        <f t="shared" si="20"/>
        <v>97.9</v>
      </c>
      <c r="T99" s="3">
        <f t="shared" si="21"/>
        <v>98.130896226415089</v>
      </c>
      <c r="U99" s="2">
        <v>-4.1850093743736103</v>
      </c>
      <c r="V99">
        <v>7.9993072507836196</v>
      </c>
      <c r="W99">
        <v>1.907148938205</v>
      </c>
      <c r="X99">
        <v>4.79951808391694</v>
      </c>
      <c r="Y99" s="6">
        <f t="shared" si="28"/>
        <v>101.45077720207254</v>
      </c>
      <c r="Z99" s="6">
        <f t="shared" si="29"/>
        <v>122.19182498560737</v>
      </c>
      <c r="AA99" s="6">
        <f t="shared" si="30"/>
        <v>101.21150650112428</v>
      </c>
      <c r="AB99" s="3">
        <f t="shared" si="31"/>
        <v>23.027697145621669</v>
      </c>
      <c r="AC99" s="3">
        <f t="shared" si="27"/>
        <v>3.884837647058824</v>
      </c>
      <c r="AD99" s="3">
        <f t="shared" si="32"/>
        <v>0</v>
      </c>
      <c r="AE99" s="2">
        <v>83.752142125255403</v>
      </c>
      <c r="AF99" s="2">
        <v>98.335646585186097</v>
      </c>
      <c r="AG99" s="2">
        <v>5.9396697997223399E-2</v>
      </c>
      <c r="AH99" s="2">
        <v>79.929153673490205</v>
      </c>
      <c r="AI99" s="2">
        <v>98.585720775953703</v>
      </c>
      <c r="AJ99" s="2"/>
      <c r="AK99" s="2"/>
      <c r="AL99" s="2"/>
      <c r="AM99" s="2"/>
      <c r="AN99" s="2"/>
      <c r="AO99" s="2"/>
      <c r="AP99" s="2"/>
      <c r="AR99" s="2">
        <v>-1.1111111111111001E-2</v>
      </c>
      <c r="AS99" s="2">
        <v>-1.95698622995387E-2</v>
      </c>
      <c r="AT99" s="2">
        <v>-6.7379679144385002E-2</v>
      </c>
      <c r="AU99" s="2">
        <v>-3.9564218055797899E-2</v>
      </c>
    </row>
    <row r="100" spans="1:47" x14ac:dyDescent="0.25">
      <c r="A100">
        <v>1877</v>
      </c>
      <c r="B100">
        <v>10.15</v>
      </c>
      <c r="C100" s="3">
        <f t="shared" si="23"/>
        <v>35.096818810511756</v>
      </c>
      <c r="D100">
        <v>21.66</v>
      </c>
      <c r="E100" s="3">
        <f t="shared" si="24"/>
        <v>104.78955007256893</v>
      </c>
      <c r="F100" s="3">
        <f t="shared" si="22"/>
        <v>60.778443113772461</v>
      </c>
      <c r="G100">
        <v>84.1</v>
      </c>
      <c r="I100" s="3">
        <f t="shared" si="19"/>
        <v>80.256094182825493</v>
      </c>
      <c r="J100">
        <v>4.24</v>
      </c>
      <c r="L100">
        <v>5.08</v>
      </c>
      <c r="N100" s="6">
        <f t="shared" si="25"/>
        <v>4.24</v>
      </c>
      <c r="O100" s="3">
        <f t="shared" si="26"/>
        <v>99.764705882352942</v>
      </c>
      <c r="P100">
        <v>96.9</v>
      </c>
      <c r="S100">
        <f t="shared" si="20"/>
        <v>96.9</v>
      </c>
      <c r="T100" s="3">
        <f t="shared" si="21"/>
        <v>97.128537735849051</v>
      </c>
      <c r="U100" s="2">
        <v>-2.3455957574780202</v>
      </c>
      <c r="V100">
        <v>7.2651397333035996</v>
      </c>
      <c r="W100">
        <v>2.4597719879127902</v>
      </c>
      <c r="X100">
        <v>2.9212634690252099</v>
      </c>
      <c r="Y100" s="6">
        <f t="shared" si="28"/>
        <v>100.41450777202073</v>
      </c>
      <c r="Z100" s="6">
        <f t="shared" si="29"/>
        <v>113.35682210708117</v>
      </c>
      <c r="AA100" s="6">
        <f t="shared" si="30"/>
        <v>100.1776811027471</v>
      </c>
      <c r="AB100" s="3">
        <f t="shared" si="31"/>
        <v>21.639042089985484</v>
      </c>
      <c r="AC100" s="3">
        <f t="shared" si="27"/>
        <v>3.884837647058824</v>
      </c>
      <c r="AD100" s="3">
        <f t="shared" si="32"/>
        <v>0</v>
      </c>
      <c r="AE100" s="2">
        <v>82.170027869412294</v>
      </c>
      <c r="AF100" s="2">
        <v>96.117050642128603</v>
      </c>
      <c r="AG100" s="2">
        <v>-5.6349854590866402E-2</v>
      </c>
      <c r="AH100" s="2">
        <v>77.256416056187007</v>
      </c>
      <c r="AI100" s="2">
        <v>95.093240694935304</v>
      </c>
      <c r="AJ100" s="2"/>
      <c r="AK100" s="2"/>
      <c r="AL100" s="2"/>
      <c r="AM100" s="2"/>
      <c r="AN100" s="2"/>
      <c r="AO100" s="2"/>
      <c r="AP100" s="2"/>
      <c r="AR100" s="2">
        <v>-1.0214504596527001E-2</v>
      </c>
      <c r="AS100" s="2">
        <v>-2.2051409726528699E-2</v>
      </c>
      <c r="AT100" s="2">
        <v>-3.5550458715596402E-2</v>
      </c>
      <c r="AU100" s="2">
        <v>-3.6838409550215098E-2</v>
      </c>
    </row>
    <row r="101" spans="1:47" x14ac:dyDescent="0.25">
      <c r="A101">
        <v>1878</v>
      </c>
      <c r="B101">
        <v>9.67</v>
      </c>
      <c r="C101" s="3">
        <f t="shared" si="23"/>
        <v>33.437067773167357</v>
      </c>
      <c r="D101">
        <v>20.84</v>
      </c>
      <c r="E101" s="3">
        <f t="shared" si="24"/>
        <v>100.8224479922593</v>
      </c>
      <c r="F101" s="3">
        <f t="shared" si="22"/>
        <v>57.904191616766468</v>
      </c>
      <c r="G101">
        <v>72.2</v>
      </c>
      <c r="I101" s="3">
        <f t="shared" si="19"/>
        <v>71.611036468330141</v>
      </c>
      <c r="J101">
        <v>4.24</v>
      </c>
      <c r="L101">
        <v>4.8899999999999997</v>
      </c>
      <c r="N101" s="6">
        <f t="shared" si="25"/>
        <v>4.24</v>
      </c>
      <c r="O101" s="3">
        <f t="shared" si="26"/>
        <v>99.764705882352942</v>
      </c>
      <c r="P101">
        <v>89.7</v>
      </c>
      <c r="S101">
        <f t="shared" si="20"/>
        <v>89.7</v>
      </c>
      <c r="T101" s="3">
        <f t="shared" si="21"/>
        <v>89.91155660377359</v>
      </c>
      <c r="U101" s="2">
        <v>-11.219543068025301</v>
      </c>
      <c r="V101">
        <v>0.29343029094471301</v>
      </c>
      <c r="W101">
        <v>-5.4630563885402701</v>
      </c>
      <c r="X101">
        <v>1.0372540623905</v>
      </c>
      <c r="Y101" s="6">
        <f t="shared" si="28"/>
        <v>92.953367875647672</v>
      </c>
      <c r="Z101" s="6">
        <f t="shared" si="29"/>
        <v>101.00932642487047</v>
      </c>
      <c r="AA101" s="6">
        <f t="shared" si="30"/>
        <v>92.734138234431526</v>
      </c>
      <c r="AB101" s="3">
        <f t="shared" si="31"/>
        <v>20.819835510401546</v>
      </c>
      <c r="AC101" s="3">
        <f t="shared" si="27"/>
        <v>3.884837647058824</v>
      </c>
      <c r="AD101" s="3">
        <f t="shared" si="32"/>
        <v>0</v>
      </c>
      <c r="AE101" s="2">
        <v>80.723759997565907</v>
      </c>
      <c r="AF101" s="2">
        <v>93.771398110503</v>
      </c>
      <c r="AG101" s="2">
        <v>-6.3155724580126402E-2</v>
      </c>
      <c r="AH101" s="2">
        <v>75.601653197154207</v>
      </c>
      <c r="AI101" s="2">
        <v>91.881435895274194</v>
      </c>
      <c r="AJ101" s="2"/>
      <c r="AK101" s="2"/>
      <c r="AL101" s="2"/>
      <c r="AM101" s="2"/>
      <c r="AN101" s="2"/>
      <c r="AO101" s="2"/>
      <c r="AP101" s="2"/>
      <c r="AR101" s="2">
        <v>-7.4303405572755402E-2</v>
      </c>
      <c r="AS101" s="2">
        <v>-2.3822033696291298E-2</v>
      </c>
      <c r="AT101" s="2">
        <v>-0.14149821640903601</v>
      </c>
      <c r="AU101" s="2">
        <v>-3.2792210018140498E-2</v>
      </c>
    </row>
    <row r="102" spans="1:47" x14ac:dyDescent="0.25">
      <c r="A102">
        <v>1879</v>
      </c>
      <c r="B102">
        <v>9.67</v>
      </c>
      <c r="C102" s="3">
        <f t="shared" si="23"/>
        <v>33.437067773167357</v>
      </c>
      <c r="D102">
        <v>20.67</v>
      </c>
      <c r="E102" s="3">
        <f t="shared" si="24"/>
        <v>99.999999999999986</v>
      </c>
      <c r="F102" s="3">
        <f t="shared" si="22"/>
        <v>57.904191616766468</v>
      </c>
      <c r="G102">
        <v>71.3</v>
      </c>
      <c r="I102" s="3">
        <f t="shared" si="19"/>
        <v>71.300000000000011</v>
      </c>
      <c r="J102">
        <v>4.24</v>
      </c>
      <c r="L102">
        <v>4.8499999999999996</v>
      </c>
      <c r="N102" s="6">
        <f t="shared" si="25"/>
        <v>4.24</v>
      </c>
      <c r="O102" s="3">
        <f t="shared" si="26"/>
        <v>99.764705882352942</v>
      </c>
      <c r="P102">
        <v>85.6</v>
      </c>
      <c r="S102">
        <f t="shared" si="20"/>
        <v>85.6</v>
      </c>
      <c r="T102" s="3">
        <f t="shared" si="21"/>
        <v>85.801886792452834</v>
      </c>
      <c r="U102" s="2">
        <v>-11.7565690119776</v>
      </c>
      <c r="V102">
        <v>-3.58600620513658</v>
      </c>
      <c r="W102">
        <v>-7.6712876085571198</v>
      </c>
      <c r="X102">
        <v>-0.78637275569204501</v>
      </c>
      <c r="Y102" s="6">
        <f t="shared" si="28"/>
        <v>88.704663212435236</v>
      </c>
      <c r="Z102" s="6">
        <f t="shared" si="29"/>
        <v>95.603914795624632</v>
      </c>
      <c r="AA102" s="6">
        <f t="shared" si="30"/>
        <v>88.495454101085159</v>
      </c>
      <c r="AB102" s="3">
        <f t="shared" si="31"/>
        <v>20.649999999999995</v>
      </c>
      <c r="AC102" s="3">
        <f t="shared" si="27"/>
        <v>3.884837647058824</v>
      </c>
      <c r="AD102" s="3">
        <f t="shared" si="32"/>
        <v>0</v>
      </c>
      <c r="AE102" s="2">
        <v>79.456607131255296</v>
      </c>
      <c r="AF102" s="2">
        <v>91.387784929608401</v>
      </c>
      <c r="AG102" s="2">
        <v>4.2190025846265897E-2</v>
      </c>
      <c r="AH102" s="2">
        <v>75.974948795653503</v>
      </c>
      <c r="AI102" s="2">
        <v>89.680055805530202</v>
      </c>
      <c r="AJ102" s="2"/>
      <c r="AK102" s="2"/>
      <c r="AL102" s="2"/>
      <c r="AM102" s="2"/>
      <c r="AN102" s="2"/>
      <c r="AO102" s="2"/>
      <c r="AP102" s="2"/>
      <c r="AR102" s="2">
        <v>-4.5707915273132699E-2</v>
      </c>
      <c r="AS102" s="2">
        <v>-2.4754230176383101E-2</v>
      </c>
      <c r="AT102" s="2">
        <v>-1.24653739612189E-2</v>
      </c>
      <c r="AU102" s="2">
        <v>-2.78387210557496E-2</v>
      </c>
    </row>
    <row r="103" spans="1:47" x14ac:dyDescent="0.25">
      <c r="A103">
        <v>1880</v>
      </c>
      <c r="B103">
        <v>9.91</v>
      </c>
      <c r="C103" s="3">
        <f t="shared" si="23"/>
        <v>34.266943291839553</v>
      </c>
      <c r="D103">
        <v>20.67</v>
      </c>
      <c r="E103" s="3">
        <f t="shared" si="24"/>
        <v>99.999999999999986</v>
      </c>
      <c r="F103" s="3">
        <f t="shared" si="22"/>
        <v>59.341317365269461</v>
      </c>
      <c r="G103">
        <v>79.400000000000006</v>
      </c>
      <c r="I103" s="3">
        <f t="shared" si="19"/>
        <v>79.40000000000002</v>
      </c>
      <c r="J103">
        <v>4.24</v>
      </c>
      <c r="L103">
        <v>4.84</v>
      </c>
      <c r="N103" s="6">
        <f t="shared" si="25"/>
        <v>4.24</v>
      </c>
      <c r="O103" s="3">
        <f t="shared" si="26"/>
        <v>99.764705882352942</v>
      </c>
      <c r="P103">
        <v>90.7</v>
      </c>
      <c r="S103">
        <f t="shared" si="20"/>
        <v>90.7</v>
      </c>
      <c r="T103" s="3">
        <f t="shared" si="21"/>
        <v>90.913915094339629</v>
      </c>
      <c r="U103" s="2">
        <v>-3.8863912952976101</v>
      </c>
      <c r="V103">
        <v>1.7366642767392899</v>
      </c>
      <c r="W103">
        <v>-1.0748635092791601</v>
      </c>
      <c r="X103">
        <v>-2.5484827094366098</v>
      </c>
      <c r="Y103" s="6">
        <f t="shared" si="28"/>
        <v>93.989637305699489</v>
      </c>
      <c r="Z103" s="6">
        <f t="shared" si="29"/>
        <v>101.09107656879679</v>
      </c>
      <c r="AA103" s="6">
        <f t="shared" si="30"/>
        <v>93.767963632808701</v>
      </c>
      <c r="AB103" s="3">
        <f t="shared" si="31"/>
        <v>20.649999999999995</v>
      </c>
      <c r="AC103" s="3">
        <f t="shared" si="27"/>
        <v>3.884837647058824</v>
      </c>
      <c r="AD103" s="3">
        <f t="shared" si="32"/>
        <v>0</v>
      </c>
      <c r="AE103" s="2">
        <v>78.320900292043902</v>
      </c>
      <c r="AF103" s="2">
        <v>89.016393057639206</v>
      </c>
      <c r="AG103" s="2">
        <v>6.7202927489022499E-2</v>
      </c>
      <c r="AH103" s="2">
        <v>78.062502151895103</v>
      </c>
      <c r="AI103" s="2">
        <v>88.551704555838299</v>
      </c>
      <c r="AJ103" s="2"/>
      <c r="AK103" s="2"/>
      <c r="AL103" s="2"/>
      <c r="AM103" s="2"/>
      <c r="AN103" s="2"/>
      <c r="AO103" s="2"/>
      <c r="AP103" s="2"/>
      <c r="AR103" s="2">
        <v>5.9579439252336497E-2</v>
      </c>
      <c r="AS103" s="2">
        <v>-2.52253088531256E-2</v>
      </c>
      <c r="AT103" s="2">
        <v>0.113604488078541</v>
      </c>
      <c r="AU103" s="2">
        <v>-2.3478104323127E-2</v>
      </c>
    </row>
    <row r="104" spans="1:47" x14ac:dyDescent="0.25">
      <c r="A104">
        <v>1881</v>
      </c>
      <c r="B104">
        <v>9.91</v>
      </c>
      <c r="C104" s="3">
        <f t="shared" si="23"/>
        <v>34.266943291839553</v>
      </c>
      <c r="D104">
        <v>20.67</v>
      </c>
      <c r="E104" s="3">
        <f t="shared" si="24"/>
        <v>99.999999999999986</v>
      </c>
      <c r="F104" s="3">
        <f t="shared" si="22"/>
        <v>59.341317365269461</v>
      </c>
      <c r="G104">
        <v>81.599999999999994</v>
      </c>
      <c r="I104" s="3">
        <f t="shared" si="19"/>
        <v>81.600000000000009</v>
      </c>
      <c r="J104">
        <v>4.24</v>
      </c>
      <c r="L104">
        <v>4.83</v>
      </c>
      <c r="N104" s="6">
        <f t="shared" si="25"/>
        <v>4.24</v>
      </c>
      <c r="O104" s="3">
        <f t="shared" si="26"/>
        <v>99.764705882352942</v>
      </c>
      <c r="P104">
        <v>87.6</v>
      </c>
      <c r="S104">
        <f t="shared" si="20"/>
        <v>87.6</v>
      </c>
      <c r="T104" s="3">
        <f t="shared" si="21"/>
        <v>87.806603773584911</v>
      </c>
      <c r="U104" s="2">
        <v>-1.9187276239475399</v>
      </c>
      <c r="V104">
        <v>-1.16870507122495</v>
      </c>
      <c r="W104">
        <v>-1.5437163475862401</v>
      </c>
      <c r="X104">
        <v>-4.3167906715860296</v>
      </c>
      <c r="Y104" s="6">
        <f t="shared" si="28"/>
        <v>90.777202072538856</v>
      </c>
      <c r="Z104" s="6">
        <f t="shared" si="29"/>
        <v>97.434196891191704</v>
      </c>
      <c r="AA104" s="6">
        <f t="shared" si="30"/>
        <v>90.56310489783948</v>
      </c>
      <c r="AB104" s="3">
        <f t="shared" si="31"/>
        <v>20.649999999999995</v>
      </c>
      <c r="AC104" s="3">
        <f t="shared" si="27"/>
        <v>3.884837647058824</v>
      </c>
      <c r="AD104" s="3">
        <f t="shared" si="32"/>
        <v>0</v>
      </c>
      <c r="AE104" s="2">
        <v>77.187404430182795</v>
      </c>
      <c r="AF104" s="2">
        <v>86.651226603493498</v>
      </c>
      <c r="AG104" s="2">
        <v>0.11385316933624599</v>
      </c>
      <c r="AH104" s="2">
        <v>79.992196300871598</v>
      </c>
      <c r="AI104" s="2">
        <v>87.255634341156593</v>
      </c>
      <c r="AJ104" s="2"/>
      <c r="AK104" s="2"/>
      <c r="AL104" s="2"/>
      <c r="AM104" s="2"/>
      <c r="AN104" s="2"/>
      <c r="AO104" s="2"/>
      <c r="AP104" s="2"/>
      <c r="AR104" s="2">
        <v>-3.4178610804851198E-2</v>
      </c>
      <c r="AS104" s="2">
        <v>-2.58221162638076E-2</v>
      </c>
      <c r="AT104" s="2">
        <v>2.7707808564231499E-2</v>
      </c>
      <c r="AU104" s="2">
        <v>-2.1056788009411902E-2</v>
      </c>
    </row>
    <row r="105" spans="1:47" x14ac:dyDescent="0.25">
      <c r="A105">
        <v>1882</v>
      </c>
      <c r="B105">
        <v>9.91</v>
      </c>
      <c r="C105" s="3">
        <f t="shared" si="23"/>
        <v>34.266943291839553</v>
      </c>
      <c r="D105">
        <v>20.67</v>
      </c>
      <c r="E105" s="3">
        <f t="shared" si="24"/>
        <v>99.999999999999986</v>
      </c>
      <c r="F105" s="3">
        <f t="shared" si="22"/>
        <v>59.341317365269461</v>
      </c>
      <c r="G105">
        <v>85.7</v>
      </c>
      <c r="I105" s="3">
        <f t="shared" si="19"/>
        <v>85.700000000000017</v>
      </c>
      <c r="J105">
        <v>4.24</v>
      </c>
      <c r="L105">
        <v>4.87</v>
      </c>
      <c r="N105" s="6">
        <f t="shared" si="25"/>
        <v>4.24</v>
      </c>
      <c r="O105" s="3">
        <f t="shared" si="26"/>
        <v>99.764705882352942</v>
      </c>
      <c r="P105">
        <v>86.6</v>
      </c>
      <c r="S105">
        <f t="shared" si="20"/>
        <v>86.6</v>
      </c>
      <c r="T105" s="3">
        <f t="shared" si="21"/>
        <v>86.804245283018872</v>
      </c>
      <c r="U105" s="2">
        <v>1.9467042961102701</v>
      </c>
      <c r="V105">
        <v>-2.00224189630379</v>
      </c>
      <c r="W105">
        <v>-2.7768800096758601E-2</v>
      </c>
      <c r="X105">
        <v>-6.1442753228815601</v>
      </c>
      <c r="Y105" s="6">
        <f t="shared" si="28"/>
        <v>89.740932642487053</v>
      </c>
      <c r="Z105" s="6">
        <f t="shared" si="29"/>
        <v>97.119631548647092</v>
      </c>
      <c r="AA105" s="6">
        <f t="shared" si="30"/>
        <v>89.529279499462334</v>
      </c>
      <c r="AB105" s="3">
        <f t="shared" si="31"/>
        <v>20.649999999999995</v>
      </c>
      <c r="AC105" s="3">
        <f t="shared" si="27"/>
        <v>3.884837647058824</v>
      </c>
      <c r="AD105" s="3">
        <f t="shared" si="32"/>
        <v>0</v>
      </c>
      <c r="AE105" s="2">
        <v>75.937675493002402</v>
      </c>
      <c r="AF105" s="2">
        <v>84.304925745492994</v>
      </c>
      <c r="AG105" s="2">
        <v>4.2604698863236798E-2</v>
      </c>
      <c r="AH105" s="2">
        <v>80.337746893610202</v>
      </c>
      <c r="AI105" s="2">
        <v>85.3271958378307</v>
      </c>
      <c r="AJ105" s="2"/>
      <c r="AK105" s="2"/>
      <c r="AL105" s="2"/>
      <c r="AM105" s="2"/>
      <c r="AN105" s="2"/>
      <c r="AO105" s="2"/>
      <c r="AP105" s="2"/>
      <c r="AR105" s="2">
        <v>-1.14155251141552E-2</v>
      </c>
      <c r="AS105" s="2">
        <v>-2.6283451464663401E-2</v>
      </c>
      <c r="AT105" s="2">
        <v>5.0245098039215702E-2</v>
      </c>
      <c r="AU105" s="2">
        <v>-2.0550374379726601E-2</v>
      </c>
    </row>
    <row r="106" spans="1:47" x14ac:dyDescent="0.25">
      <c r="A106">
        <v>1883</v>
      </c>
      <c r="B106">
        <v>9.7100000000000009</v>
      </c>
      <c r="C106" s="3">
        <f t="shared" si="23"/>
        <v>33.57538035961273</v>
      </c>
      <c r="D106">
        <v>20.67</v>
      </c>
      <c r="E106" s="3">
        <f t="shared" si="24"/>
        <v>99.999999999999986</v>
      </c>
      <c r="F106" s="3">
        <f t="shared" si="22"/>
        <v>58.143712574850312</v>
      </c>
      <c r="G106">
        <v>80</v>
      </c>
      <c r="I106" s="3">
        <f t="shared" si="19"/>
        <v>80.000000000000014</v>
      </c>
      <c r="J106">
        <v>4.24</v>
      </c>
      <c r="L106">
        <v>4.8499999999999996</v>
      </c>
      <c r="N106" s="6">
        <f t="shared" si="25"/>
        <v>4.24</v>
      </c>
      <c r="O106" s="3">
        <f t="shared" si="26"/>
        <v>99.764705882352942</v>
      </c>
      <c r="P106">
        <v>84.5</v>
      </c>
      <c r="S106">
        <f t="shared" si="20"/>
        <v>84.5</v>
      </c>
      <c r="T106" s="3">
        <f t="shared" si="21"/>
        <v>84.699292452830193</v>
      </c>
      <c r="U106" s="2">
        <v>-3.9898132410866398</v>
      </c>
      <c r="V106">
        <v>-3.9440546852485898</v>
      </c>
      <c r="W106">
        <v>-3.9669339631676199</v>
      </c>
      <c r="X106">
        <v>-8.0561846008244409</v>
      </c>
      <c r="Y106" s="6">
        <f t="shared" si="28"/>
        <v>87.564766839378237</v>
      </c>
      <c r="Z106" s="6">
        <f t="shared" si="29"/>
        <v>94.375359815774317</v>
      </c>
      <c r="AA106" s="6">
        <f t="shared" si="30"/>
        <v>87.358246162870273</v>
      </c>
      <c r="AB106" s="3">
        <f t="shared" si="31"/>
        <v>20.649999999999995</v>
      </c>
      <c r="AC106" s="3">
        <f t="shared" si="27"/>
        <v>3.884837647058824</v>
      </c>
      <c r="AD106" s="3">
        <f t="shared" si="32"/>
        <v>0</v>
      </c>
      <c r="AE106" s="2">
        <v>74.497395383531497</v>
      </c>
      <c r="AF106" s="2">
        <v>82.001418395924603</v>
      </c>
      <c r="AG106" s="2">
        <v>-4.0528069548548901E-2</v>
      </c>
      <c r="AH106" s="2">
        <v>78.208804147514599</v>
      </c>
      <c r="AI106" s="2">
        <v>82.476528275153598</v>
      </c>
      <c r="AJ106" s="2"/>
      <c r="AK106" s="2"/>
      <c r="AL106" s="2"/>
      <c r="AM106" s="2"/>
      <c r="AN106" s="2"/>
      <c r="AO106" s="2"/>
      <c r="AP106" s="2"/>
      <c r="AR106" s="2">
        <v>-2.4249422632794299E-2</v>
      </c>
      <c r="AS106" s="2">
        <v>-2.64316784573378E-2</v>
      </c>
      <c r="AT106" s="2">
        <v>-6.6511085180863502E-2</v>
      </c>
      <c r="AU106" s="2">
        <v>-2.1446819733457401E-2</v>
      </c>
    </row>
    <row r="107" spans="1:47" x14ac:dyDescent="0.25">
      <c r="A107">
        <v>1884</v>
      </c>
      <c r="B107">
        <v>9.51</v>
      </c>
      <c r="C107" s="3">
        <f t="shared" si="23"/>
        <v>32.883817427385893</v>
      </c>
      <c r="D107">
        <v>20.67</v>
      </c>
      <c r="E107" s="3">
        <f t="shared" si="24"/>
        <v>99.999999999999986</v>
      </c>
      <c r="F107" s="3">
        <f t="shared" si="22"/>
        <v>56.946107784431142</v>
      </c>
      <c r="G107">
        <v>73.8</v>
      </c>
      <c r="I107" s="3">
        <f t="shared" si="19"/>
        <v>73.800000000000011</v>
      </c>
      <c r="J107">
        <v>4.24</v>
      </c>
      <c r="L107">
        <v>4.8499999999999996</v>
      </c>
      <c r="N107" s="6">
        <f t="shared" si="25"/>
        <v>4.24</v>
      </c>
      <c r="O107" s="3">
        <f t="shared" si="26"/>
        <v>99.764705882352942</v>
      </c>
      <c r="P107">
        <v>78.400000000000006</v>
      </c>
      <c r="S107">
        <f t="shared" si="20"/>
        <v>78.400000000000006</v>
      </c>
      <c r="T107" s="3">
        <f t="shared" si="21"/>
        <v>78.584905660377373</v>
      </c>
      <c r="U107" s="2">
        <v>-10.4279979415006</v>
      </c>
      <c r="V107">
        <v>-9.9242327642877193</v>
      </c>
      <c r="W107">
        <v>-10.1761153528942</v>
      </c>
      <c r="X107">
        <v>-10.016601377688101</v>
      </c>
      <c r="Y107" s="6">
        <f t="shared" si="28"/>
        <v>81.243523316062181</v>
      </c>
      <c r="Z107" s="6">
        <f t="shared" si="29"/>
        <v>87.562464018422574</v>
      </c>
      <c r="AA107" s="6">
        <f t="shared" si="30"/>
        <v>81.051911232769584</v>
      </c>
      <c r="AB107" s="3">
        <f t="shared" si="31"/>
        <v>20.649999999999995</v>
      </c>
      <c r="AC107" s="3">
        <f t="shared" si="27"/>
        <v>3.884837647058824</v>
      </c>
      <c r="AD107" s="3">
        <f t="shared" si="32"/>
        <v>0</v>
      </c>
      <c r="AE107" s="2">
        <v>72.889869249868696</v>
      </c>
      <c r="AF107" s="2">
        <v>79.789283209620095</v>
      </c>
      <c r="AG107" s="2">
        <v>-0.13226028246646801</v>
      </c>
      <c r="AH107" s="2">
        <v>74.502435982118001</v>
      </c>
      <c r="AI107" s="2">
        <v>78.894705603141603</v>
      </c>
      <c r="AJ107" s="2"/>
      <c r="AK107" s="2"/>
      <c r="AL107" s="2"/>
      <c r="AM107" s="2"/>
      <c r="AN107" s="2"/>
      <c r="AO107" s="2"/>
      <c r="AP107" s="2"/>
      <c r="AR107" s="2">
        <v>-7.2189349112425902E-2</v>
      </c>
      <c r="AS107" s="2">
        <v>-2.59404819799702E-2</v>
      </c>
      <c r="AT107" s="2">
        <v>-7.7499999999999999E-2</v>
      </c>
      <c r="AU107" s="2">
        <v>-2.2526125645800699E-2</v>
      </c>
    </row>
    <row r="108" spans="1:47" x14ac:dyDescent="0.25">
      <c r="A108">
        <v>1885</v>
      </c>
      <c r="B108">
        <v>9.32</v>
      </c>
      <c r="C108" s="3">
        <f t="shared" si="23"/>
        <v>32.2268326417704</v>
      </c>
      <c r="D108">
        <v>20.67</v>
      </c>
      <c r="E108" s="3">
        <f t="shared" si="24"/>
        <v>99.999999999999986</v>
      </c>
      <c r="F108" s="3">
        <f t="shared" si="22"/>
        <v>55.808383233532936</v>
      </c>
      <c r="G108">
        <v>67.5</v>
      </c>
      <c r="I108" s="3">
        <f t="shared" si="19"/>
        <v>67.500000000000014</v>
      </c>
      <c r="J108">
        <v>4.24</v>
      </c>
      <c r="L108">
        <v>4.8600000000000003</v>
      </c>
      <c r="N108" s="6">
        <f t="shared" si="25"/>
        <v>4.24</v>
      </c>
      <c r="O108" s="3">
        <f t="shared" si="26"/>
        <v>99.764705882352942</v>
      </c>
      <c r="P108">
        <v>74.2</v>
      </c>
      <c r="S108">
        <f t="shared" si="20"/>
        <v>74.2</v>
      </c>
      <c r="T108" s="3">
        <f t="shared" si="21"/>
        <v>74.375</v>
      </c>
      <c r="U108" s="2">
        <v>-16.967567511094</v>
      </c>
      <c r="V108">
        <v>-14.0028462991264</v>
      </c>
      <c r="W108">
        <v>-15.4852069051102</v>
      </c>
      <c r="X108">
        <v>-11.9487160193694</v>
      </c>
      <c r="Y108" s="6">
        <f t="shared" si="28"/>
        <v>76.891191709844563</v>
      </c>
      <c r="Z108" s="6">
        <f t="shared" si="29"/>
        <v>83.042487046632132</v>
      </c>
      <c r="AA108" s="6">
        <f t="shared" si="30"/>
        <v>76.709844559585505</v>
      </c>
      <c r="AB108" s="3">
        <f t="shared" si="31"/>
        <v>20.649999999999995</v>
      </c>
      <c r="AC108" s="3">
        <f t="shared" si="27"/>
        <v>3.884837647058824</v>
      </c>
      <c r="AD108" s="3">
        <f t="shared" si="32"/>
        <v>0</v>
      </c>
      <c r="AE108" s="2">
        <v>71.193428286277197</v>
      </c>
      <c r="AF108" s="2">
        <v>77.743784657452196</v>
      </c>
      <c r="AG108" s="2">
        <v>-0.17253153152940701</v>
      </c>
      <c r="AH108" s="2">
        <v>70.712775601115595</v>
      </c>
      <c r="AI108" s="2">
        <v>75.503959013426396</v>
      </c>
      <c r="AJ108" s="2"/>
      <c r="AK108" s="2"/>
      <c r="AL108" s="2"/>
      <c r="AM108" s="2"/>
      <c r="AN108" s="2"/>
      <c r="AO108" s="2"/>
      <c r="AP108" s="2"/>
      <c r="AR108" s="2">
        <v>-5.3571428571428603E-2</v>
      </c>
      <c r="AS108" s="2">
        <v>-2.4461724212454902E-2</v>
      </c>
      <c r="AT108" s="2">
        <v>-8.5365853658536495E-2</v>
      </c>
      <c r="AU108" s="2">
        <v>-2.3018936346427401E-2</v>
      </c>
    </row>
    <row r="109" spans="1:47" x14ac:dyDescent="0.25">
      <c r="A109">
        <v>1886</v>
      </c>
      <c r="B109">
        <v>9.1199999999999992</v>
      </c>
      <c r="C109" s="3">
        <f t="shared" si="23"/>
        <v>31.535269709543563</v>
      </c>
      <c r="D109">
        <v>20.67</v>
      </c>
      <c r="E109" s="3">
        <f t="shared" si="24"/>
        <v>99.999999999999986</v>
      </c>
      <c r="F109" s="3">
        <f t="shared" si="22"/>
        <v>54.610778443113766</v>
      </c>
      <c r="G109">
        <v>65</v>
      </c>
      <c r="I109" s="3">
        <f t="shared" si="19"/>
        <v>65.000000000000014</v>
      </c>
      <c r="J109">
        <v>4.24</v>
      </c>
      <c r="L109">
        <v>4.8600000000000003</v>
      </c>
      <c r="N109" s="6">
        <f t="shared" si="25"/>
        <v>4.24</v>
      </c>
      <c r="O109" s="3">
        <f t="shared" si="26"/>
        <v>99.764705882352942</v>
      </c>
      <c r="P109">
        <v>71.099999999999994</v>
      </c>
      <c r="S109">
        <f t="shared" si="20"/>
        <v>71.099999999999994</v>
      </c>
      <c r="T109" s="3">
        <f t="shared" si="21"/>
        <v>71.267688679245268</v>
      </c>
      <c r="U109" s="2">
        <v>-19.7082396558292</v>
      </c>
      <c r="V109">
        <v>-17.009946294947099</v>
      </c>
      <c r="W109">
        <v>-18.359092975388201</v>
      </c>
      <c r="X109">
        <v>-13.7773140315172</v>
      </c>
      <c r="Y109" s="6">
        <f t="shared" si="28"/>
        <v>73.67875647668393</v>
      </c>
      <c r="Z109" s="6">
        <f t="shared" si="29"/>
        <v>79.573056994818643</v>
      </c>
      <c r="AA109" s="6">
        <f t="shared" si="30"/>
        <v>73.504985824616284</v>
      </c>
      <c r="AB109" s="3">
        <f t="shared" si="31"/>
        <v>20.649999999999995</v>
      </c>
      <c r="AC109" s="3">
        <f t="shared" si="27"/>
        <v>3.884837647058824</v>
      </c>
      <c r="AD109" s="3">
        <f t="shared" si="32"/>
        <v>0</v>
      </c>
      <c r="AE109" s="2">
        <v>69.495504994521696</v>
      </c>
      <c r="AF109" s="2">
        <v>75.927894378197195</v>
      </c>
      <c r="AG109" s="2">
        <v>-0.13734559456123499</v>
      </c>
      <c r="AH109" s="2">
        <v>68.099810880829907</v>
      </c>
      <c r="AI109" s="2">
        <v>73.114951163258894</v>
      </c>
      <c r="AJ109" s="2"/>
      <c r="AK109" s="2"/>
      <c r="AL109" s="2"/>
      <c r="AM109" s="2"/>
      <c r="AN109" s="2"/>
      <c r="AO109" s="2"/>
      <c r="AP109" s="2"/>
      <c r="AR109" s="2">
        <v>-4.1778975741240003E-2</v>
      </c>
      <c r="AS109" s="2">
        <v>-2.21097560060107E-2</v>
      </c>
      <c r="AT109" s="2">
        <v>-3.7037037037037E-2</v>
      </c>
      <c r="AU109" s="2">
        <v>-2.2705634808550101E-2</v>
      </c>
    </row>
    <row r="110" spans="1:47" x14ac:dyDescent="0.25">
      <c r="A110">
        <v>1887</v>
      </c>
      <c r="B110">
        <v>9.2200000000000006</v>
      </c>
      <c r="C110" s="3">
        <f t="shared" si="23"/>
        <v>31.881051175656985</v>
      </c>
      <c r="D110">
        <v>20.67</v>
      </c>
      <c r="E110" s="3">
        <f t="shared" si="24"/>
        <v>99.999999999999986</v>
      </c>
      <c r="F110" s="3">
        <f t="shared" si="22"/>
        <v>55.209580838323362</v>
      </c>
      <c r="G110">
        <v>67.5</v>
      </c>
      <c r="I110" s="3">
        <f t="shared" si="19"/>
        <v>67.500000000000014</v>
      </c>
      <c r="J110">
        <v>4.24</v>
      </c>
      <c r="L110">
        <v>4.8499999999999996</v>
      </c>
      <c r="N110" s="6">
        <f t="shared" si="25"/>
        <v>4.24</v>
      </c>
      <c r="O110" s="3">
        <f t="shared" si="26"/>
        <v>99.764705882352942</v>
      </c>
      <c r="P110">
        <v>70.099999999999994</v>
      </c>
      <c r="S110">
        <f t="shared" si="20"/>
        <v>70.099999999999994</v>
      </c>
      <c r="T110" s="3">
        <f t="shared" si="21"/>
        <v>70.265330188679229</v>
      </c>
      <c r="U110" s="2">
        <v>-17.4497320816685</v>
      </c>
      <c r="V110">
        <v>-17.925564596409099</v>
      </c>
      <c r="W110">
        <v>-17.687648339038802</v>
      </c>
      <c r="X110">
        <v>-15.462545828637801</v>
      </c>
      <c r="Y110" s="6">
        <f t="shared" si="28"/>
        <v>72.642487046632112</v>
      </c>
      <c r="Z110" s="6">
        <f t="shared" si="29"/>
        <v>78.292458261370157</v>
      </c>
      <c r="AA110" s="6">
        <f t="shared" si="30"/>
        <v>72.471160426239123</v>
      </c>
      <c r="AB110" s="3">
        <f t="shared" si="31"/>
        <v>20.649999999999995</v>
      </c>
      <c r="AC110" s="3">
        <f t="shared" si="27"/>
        <v>3.884837647058824</v>
      </c>
      <c r="AD110" s="3">
        <f t="shared" si="32"/>
        <v>0</v>
      </c>
      <c r="AE110" s="2">
        <v>67.8465975935042</v>
      </c>
      <c r="AF110" s="2">
        <v>74.370646164057106</v>
      </c>
      <c r="AG110" s="2">
        <v>-0.129600116584033</v>
      </c>
      <c r="AH110" s="2">
        <v>66.852604497211303</v>
      </c>
      <c r="AI110" s="2">
        <v>72.1536917054149</v>
      </c>
      <c r="AJ110" s="2"/>
      <c r="AK110" s="2"/>
      <c r="AL110" s="2"/>
      <c r="AM110" s="2"/>
      <c r="AN110" s="2"/>
      <c r="AO110" s="2"/>
      <c r="AP110" s="2"/>
      <c r="AR110" s="2">
        <v>-1.4064697609001401E-2</v>
      </c>
      <c r="AS110" s="2">
        <v>-1.9290025255446E-2</v>
      </c>
      <c r="AT110" s="2">
        <v>3.8461538461538401E-2</v>
      </c>
      <c r="AU110" s="2">
        <v>-2.19900731785026E-2</v>
      </c>
    </row>
    <row r="111" spans="1:47" x14ac:dyDescent="0.25">
      <c r="A111">
        <v>1888</v>
      </c>
      <c r="B111">
        <v>9.2200000000000006</v>
      </c>
      <c r="C111" s="3">
        <f t="shared" si="23"/>
        <v>31.881051175656985</v>
      </c>
      <c r="D111">
        <v>20.67</v>
      </c>
      <c r="E111" s="3">
        <f t="shared" si="24"/>
        <v>99.999999999999986</v>
      </c>
      <c r="F111" s="3">
        <f t="shared" si="22"/>
        <v>55.209580838323362</v>
      </c>
      <c r="G111">
        <v>68.2</v>
      </c>
      <c r="I111" s="3">
        <f t="shared" si="19"/>
        <v>68.2</v>
      </c>
      <c r="J111">
        <v>4.24</v>
      </c>
      <c r="L111">
        <v>4.87</v>
      </c>
      <c r="N111" s="6">
        <f t="shared" si="25"/>
        <v>4.24</v>
      </c>
      <c r="O111" s="3">
        <f t="shared" si="26"/>
        <v>99.764705882352942</v>
      </c>
      <c r="P111">
        <v>72.2</v>
      </c>
      <c r="S111">
        <f t="shared" si="20"/>
        <v>72.2</v>
      </c>
      <c r="T111" s="3">
        <f t="shared" si="21"/>
        <v>72.370283018867923</v>
      </c>
      <c r="U111" s="2">
        <v>-16.991762494574498</v>
      </c>
      <c r="V111">
        <v>-15.7597138876488</v>
      </c>
      <c r="W111">
        <v>-16.375738191111601</v>
      </c>
      <c r="X111">
        <v>-17.0103796146763</v>
      </c>
      <c r="Y111" s="6">
        <f t="shared" si="28"/>
        <v>74.818652849740928</v>
      </c>
      <c r="Z111" s="6">
        <f t="shared" si="29"/>
        <v>80.970408750719628</v>
      </c>
      <c r="AA111" s="6">
        <f t="shared" si="30"/>
        <v>74.64219376283117</v>
      </c>
      <c r="AB111" s="3">
        <f t="shared" si="31"/>
        <v>20.649999999999995</v>
      </c>
      <c r="AC111" s="3">
        <f t="shared" si="27"/>
        <v>3.884837647058824</v>
      </c>
      <c r="AD111" s="3">
        <f t="shared" si="32"/>
        <v>0</v>
      </c>
      <c r="AE111" s="2">
        <v>66.252249252181102</v>
      </c>
      <c r="AF111" s="2">
        <v>73.054194863451798</v>
      </c>
      <c r="AG111" s="2">
        <v>-0.19418253252407799</v>
      </c>
      <c r="AH111" s="2">
        <v>66.126948832600405</v>
      </c>
      <c r="AI111" s="2">
        <v>72.421206571583596</v>
      </c>
      <c r="AJ111" s="2"/>
      <c r="AK111" s="2"/>
      <c r="AL111" s="2"/>
      <c r="AM111" s="2"/>
      <c r="AN111" s="2"/>
      <c r="AO111" s="2"/>
      <c r="AP111" s="2"/>
      <c r="AR111" s="2">
        <v>2.9957203994293899E-2</v>
      </c>
      <c r="AS111" s="2">
        <v>-1.6604672052921699E-2</v>
      </c>
      <c r="AT111" s="2">
        <v>1.03703703703704E-2</v>
      </c>
      <c r="AU111" s="2">
        <v>-2.1419417624903601E-2</v>
      </c>
    </row>
    <row r="112" spans="1:47" x14ac:dyDescent="0.25">
      <c r="A112">
        <v>1889</v>
      </c>
      <c r="B112">
        <v>8.92</v>
      </c>
      <c r="C112" s="3">
        <f t="shared" si="23"/>
        <v>30.843706777316733</v>
      </c>
      <c r="D112">
        <v>20.67</v>
      </c>
      <c r="E112" s="3">
        <f t="shared" si="24"/>
        <v>99.999999999999986</v>
      </c>
      <c r="F112" s="3">
        <f t="shared" si="22"/>
        <v>53.41317365269461</v>
      </c>
      <c r="G112">
        <v>64.099999999999994</v>
      </c>
      <c r="I112" s="3">
        <f t="shared" si="19"/>
        <v>64.099999999999994</v>
      </c>
      <c r="J112">
        <v>4.24</v>
      </c>
      <c r="L112">
        <v>4.87</v>
      </c>
      <c r="N112" s="6">
        <f t="shared" si="25"/>
        <v>4.24</v>
      </c>
      <c r="O112" s="3">
        <f t="shared" si="26"/>
        <v>99.764705882352942</v>
      </c>
      <c r="P112">
        <v>74.2</v>
      </c>
      <c r="S112">
        <f t="shared" si="20"/>
        <v>74.2</v>
      </c>
      <c r="T112" s="3">
        <f t="shared" si="21"/>
        <v>74.375</v>
      </c>
      <c r="U112" s="2">
        <v>-21.334048600509401</v>
      </c>
      <c r="V112">
        <v>-13.702387692279199</v>
      </c>
      <c r="W112">
        <v>-17.5182181463943</v>
      </c>
      <c r="X112">
        <v>-18.449034618681701</v>
      </c>
      <c r="Y112" s="6">
        <f t="shared" si="28"/>
        <v>76.891191709844563</v>
      </c>
      <c r="Z112" s="6">
        <f t="shared" si="29"/>
        <v>83.213356361542893</v>
      </c>
      <c r="AA112" s="6">
        <f t="shared" si="30"/>
        <v>76.709844559585505</v>
      </c>
      <c r="AB112" s="3">
        <f t="shared" si="31"/>
        <v>20.649999999999995</v>
      </c>
      <c r="AC112" s="3">
        <f t="shared" si="27"/>
        <v>3.884837647058824</v>
      </c>
      <c r="AD112" s="3">
        <f t="shared" si="32"/>
        <v>0</v>
      </c>
      <c r="AE112" s="2">
        <v>64.714537163574207</v>
      </c>
      <c r="AF112" s="2">
        <v>71.919388863160805</v>
      </c>
      <c r="AG112" s="2">
        <v>-0.18282619564031199</v>
      </c>
      <c r="AH112" s="2">
        <v>65.294434770267301</v>
      </c>
      <c r="AI112" s="2">
        <v>73.080624458315995</v>
      </c>
      <c r="AJ112" s="2"/>
      <c r="AK112" s="2"/>
      <c r="AL112" s="2"/>
      <c r="AM112" s="2"/>
      <c r="AN112" s="2"/>
      <c r="AO112" s="2"/>
      <c r="AP112" s="2"/>
      <c r="AR112" s="2">
        <v>2.7700831024930699E-2</v>
      </c>
      <c r="AS112" s="2">
        <v>-1.4603583214134099E-2</v>
      </c>
      <c r="AT112" s="2">
        <v>-6.0117302052786002E-2</v>
      </c>
      <c r="AU112" s="2">
        <v>-2.0936318199971399E-2</v>
      </c>
    </row>
    <row r="113" spans="1:47" x14ac:dyDescent="0.25">
      <c r="A113">
        <v>1890</v>
      </c>
      <c r="B113">
        <v>8.82</v>
      </c>
      <c r="C113" s="3">
        <f t="shared" si="23"/>
        <v>30.497925311203318</v>
      </c>
      <c r="D113">
        <v>20.67</v>
      </c>
      <c r="E113" s="3">
        <f t="shared" si="24"/>
        <v>99.999999999999986</v>
      </c>
      <c r="F113" s="3">
        <f t="shared" si="22"/>
        <v>52.814371257485035</v>
      </c>
      <c r="G113">
        <v>65</v>
      </c>
      <c r="I113" s="3">
        <f t="shared" si="19"/>
        <v>65.000000000000014</v>
      </c>
      <c r="J113">
        <v>4.24</v>
      </c>
      <c r="L113">
        <v>4.8600000000000003</v>
      </c>
      <c r="N113" s="6">
        <f t="shared" si="25"/>
        <v>4.24</v>
      </c>
      <c r="O113" s="3">
        <f t="shared" si="26"/>
        <v>99.764705882352942</v>
      </c>
      <c r="P113">
        <v>74.2</v>
      </c>
      <c r="S113">
        <f t="shared" si="20"/>
        <v>74.2</v>
      </c>
      <c r="T113" s="3">
        <f t="shared" si="21"/>
        <v>74.375</v>
      </c>
      <c r="U113" s="2">
        <v>-20.676308105435599</v>
      </c>
      <c r="V113">
        <v>-13.6735603733906</v>
      </c>
      <c r="W113">
        <v>-17.174934239413101</v>
      </c>
      <c r="X113">
        <v>-19.800383655467499</v>
      </c>
      <c r="Y113" s="6">
        <f t="shared" si="28"/>
        <v>76.891191709844563</v>
      </c>
      <c r="Z113" s="6">
        <f t="shared" si="29"/>
        <v>83.042487046632132</v>
      </c>
      <c r="AA113" s="6">
        <f t="shared" si="30"/>
        <v>76.709844559585505</v>
      </c>
      <c r="AB113" s="3">
        <f t="shared" si="31"/>
        <v>20.649999999999995</v>
      </c>
      <c r="AC113" s="3">
        <f t="shared" si="27"/>
        <v>3.884837647058824</v>
      </c>
      <c r="AD113" s="3">
        <f t="shared" si="32"/>
        <v>0</v>
      </c>
      <c r="AE113" s="2">
        <v>63.255016028183199</v>
      </c>
      <c r="AF113" s="2">
        <v>70.899934601328795</v>
      </c>
      <c r="AG113" s="2">
        <v>-0.19158360594510301</v>
      </c>
      <c r="AH113" s="2">
        <v>64.417670249281898</v>
      </c>
      <c r="AI113" s="2">
        <v>73.268005204968404</v>
      </c>
      <c r="AJ113" s="2"/>
      <c r="AK113" s="2"/>
      <c r="AL113" s="2"/>
      <c r="AM113" s="2"/>
      <c r="AN113" s="2"/>
      <c r="AO113" s="2"/>
      <c r="AP113" s="2"/>
      <c r="AR113" s="2">
        <v>0</v>
      </c>
      <c r="AS113" s="2">
        <v>-1.3371026794307401E-2</v>
      </c>
      <c r="AT113" s="2">
        <v>1.4040561622464901E-2</v>
      </c>
      <c r="AU113" s="2">
        <v>-2.0165527075971398E-2</v>
      </c>
    </row>
    <row r="114" spans="1:47" x14ac:dyDescent="0.25">
      <c r="A114">
        <v>1891</v>
      </c>
      <c r="B114">
        <v>8.82</v>
      </c>
      <c r="C114" s="3">
        <f t="shared" si="23"/>
        <v>30.497925311203318</v>
      </c>
      <c r="D114">
        <v>20.67</v>
      </c>
      <c r="E114" s="3">
        <f t="shared" si="24"/>
        <v>99.999999999999986</v>
      </c>
      <c r="F114" s="3">
        <f t="shared" si="22"/>
        <v>52.814371257485035</v>
      </c>
      <c r="G114">
        <v>64.599999999999994</v>
      </c>
      <c r="I114" s="3">
        <f t="shared" si="19"/>
        <v>64.599999999999994</v>
      </c>
      <c r="J114">
        <v>4.25</v>
      </c>
      <c r="L114">
        <v>4.8600000000000003</v>
      </c>
      <c r="N114" s="6">
        <f t="shared" si="25"/>
        <v>4.25</v>
      </c>
      <c r="O114" s="3">
        <f t="shared" si="26"/>
        <v>100</v>
      </c>
      <c r="P114">
        <v>74.2</v>
      </c>
      <c r="S114">
        <f t="shared" si="20"/>
        <v>74.2</v>
      </c>
      <c r="T114" s="3">
        <f t="shared" si="21"/>
        <v>74.2</v>
      </c>
      <c r="U114" s="2">
        <v>-21.318258715315501</v>
      </c>
      <c r="V114">
        <v>-13.8431871335506</v>
      </c>
      <c r="W114">
        <v>-17.580722924433001</v>
      </c>
      <c r="X114">
        <v>-21.076991375123999</v>
      </c>
      <c r="Y114" s="6">
        <f t="shared" si="28"/>
        <v>76.891191709844563</v>
      </c>
      <c r="Z114" s="6">
        <f t="shared" si="29"/>
        <v>83.042487046632132</v>
      </c>
      <c r="AA114" s="6">
        <f t="shared" si="30"/>
        <v>76.529350807680601</v>
      </c>
      <c r="AB114" s="3">
        <f t="shared" si="31"/>
        <v>20.649999999999995</v>
      </c>
      <c r="AC114" s="3">
        <f t="shared" si="27"/>
        <v>3.8940000000000001</v>
      </c>
      <c r="AD114" s="3">
        <f t="shared" si="32"/>
        <v>0</v>
      </c>
      <c r="AE114" s="2">
        <v>61.889095174872097</v>
      </c>
      <c r="AF114" s="2">
        <v>69.953844627469294</v>
      </c>
      <c r="AG114" s="2">
        <v>-0.26304207435516203</v>
      </c>
      <c r="AH114" s="2">
        <v>63.1611182852916</v>
      </c>
      <c r="AI114" s="2">
        <v>72.542533831458499</v>
      </c>
      <c r="AJ114" s="2"/>
      <c r="AK114" s="2"/>
      <c r="AL114" s="2"/>
      <c r="AM114" s="2"/>
      <c r="AN114" s="2"/>
      <c r="AO114" s="2"/>
      <c r="AP114" s="2"/>
      <c r="AR114" s="2">
        <v>0</v>
      </c>
      <c r="AS114" s="2">
        <v>-1.2568226706275099E-2</v>
      </c>
      <c r="AT114" s="2">
        <v>-6.1538461538462397E-3</v>
      </c>
      <c r="AU114" s="2">
        <v>-1.9123606263697399E-2</v>
      </c>
    </row>
    <row r="115" spans="1:47" x14ac:dyDescent="0.25">
      <c r="A115">
        <v>1892</v>
      </c>
      <c r="B115">
        <v>8.82</v>
      </c>
      <c r="C115" s="3">
        <f t="shared" si="23"/>
        <v>30.497925311203318</v>
      </c>
      <c r="D115">
        <v>20.67</v>
      </c>
      <c r="E115" s="3">
        <f t="shared" si="24"/>
        <v>99.999999999999986</v>
      </c>
      <c r="F115" s="3">
        <f t="shared" si="22"/>
        <v>52.814371257485035</v>
      </c>
      <c r="G115">
        <v>60.3</v>
      </c>
      <c r="I115" s="3">
        <f t="shared" si="19"/>
        <v>60.300000000000011</v>
      </c>
      <c r="J115">
        <v>4.25</v>
      </c>
      <c r="L115">
        <v>4.87</v>
      </c>
      <c r="N115" s="6">
        <f t="shared" si="25"/>
        <v>4.25</v>
      </c>
      <c r="O115" s="3">
        <f t="shared" si="26"/>
        <v>100</v>
      </c>
      <c r="P115">
        <v>70.099999999999994</v>
      </c>
      <c r="S115">
        <f t="shared" si="20"/>
        <v>70.099999999999994</v>
      </c>
      <c r="T115" s="3">
        <f t="shared" si="21"/>
        <v>70.099999999999994</v>
      </c>
      <c r="U115" s="2">
        <v>-25.859618136111401</v>
      </c>
      <c r="V115">
        <v>-17.951204014803199</v>
      </c>
      <c r="W115">
        <v>-21.905411075457302</v>
      </c>
      <c r="X115">
        <v>-22.265167933581399</v>
      </c>
      <c r="Y115" s="6">
        <f t="shared" si="28"/>
        <v>72.642487046632112</v>
      </c>
      <c r="Z115" s="6">
        <f t="shared" si="29"/>
        <v>78.615313759355189</v>
      </c>
      <c r="AA115" s="6">
        <f t="shared" si="30"/>
        <v>72.300640048765629</v>
      </c>
      <c r="AB115" s="3">
        <f t="shared" si="31"/>
        <v>20.649999999999995</v>
      </c>
      <c r="AC115" s="3">
        <f t="shared" si="27"/>
        <v>3.8940000000000001</v>
      </c>
      <c r="AD115" s="3">
        <f t="shared" si="32"/>
        <v>0</v>
      </c>
      <c r="AE115" s="2">
        <v>60.649633772223098</v>
      </c>
      <c r="AF115" s="2">
        <v>69.0736321450822</v>
      </c>
      <c r="AG115" s="2">
        <v>-0.23941539795379699</v>
      </c>
      <c r="AH115" s="2">
        <v>61.383351810849902</v>
      </c>
      <c r="AI115" s="2">
        <v>70.824060289381293</v>
      </c>
      <c r="AJ115" s="2"/>
      <c r="AK115" s="2"/>
      <c r="AL115" s="2"/>
      <c r="AM115" s="2"/>
      <c r="AN115" s="2"/>
      <c r="AO115" s="2"/>
      <c r="AP115" s="2"/>
      <c r="AR115" s="2">
        <v>-5.5256064690027001E-2</v>
      </c>
      <c r="AS115" s="2">
        <v>-1.1722696594927799E-2</v>
      </c>
      <c r="AT115" s="2">
        <v>-6.6563467492259998E-2</v>
      </c>
      <c r="AU115" s="2">
        <v>-1.7485056886958599E-2</v>
      </c>
    </row>
    <row r="116" spans="1:47" x14ac:dyDescent="0.25">
      <c r="A116">
        <v>1893</v>
      </c>
      <c r="B116">
        <v>8.7200000000000006</v>
      </c>
      <c r="C116" s="3">
        <f t="shared" si="23"/>
        <v>30.152143845089906</v>
      </c>
      <c r="D116">
        <v>20.67</v>
      </c>
      <c r="E116" s="3">
        <f t="shared" si="24"/>
        <v>99.999999999999986</v>
      </c>
      <c r="F116" s="3">
        <f t="shared" si="22"/>
        <v>52.215568862275461</v>
      </c>
      <c r="G116">
        <v>61.9</v>
      </c>
      <c r="I116" s="3">
        <f t="shared" si="19"/>
        <v>61.900000000000006</v>
      </c>
      <c r="J116">
        <v>4.25</v>
      </c>
      <c r="L116">
        <v>4.8600000000000003</v>
      </c>
      <c r="N116" s="6">
        <f t="shared" si="25"/>
        <v>4.25</v>
      </c>
      <c r="O116" s="3">
        <f t="shared" si="26"/>
        <v>100</v>
      </c>
      <c r="P116">
        <v>70.099999999999994</v>
      </c>
      <c r="S116">
        <f t="shared" si="20"/>
        <v>70.099999999999994</v>
      </c>
      <c r="T116" s="3">
        <f t="shared" si="21"/>
        <v>70.099999999999994</v>
      </c>
      <c r="U116" s="2">
        <v>-24.5001040737857</v>
      </c>
      <c r="V116">
        <v>-17.977527898669599</v>
      </c>
      <c r="W116">
        <v>-21.2388159862276</v>
      </c>
      <c r="X116">
        <v>-23.3162608022627</v>
      </c>
      <c r="Y116" s="6">
        <f t="shared" si="28"/>
        <v>72.642487046632112</v>
      </c>
      <c r="Z116" s="6">
        <f t="shared" si="29"/>
        <v>78.45388601036268</v>
      </c>
      <c r="AA116" s="6">
        <f t="shared" si="30"/>
        <v>72.300640048765629</v>
      </c>
      <c r="AB116" s="3">
        <f t="shared" si="31"/>
        <v>20.649999999999995</v>
      </c>
      <c r="AC116" s="3">
        <f t="shared" si="27"/>
        <v>3.8940000000000001</v>
      </c>
      <c r="AD116" s="3">
        <f t="shared" si="32"/>
        <v>0</v>
      </c>
      <c r="AE116" s="2">
        <v>59.596600037069898</v>
      </c>
      <c r="AF116" s="2">
        <v>68.295771911392706</v>
      </c>
      <c r="AG116" s="2">
        <v>-0.35289624969302702</v>
      </c>
      <c r="AH116" s="2">
        <v>59.422570996746401</v>
      </c>
      <c r="AI116" s="2">
        <v>68.634923253178698</v>
      </c>
      <c r="AJ116" s="2">
        <v>69</v>
      </c>
      <c r="AK116" s="2">
        <v>60</v>
      </c>
      <c r="AL116" s="2"/>
      <c r="AM116" s="2"/>
      <c r="AN116" s="2"/>
      <c r="AO116" s="2"/>
      <c r="AP116" s="2"/>
      <c r="AR116" s="2">
        <v>0</v>
      </c>
      <c r="AS116" s="2">
        <v>-1.02362678380931E-2</v>
      </c>
      <c r="AT116" s="2">
        <v>2.6533996683250401E-2</v>
      </c>
      <c r="AU116" s="2">
        <v>-1.47946824684659E-2</v>
      </c>
    </row>
    <row r="117" spans="1:47" x14ac:dyDescent="0.25">
      <c r="A117">
        <v>1894</v>
      </c>
      <c r="B117">
        <v>8.34</v>
      </c>
      <c r="C117" s="3">
        <f t="shared" si="23"/>
        <v>28.838174273858918</v>
      </c>
      <c r="D117">
        <v>20.67</v>
      </c>
      <c r="E117" s="3">
        <f t="shared" si="24"/>
        <v>99.999999999999986</v>
      </c>
      <c r="F117" s="3">
        <f t="shared" si="22"/>
        <v>49.940119760479043</v>
      </c>
      <c r="G117">
        <v>55.4</v>
      </c>
      <c r="I117" s="3">
        <f t="shared" si="19"/>
        <v>55.400000000000006</v>
      </c>
      <c r="J117">
        <v>4.24</v>
      </c>
      <c r="L117">
        <v>4.88</v>
      </c>
      <c r="N117" s="6">
        <f t="shared" si="25"/>
        <v>4.24</v>
      </c>
      <c r="O117" s="3">
        <f t="shared" si="26"/>
        <v>99.764705882352942</v>
      </c>
      <c r="P117">
        <v>64.900000000000006</v>
      </c>
      <c r="S117">
        <f t="shared" si="20"/>
        <v>64.900000000000006</v>
      </c>
      <c r="T117" s="3">
        <f t="shared" si="21"/>
        <v>65.05306603773586</v>
      </c>
      <c r="U117" s="2">
        <v>-31.239434234300901</v>
      </c>
      <c r="V117">
        <v>-23.072056506148101</v>
      </c>
      <c r="W117">
        <v>-27.155745370224501</v>
      </c>
      <c r="X117">
        <v>-24.1780198840097</v>
      </c>
      <c r="Y117" s="6">
        <f t="shared" si="28"/>
        <v>67.253886010362706</v>
      </c>
      <c r="Z117" s="6">
        <f t="shared" si="29"/>
        <v>72.933103051237765</v>
      </c>
      <c r="AA117" s="6">
        <f t="shared" si="30"/>
        <v>67.095268354677899</v>
      </c>
      <c r="AB117" s="3">
        <f t="shared" si="31"/>
        <v>20.649999999999995</v>
      </c>
      <c r="AC117" s="3">
        <f t="shared" si="27"/>
        <v>3.884837647058824</v>
      </c>
      <c r="AD117" s="3">
        <f t="shared" si="32"/>
        <v>0</v>
      </c>
      <c r="AE117" s="2">
        <v>58.786465848523598</v>
      </c>
      <c r="AF117" s="2">
        <v>67.668402362175399</v>
      </c>
      <c r="AG117" s="2">
        <v>-0.335747965386129</v>
      </c>
      <c r="AH117" s="2">
        <v>57.255858743487302</v>
      </c>
      <c r="AI117" s="2">
        <v>66.302774634165601</v>
      </c>
      <c r="AJ117" s="2"/>
      <c r="AK117" s="2"/>
      <c r="AL117" s="2"/>
      <c r="AM117" s="2"/>
      <c r="AN117" s="2"/>
      <c r="AO117" s="2"/>
      <c r="AP117" s="2"/>
      <c r="AR117" s="2">
        <v>-7.4179743223965602E-2</v>
      </c>
      <c r="AS117" s="2">
        <v>-7.9461054945498804E-3</v>
      </c>
      <c r="AT117" s="2">
        <v>-0.105008077544426</v>
      </c>
      <c r="AU117" s="2">
        <v>-1.10880706369831E-2</v>
      </c>
    </row>
    <row r="118" spans="1:47" x14ac:dyDescent="0.25">
      <c r="A118">
        <v>1895</v>
      </c>
      <c r="B118">
        <v>8.14</v>
      </c>
      <c r="C118" s="3">
        <f t="shared" si="23"/>
        <v>28.146611341632088</v>
      </c>
      <c r="D118">
        <v>20.67</v>
      </c>
      <c r="E118" s="3">
        <f t="shared" si="24"/>
        <v>99.999999999999986</v>
      </c>
      <c r="F118" s="3">
        <f t="shared" si="22"/>
        <v>48.742514970059879</v>
      </c>
      <c r="G118">
        <v>56.5</v>
      </c>
      <c r="I118" s="3">
        <f t="shared" si="19"/>
        <v>56.500000000000007</v>
      </c>
      <c r="J118">
        <v>4.24</v>
      </c>
      <c r="L118">
        <v>4.8899999999999997</v>
      </c>
      <c r="N118" s="6">
        <f t="shared" si="25"/>
        <v>4.24</v>
      </c>
      <c r="O118" s="3">
        <f t="shared" si="26"/>
        <v>99.764705882352942</v>
      </c>
      <c r="P118">
        <v>63.9</v>
      </c>
      <c r="S118">
        <f t="shared" si="20"/>
        <v>63.9</v>
      </c>
      <c r="T118" s="3">
        <f t="shared" si="21"/>
        <v>64.050707547169807</v>
      </c>
      <c r="U118" s="2">
        <v>-30.3773263236193</v>
      </c>
      <c r="V118">
        <v>-24.134668397713799</v>
      </c>
      <c r="W118">
        <v>-27.255997360666498</v>
      </c>
      <c r="X118">
        <v>-24.777420633503901</v>
      </c>
      <c r="Y118" s="6">
        <f t="shared" si="28"/>
        <v>66.217616580310874</v>
      </c>
      <c r="Z118" s="6">
        <f t="shared" si="29"/>
        <v>71.956476683937822</v>
      </c>
      <c r="AA118" s="6">
        <f t="shared" si="30"/>
        <v>66.061442956300709</v>
      </c>
      <c r="AB118" s="3">
        <f t="shared" si="31"/>
        <v>20.649999999999995</v>
      </c>
      <c r="AC118" s="3">
        <f t="shared" si="27"/>
        <v>3.884837647058824</v>
      </c>
      <c r="AD118" s="3">
        <f t="shared" si="32"/>
        <v>0</v>
      </c>
      <c r="AE118" s="2">
        <v>58.298737085324703</v>
      </c>
      <c r="AF118" s="2">
        <v>67.259104214090698</v>
      </c>
      <c r="AG118" s="2">
        <v>-0.38719401879785598</v>
      </c>
      <c r="AH118" s="2">
        <v>55.686107619330102</v>
      </c>
      <c r="AI118" s="2">
        <v>64.690291925930595</v>
      </c>
      <c r="AJ118" s="2"/>
      <c r="AK118" s="2"/>
      <c r="AL118" s="2"/>
      <c r="AM118" s="2"/>
      <c r="AN118" s="2"/>
      <c r="AO118" s="2"/>
      <c r="AP118" s="2"/>
      <c r="AR118" s="2">
        <v>-1.5408320493066299E-2</v>
      </c>
      <c r="AS118" s="2">
        <v>-4.5870119446957697E-3</v>
      </c>
      <c r="AT118" s="2">
        <v>1.9855595667869999E-2</v>
      </c>
      <c r="AU118" s="2">
        <v>-5.9875222297568797E-3</v>
      </c>
    </row>
    <row r="119" spans="1:47" x14ac:dyDescent="0.25">
      <c r="A119">
        <v>1896</v>
      </c>
      <c r="B119">
        <v>8.14</v>
      </c>
      <c r="C119" s="3">
        <f t="shared" si="23"/>
        <v>28.146611341632088</v>
      </c>
      <c r="D119">
        <v>20.67</v>
      </c>
      <c r="E119" s="3">
        <f t="shared" si="24"/>
        <v>99.999999999999986</v>
      </c>
      <c r="F119" s="3">
        <f t="shared" si="22"/>
        <v>48.742514970059879</v>
      </c>
      <c r="G119">
        <v>53.8</v>
      </c>
      <c r="I119" s="3">
        <f t="shared" si="19"/>
        <v>53.800000000000004</v>
      </c>
      <c r="J119">
        <v>4.25</v>
      </c>
      <c r="L119">
        <v>4.87</v>
      </c>
      <c r="N119" s="6">
        <f t="shared" si="25"/>
        <v>4.25</v>
      </c>
      <c r="O119" s="3">
        <f t="shared" si="26"/>
        <v>100</v>
      </c>
      <c r="P119">
        <v>62.9</v>
      </c>
      <c r="S119">
        <f t="shared" si="20"/>
        <v>62.9</v>
      </c>
      <c r="T119" s="3">
        <f t="shared" si="21"/>
        <v>62.9</v>
      </c>
      <c r="U119" s="2">
        <v>-33.313498047703199</v>
      </c>
      <c r="V119">
        <v>-25.3652229733189</v>
      </c>
      <c r="W119">
        <v>-29.339360510511</v>
      </c>
      <c r="X119">
        <v>-25.071215760288801</v>
      </c>
      <c r="Y119" s="6">
        <f t="shared" si="28"/>
        <v>65.181347150259072</v>
      </c>
      <c r="Z119" s="6">
        <f t="shared" si="29"/>
        <v>70.540702360391478</v>
      </c>
      <c r="AA119" s="6">
        <f t="shared" si="30"/>
        <v>64.874611398963751</v>
      </c>
      <c r="AB119" s="3">
        <f t="shared" si="31"/>
        <v>20.649999999999995</v>
      </c>
      <c r="AC119" s="3">
        <f t="shared" si="27"/>
        <v>3.8940000000000001</v>
      </c>
      <c r="AD119" s="3">
        <f t="shared" si="32"/>
        <v>0</v>
      </c>
      <c r="AE119" s="2">
        <v>58.179054967728497</v>
      </c>
      <c r="AF119" s="2">
        <v>67.109074160177698</v>
      </c>
      <c r="AG119" s="2">
        <v>-0.38963265160420801</v>
      </c>
      <c r="AH119" s="2">
        <v>54.897590611369701</v>
      </c>
      <c r="AI119" s="2">
        <v>64.235894410673694</v>
      </c>
      <c r="AJ119" s="2"/>
      <c r="AK119" s="2"/>
      <c r="AL119" s="2"/>
      <c r="AM119" s="2"/>
      <c r="AN119" s="2"/>
      <c r="AO119" s="2"/>
      <c r="AP119" s="2"/>
      <c r="AR119" s="2">
        <v>-1.56494522691705E-2</v>
      </c>
      <c r="AS119" s="2">
        <v>-5.5612594622275399E-4</v>
      </c>
      <c r="AT119" s="2">
        <v>-4.7787610619468998E-2</v>
      </c>
      <c r="AU119" s="2">
        <v>-5.4538153108232898E-5</v>
      </c>
    </row>
    <row r="120" spans="1:47" x14ac:dyDescent="0.25">
      <c r="A120">
        <v>1897</v>
      </c>
      <c r="B120">
        <v>8.0399999999999991</v>
      </c>
      <c r="C120" s="3">
        <f t="shared" si="23"/>
        <v>27.800829875518666</v>
      </c>
      <c r="D120">
        <v>20.67</v>
      </c>
      <c r="E120" s="3">
        <f t="shared" si="24"/>
        <v>99.999999999999986</v>
      </c>
      <c r="F120" s="3">
        <f t="shared" si="22"/>
        <v>48.143712574850298</v>
      </c>
      <c r="G120">
        <v>53.8</v>
      </c>
      <c r="I120" s="3">
        <f t="shared" si="19"/>
        <v>53.800000000000004</v>
      </c>
      <c r="J120">
        <v>4.25</v>
      </c>
      <c r="L120">
        <v>4.8600000000000003</v>
      </c>
      <c r="N120" s="6">
        <f t="shared" si="25"/>
        <v>4.25</v>
      </c>
      <c r="O120" s="3">
        <f t="shared" si="26"/>
        <v>100</v>
      </c>
      <c r="P120">
        <v>63.9</v>
      </c>
      <c r="S120">
        <f t="shared" si="20"/>
        <v>63.9</v>
      </c>
      <c r="T120" s="3">
        <f t="shared" si="21"/>
        <v>63.9</v>
      </c>
      <c r="U120" s="2">
        <v>-33.5476671125151</v>
      </c>
      <c r="V120">
        <v>-24.4635604723927</v>
      </c>
      <c r="W120">
        <v>-29.0056137924539</v>
      </c>
      <c r="X120">
        <v>-25.040943741179799</v>
      </c>
      <c r="Y120" s="6">
        <f t="shared" si="28"/>
        <v>66.217616580310874</v>
      </c>
      <c r="Z120" s="6">
        <f t="shared" si="29"/>
        <v>71.515025906735744</v>
      </c>
      <c r="AA120" s="6">
        <f t="shared" si="30"/>
        <v>65.906004266991772</v>
      </c>
      <c r="AB120" s="3">
        <f t="shared" si="31"/>
        <v>20.649999999999995</v>
      </c>
      <c r="AC120" s="3">
        <f t="shared" si="27"/>
        <v>3.8940000000000001</v>
      </c>
      <c r="AD120" s="3">
        <f t="shared" si="32"/>
        <v>0</v>
      </c>
      <c r="AE120" s="2">
        <v>58.455073345137201</v>
      </c>
      <c r="AF120" s="2">
        <v>67.227217851334203</v>
      </c>
      <c r="AG120" s="2">
        <v>-0.35016231747339799</v>
      </c>
      <c r="AH120" s="2">
        <v>55.3458781669244</v>
      </c>
      <c r="AI120" s="2">
        <v>65.157904061951299</v>
      </c>
      <c r="AJ120" s="2"/>
      <c r="AK120" s="2"/>
      <c r="AL120" s="2"/>
      <c r="AM120" s="2"/>
      <c r="AN120" s="2"/>
      <c r="AO120" s="2"/>
      <c r="AP120" s="2"/>
      <c r="AR120" s="2">
        <v>1.58982511923688E-2</v>
      </c>
      <c r="AS120" s="2">
        <v>3.6412006576935201E-3</v>
      </c>
      <c r="AT120" s="2">
        <v>0</v>
      </c>
      <c r="AU120" s="2">
        <v>6.4078118656179898E-3</v>
      </c>
    </row>
    <row r="121" spans="1:47" x14ac:dyDescent="0.25">
      <c r="A121">
        <v>1898</v>
      </c>
      <c r="B121">
        <v>8.0399999999999991</v>
      </c>
      <c r="C121" s="3">
        <f t="shared" si="23"/>
        <v>27.800829875518666</v>
      </c>
      <c r="D121">
        <v>20.67</v>
      </c>
      <c r="E121" s="3">
        <f t="shared" si="24"/>
        <v>99.999999999999986</v>
      </c>
      <c r="F121" s="3">
        <f t="shared" si="22"/>
        <v>48.143712574850298</v>
      </c>
      <c r="G121">
        <v>56.1</v>
      </c>
      <c r="I121" s="3">
        <f t="shared" si="19"/>
        <v>56.100000000000009</v>
      </c>
      <c r="J121">
        <v>4.25</v>
      </c>
      <c r="L121">
        <v>4.8499999999999996</v>
      </c>
      <c r="N121" s="6">
        <f t="shared" si="25"/>
        <v>4.25</v>
      </c>
      <c r="O121" s="3">
        <f t="shared" si="26"/>
        <v>100</v>
      </c>
      <c r="P121">
        <v>66</v>
      </c>
      <c r="S121">
        <f t="shared" si="20"/>
        <v>66</v>
      </c>
      <c r="T121" s="3">
        <f t="shared" si="21"/>
        <v>66</v>
      </c>
      <c r="U121" s="2">
        <v>-31.4795512240172</v>
      </c>
      <c r="V121">
        <v>-22.479501973841199</v>
      </c>
      <c r="W121">
        <v>-26.979526598929201</v>
      </c>
      <c r="X121">
        <v>-24.710824500494201</v>
      </c>
      <c r="Y121" s="6">
        <f t="shared" si="28"/>
        <v>68.393782383419691</v>
      </c>
      <c r="Z121" s="6">
        <f t="shared" si="29"/>
        <v>73.713298791019</v>
      </c>
      <c r="AA121" s="6">
        <f t="shared" si="30"/>
        <v>68.071929289850672</v>
      </c>
      <c r="AB121" s="3">
        <f t="shared" si="31"/>
        <v>20.649999999999995</v>
      </c>
      <c r="AC121" s="3">
        <f t="shared" si="27"/>
        <v>3.8940000000000001</v>
      </c>
      <c r="AD121" s="3">
        <f t="shared" si="32"/>
        <v>0</v>
      </c>
      <c r="AE121" s="2">
        <v>59.110655517275497</v>
      </c>
      <c r="AF121" s="2">
        <v>67.580950196856307</v>
      </c>
      <c r="AG121" s="2">
        <v>-0.28030504396723299</v>
      </c>
      <c r="AH121" s="2">
        <v>57.120677196189298</v>
      </c>
      <c r="AI121" s="2">
        <v>67.249344716428695</v>
      </c>
      <c r="AJ121" s="2"/>
      <c r="AK121" s="2"/>
      <c r="AL121" s="2"/>
      <c r="AM121" s="2"/>
      <c r="AN121" s="2"/>
      <c r="AO121" s="2"/>
      <c r="AP121" s="2"/>
      <c r="AR121" s="2">
        <v>3.2863849765258198E-2</v>
      </c>
      <c r="AS121" s="2">
        <v>7.3486827606479297E-3</v>
      </c>
      <c r="AT121" s="2">
        <v>4.2750929368029801E-2</v>
      </c>
      <c r="AU121" s="2">
        <v>1.26191273744133E-2</v>
      </c>
    </row>
    <row r="122" spans="1:47" x14ac:dyDescent="0.25">
      <c r="A122">
        <v>1899</v>
      </c>
      <c r="B122">
        <v>8.0399999999999991</v>
      </c>
      <c r="C122" s="3">
        <f t="shared" si="23"/>
        <v>27.800829875518666</v>
      </c>
      <c r="D122">
        <v>20.67</v>
      </c>
      <c r="E122" s="3">
        <f t="shared" si="24"/>
        <v>99.999999999999986</v>
      </c>
      <c r="F122" s="3">
        <f t="shared" si="22"/>
        <v>48.143712574850298</v>
      </c>
      <c r="G122">
        <v>60.3</v>
      </c>
      <c r="I122" s="3">
        <f t="shared" si="19"/>
        <v>60.300000000000011</v>
      </c>
      <c r="J122">
        <v>4.24</v>
      </c>
      <c r="L122">
        <v>4.8600000000000003</v>
      </c>
      <c r="N122" s="6">
        <f t="shared" si="25"/>
        <v>4.24</v>
      </c>
      <c r="O122" s="3">
        <f t="shared" si="26"/>
        <v>99.764705882352942</v>
      </c>
      <c r="P122">
        <v>70.099999999999994</v>
      </c>
      <c r="S122">
        <f t="shared" si="20"/>
        <v>70.099999999999994</v>
      </c>
      <c r="T122" s="3">
        <f t="shared" si="21"/>
        <v>70.265330188679229</v>
      </c>
      <c r="U122" s="2">
        <v>-27.5088680881721</v>
      </c>
      <c r="V122">
        <v>-18.342849396047701</v>
      </c>
      <c r="W122">
        <v>-22.925858742109899</v>
      </c>
      <c r="X122">
        <v>-24.144724663062402</v>
      </c>
      <c r="Y122" s="6">
        <f t="shared" si="28"/>
        <v>72.642487046632112</v>
      </c>
      <c r="Z122" s="6">
        <f t="shared" si="29"/>
        <v>78.45388601036268</v>
      </c>
      <c r="AA122" s="6">
        <f t="shared" si="30"/>
        <v>72.471160426239123</v>
      </c>
      <c r="AB122" s="3">
        <f t="shared" si="31"/>
        <v>20.649999999999995</v>
      </c>
      <c r="AC122" s="3">
        <f t="shared" si="27"/>
        <v>3.884837647058824</v>
      </c>
      <c r="AD122" s="3">
        <f t="shared" si="32"/>
        <v>0</v>
      </c>
      <c r="AE122" s="2">
        <v>60.083114050416803</v>
      </c>
      <c r="AF122" s="2">
        <v>68.104413927526906</v>
      </c>
      <c r="AG122" s="2">
        <v>-0.21061119655315699</v>
      </c>
      <c r="AH122" s="2">
        <v>59.796401887051204</v>
      </c>
      <c r="AI122" s="2">
        <v>69.883938856787196</v>
      </c>
      <c r="AJ122" s="2"/>
      <c r="AK122" s="2"/>
      <c r="AL122" s="2"/>
      <c r="AM122" s="2"/>
      <c r="AN122" s="2"/>
      <c r="AO122" s="2"/>
      <c r="AP122" s="2"/>
      <c r="AR122" s="2">
        <v>6.2121212121212001E-2</v>
      </c>
      <c r="AS122" s="2">
        <v>1.0032605761582099E-2</v>
      </c>
      <c r="AT122" s="2">
        <v>7.4866310160427704E-2</v>
      </c>
      <c r="AU122" s="2">
        <v>1.7734929802613299E-2</v>
      </c>
    </row>
    <row r="123" spans="1:47" x14ac:dyDescent="0.25">
      <c r="A123">
        <v>1900</v>
      </c>
      <c r="B123">
        <v>8.14</v>
      </c>
      <c r="C123" s="3">
        <f t="shared" si="23"/>
        <v>28.146611341632088</v>
      </c>
      <c r="D123">
        <v>20.67</v>
      </c>
      <c r="E123" s="3">
        <f t="shared" si="24"/>
        <v>99.999999999999986</v>
      </c>
      <c r="F123" s="3">
        <f t="shared" si="22"/>
        <v>48.742514970059879</v>
      </c>
      <c r="G123">
        <v>64.8</v>
      </c>
      <c r="I123" s="3">
        <f t="shared" si="19"/>
        <v>64.800000000000011</v>
      </c>
      <c r="J123">
        <v>4.25</v>
      </c>
      <c r="L123">
        <v>4.87</v>
      </c>
      <c r="N123" s="6">
        <f t="shared" si="25"/>
        <v>4.25</v>
      </c>
      <c r="O123" s="3">
        <f t="shared" si="26"/>
        <v>100</v>
      </c>
      <c r="P123">
        <v>77.3</v>
      </c>
      <c r="Q123" s="2">
        <v>75.108333333333306</v>
      </c>
      <c r="S123">
        <f t="shared" si="20"/>
        <v>77.3</v>
      </c>
      <c r="T123" s="3">
        <f t="shared" si="21"/>
        <v>77.3</v>
      </c>
      <c r="U123" s="2">
        <v>-23.235335410942</v>
      </c>
      <c r="V123">
        <v>-11.463385496872201</v>
      </c>
      <c r="W123">
        <v>-17.349360453907099</v>
      </c>
      <c r="X123">
        <v>-23.429197874698801</v>
      </c>
      <c r="Y123" s="6">
        <f t="shared" si="28"/>
        <v>80.103626943005182</v>
      </c>
      <c r="Z123" s="6">
        <f t="shared" si="29"/>
        <v>86.689925158318943</v>
      </c>
      <c r="AA123" s="6">
        <f t="shared" si="30"/>
        <v>79.726668698567522</v>
      </c>
      <c r="AB123" s="3">
        <f t="shared" si="31"/>
        <v>20.649999999999995</v>
      </c>
      <c r="AC123" s="3">
        <f t="shared" si="27"/>
        <v>3.8940000000000001</v>
      </c>
      <c r="AD123" s="3">
        <f t="shared" si="32"/>
        <v>0</v>
      </c>
      <c r="AE123" s="2">
        <v>61.279654955661897</v>
      </c>
      <c r="AF123" s="2">
        <v>68.7166422721602</v>
      </c>
      <c r="AG123" s="2">
        <v>-0.22681135329607099</v>
      </c>
      <c r="AH123" s="2">
        <v>62.6072406953339</v>
      </c>
      <c r="AI123" s="2">
        <v>72.042294060231995</v>
      </c>
      <c r="AJ123" s="2"/>
      <c r="AK123" s="2"/>
      <c r="AL123" s="2"/>
      <c r="AM123" s="2"/>
      <c r="AN123" s="2"/>
      <c r="AO123" s="2"/>
      <c r="AP123" s="2"/>
      <c r="AR123" s="2">
        <v>0.102710413694721</v>
      </c>
      <c r="AS123" s="2">
        <v>1.14144067294838E-2</v>
      </c>
      <c r="AT123" s="2">
        <v>7.4626865671641798E-2</v>
      </c>
      <c r="AU123" s="2">
        <v>2.1212058599489301E-2</v>
      </c>
    </row>
    <row r="124" spans="1:47" x14ac:dyDescent="0.25">
      <c r="A124">
        <v>1901</v>
      </c>
      <c r="B124">
        <v>8.24</v>
      </c>
      <c r="C124" s="3">
        <f t="shared" si="23"/>
        <v>28.492392807745503</v>
      </c>
      <c r="D124">
        <v>20.67</v>
      </c>
      <c r="E124" s="3">
        <f t="shared" si="24"/>
        <v>99.999999999999986</v>
      </c>
      <c r="F124" s="3">
        <f t="shared" si="22"/>
        <v>49.341317365269461</v>
      </c>
      <c r="G124">
        <v>63.9</v>
      </c>
      <c r="I124" s="3">
        <f t="shared" si="19"/>
        <v>63.900000000000006</v>
      </c>
      <c r="J124">
        <v>4.25</v>
      </c>
      <c r="L124">
        <v>4.87</v>
      </c>
      <c r="N124" s="6">
        <f t="shared" si="25"/>
        <v>4.25</v>
      </c>
      <c r="O124" s="3">
        <f t="shared" si="26"/>
        <v>100</v>
      </c>
      <c r="P124">
        <v>72.2</v>
      </c>
      <c r="Q124" s="2">
        <v>70.141666666666694</v>
      </c>
      <c r="S124">
        <f t="shared" si="20"/>
        <v>72.2</v>
      </c>
      <c r="T124" s="3">
        <f t="shared" si="21"/>
        <v>72.2</v>
      </c>
      <c r="U124" s="2">
        <v>-24.358670898289301</v>
      </c>
      <c r="V124">
        <v>-16.730873873651699</v>
      </c>
      <c r="W124">
        <v>-20.5447723859705</v>
      </c>
      <c r="X124">
        <v>-22.638609122008599</v>
      </c>
      <c r="Y124" s="6">
        <f t="shared" si="28"/>
        <v>74.818652849740928</v>
      </c>
      <c r="Z124" s="6">
        <f t="shared" si="29"/>
        <v>80.970408750719628</v>
      </c>
      <c r="AA124" s="6">
        <f t="shared" si="30"/>
        <v>74.466565071624515</v>
      </c>
      <c r="AB124" s="3">
        <f t="shared" si="31"/>
        <v>20.649999999999995</v>
      </c>
      <c r="AC124" s="3">
        <f t="shared" si="27"/>
        <v>3.8940000000000001</v>
      </c>
      <c r="AD124" s="3">
        <f t="shared" si="32"/>
        <v>0</v>
      </c>
      <c r="AE124" s="2">
        <v>62.6096531036074</v>
      </c>
      <c r="AF124" s="2">
        <v>69.358024320295399</v>
      </c>
      <c r="AG124" s="2">
        <v>-0.163827955199946</v>
      </c>
      <c r="AH124" s="2">
        <v>64.955248114510695</v>
      </c>
      <c r="AI124" s="2">
        <v>72.823704951705906</v>
      </c>
      <c r="AJ124" s="2"/>
      <c r="AK124" s="2"/>
      <c r="AL124" s="2"/>
      <c r="AM124" s="2"/>
      <c r="AN124" s="2"/>
      <c r="AO124" s="2"/>
      <c r="AP124" s="2"/>
      <c r="AR124" s="2">
        <v>-6.5976714100905498E-2</v>
      </c>
      <c r="AS124" s="2">
        <v>1.1736408796936999E-2</v>
      </c>
      <c r="AT124" s="2">
        <v>-1.38888888888888E-2</v>
      </c>
      <c r="AU124" s="2">
        <v>2.30786670178912E-2</v>
      </c>
    </row>
    <row r="125" spans="1:47" x14ac:dyDescent="0.25">
      <c r="A125">
        <v>1902</v>
      </c>
      <c r="B125">
        <v>8.34</v>
      </c>
      <c r="C125" s="3">
        <f t="shared" si="23"/>
        <v>28.838174273858918</v>
      </c>
      <c r="D125">
        <v>20.67</v>
      </c>
      <c r="E125" s="3">
        <f t="shared" si="24"/>
        <v>99.999999999999986</v>
      </c>
      <c r="F125" s="3">
        <f t="shared" si="22"/>
        <v>49.940119760479043</v>
      </c>
      <c r="G125">
        <v>68.2</v>
      </c>
      <c r="I125" s="3">
        <f t="shared" si="19"/>
        <v>68.2</v>
      </c>
      <c r="J125">
        <v>4.24</v>
      </c>
      <c r="L125">
        <v>4.87</v>
      </c>
      <c r="N125" s="6">
        <f t="shared" si="25"/>
        <v>4.24</v>
      </c>
      <c r="O125" s="3">
        <f t="shared" si="26"/>
        <v>99.764705882352942</v>
      </c>
      <c r="P125">
        <v>71.099999999999994</v>
      </c>
      <c r="Q125" s="2">
        <v>69.433333333333294</v>
      </c>
      <c r="S125">
        <f t="shared" si="20"/>
        <v>71.099999999999994</v>
      </c>
      <c r="T125" s="3">
        <f t="shared" si="21"/>
        <v>71.267688679245268</v>
      </c>
      <c r="U125" s="2">
        <v>-20.278592256176399</v>
      </c>
      <c r="V125">
        <v>-17.8450589632006</v>
      </c>
      <c r="W125">
        <v>-19.061825609688501</v>
      </c>
      <c r="X125">
        <v>-21.786525017388701</v>
      </c>
      <c r="Y125" s="6">
        <f t="shared" si="28"/>
        <v>73.67875647668393</v>
      </c>
      <c r="Z125" s="6">
        <f t="shared" si="29"/>
        <v>79.736787564766828</v>
      </c>
      <c r="AA125" s="6">
        <f t="shared" si="30"/>
        <v>73.504985824616284</v>
      </c>
      <c r="AB125" s="3">
        <f t="shared" si="31"/>
        <v>20.649999999999995</v>
      </c>
      <c r="AC125" s="3">
        <f t="shared" si="27"/>
        <v>3.884837647058824</v>
      </c>
      <c r="AD125" s="3">
        <f t="shared" si="32"/>
        <v>0</v>
      </c>
      <c r="AE125" s="2">
        <v>64.017686815293004</v>
      </c>
      <c r="AF125" s="2">
        <v>70.055582738749806</v>
      </c>
      <c r="AG125" s="2">
        <v>-0.15278111329163899</v>
      </c>
      <c r="AH125" s="2">
        <v>66.973398406276999</v>
      </c>
      <c r="AI125" s="2">
        <v>73.106701469407398</v>
      </c>
      <c r="AJ125" s="2"/>
      <c r="AK125" s="2"/>
      <c r="AL125" s="2"/>
      <c r="AM125" s="2"/>
      <c r="AN125" s="2"/>
      <c r="AO125" s="2"/>
      <c r="AP125" s="2"/>
      <c r="AR125" s="2">
        <v>-1.5235457063712E-2</v>
      </c>
      <c r="AS125" s="2">
        <v>1.21538951661781E-2</v>
      </c>
      <c r="AT125" s="2">
        <v>6.7292644757433503E-2</v>
      </c>
      <c r="AU125" s="2">
        <v>2.3897056381389999E-2</v>
      </c>
    </row>
    <row r="126" spans="1:47" x14ac:dyDescent="0.25">
      <c r="A126">
        <v>1903</v>
      </c>
      <c r="B126">
        <v>8.5299999999999994</v>
      </c>
      <c r="C126" s="3">
        <f t="shared" si="23"/>
        <v>29.495159059474407</v>
      </c>
      <c r="D126">
        <v>20.67</v>
      </c>
      <c r="E126" s="3">
        <f t="shared" si="24"/>
        <v>99.999999999999986</v>
      </c>
      <c r="F126" s="3">
        <f t="shared" si="22"/>
        <v>51.077844311377241</v>
      </c>
      <c r="G126">
        <v>69.099999999999994</v>
      </c>
      <c r="I126" s="3">
        <f t="shared" si="19"/>
        <v>69.099999999999994</v>
      </c>
      <c r="J126">
        <v>4.25</v>
      </c>
      <c r="L126">
        <v>4.8600000000000003</v>
      </c>
      <c r="N126" s="6">
        <f t="shared" si="25"/>
        <v>4.25</v>
      </c>
      <c r="O126" s="3">
        <f t="shared" si="26"/>
        <v>100</v>
      </c>
      <c r="P126">
        <v>74.099999999999994</v>
      </c>
      <c r="Q126" s="2">
        <v>69.599999999999994</v>
      </c>
      <c r="S126">
        <f t="shared" si="20"/>
        <v>74.099999999999994</v>
      </c>
      <c r="T126" s="3">
        <f t="shared" si="21"/>
        <v>74.099999999999994</v>
      </c>
      <c r="U126" s="2">
        <v>-19.594817190565799</v>
      </c>
      <c r="V126">
        <v>-15.215666041809699</v>
      </c>
      <c r="W126">
        <v>-17.405241616187801</v>
      </c>
      <c r="X126">
        <v>-20.865573805876</v>
      </c>
      <c r="Y126" s="6">
        <f t="shared" si="28"/>
        <v>76.787564766839367</v>
      </c>
      <c r="Z126" s="6">
        <f t="shared" si="29"/>
        <v>82.930569948186516</v>
      </c>
      <c r="AA126" s="6">
        <f t="shared" si="30"/>
        <v>76.426211520877786</v>
      </c>
      <c r="AB126" s="3">
        <f t="shared" si="31"/>
        <v>20.649999999999995</v>
      </c>
      <c r="AC126" s="3">
        <f t="shared" si="27"/>
        <v>3.8940000000000001</v>
      </c>
      <c r="AD126" s="3">
        <f t="shared" si="32"/>
        <v>0</v>
      </c>
      <c r="AE126" s="2">
        <v>65.461237880722706</v>
      </c>
      <c r="AF126" s="2">
        <v>70.866159951137803</v>
      </c>
      <c r="AG126" s="2">
        <v>-0.15475958399810999</v>
      </c>
      <c r="AH126" s="2">
        <v>68.442916460824506</v>
      </c>
      <c r="AI126" s="2">
        <v>73.608578567633302</v>
      </c>
      <c r="AJ126" s="2"/>
      <c r="AK126" s="2"/>
      <c r="AL126" s="2"/>
      <c r="AM126" s="2"/>
      <c r="AN126" s="2"/>
      <c r="AO126" s="2"/>
      <c r="AP126" s="2"/>
      <c r="AR126" s="2">
        <v>4.2194092827004197E-2</v>
      </c>
      <c r="AS126" s="2">
        <v>1.3045017810465199E-2</v>
      </c>
      <c r="AT126" s="2">
        <v>1.31964809384163E-2</v>
      </c>
      <c r="AU126" s="2">
        <v>2.3859852454489301E-2</v>
      </c>
    </row>
    <row r="127" spans="1:47" x14ac:dyDescent="0.25">
      <c r="A127">
        <v>1904</v>
      </c>
      <c r="B127">
        <v>8.6300000000000008</v>
      </c>
      <c r="C127" s="3">
        <f t="shared" si="23"/>
        <v>29.840940525587829</v>
      </c>
      <c r="D127">
        <v>20.67</v>
      </c>
      <c r="E127" s="3">
        <f t="shared" si="24"/>
        <v>99.999999999999986</v>
      </c>
      <c r="F127" s="3">
        <f t="shared" si="22"/>
        <v>51.676646706586837</v>
      </c>
      <c r="G127">
        <v>69.099999999999994</v>
      </c>
      <c r="I127" s="3">
        <f t="shared" si="19"/>
        <v>69.099999999999994</v>
      </c>
      <c r="J127">
        <v>4.25</v>
      </c>
      <c r="L127">
        <v>4.87</v>
      </c>
      <c r="N127" s="6">
        <f t="shared" si="25"/>
        <v>4.25</v>
      </c>
      <c r="O127" s="3">
        <f t="shared" si="26"/>
        <v>100</v>
      </c>
      <c r="P127">
        <v>72.2</v>
      </c>
      <c r="Q127" s="2">
        <v>70.491666666666703</v>
      </c>
      <c r="S127">
        <f t="shared" si="20"/>
        <v>72.2</v>
      </c>
      <c r="T127" s="3">
        <f t="shared" si="21"/>
        <v>72.2</v>
      </c>
      <c r="U127" s="2">
        <v>-19.807063407419701</v>
      </c>
      <c r="V127">
        <v>-17.3324012252472</v>
      </c>
      <c r="W127">
        <v>-18.5697323163335</v>
      </c>
      <c r="X127">
        <v>-19.841136738430102</v>
      </c>
      <c r="Y127" s="6">
        <f t="shared" si="28"/>
        <v>74.818652849740928</v>
      </c>
      <c r="Z127" s="6">
        <f t="shared" si="29"/>
        <v>80.970408750719628</v>
      </c>
      <c r="AA127" s="6">
        <f t="shared" si="30"/>
        <v>74.466565071624515</v>
      </c>
      <c r="AB127" s="3">
        <f t="shared" si="31"/>
        <v>20.649999999999995</v>
      </c>
      <c r="AC127" s="3">
        <f t="shared" si="27"/>
        <v>3.8940000000000001</v>
      </c>
      <c r="AD127" s="3">
        <f t="shared" si="32"/>
        <v>0</v>
      </c>
      <c r="AE127" s="2">
        <v>66.939611221747398</v>
      </c>
      <c r="AF127" s="2">
        <v>71.857742553686506</v>
      </c>
      <c r="AG127" s="2">
        <v>-0.150874807642497</v>
      </c>
      <c r="AH127" s="2">
        <v>69.553894366252706</v>
      </c>
      <c r="AI127" s="2">
        <v>74.401064044211097</v>
      </c>
      <c r="AJ127" s="2"/>
      <c r="AK127" s="2"/>
      <c r="AL127" s="2"/>
      <c r="AM127" s="2"/>
      <c r="AN127" s="2"/>
      <c r="AO127" s="2"/>
      <c r="AP127" s="2"/>
      <c r="AR127" s="2">
        <v>-2.5641025641025501E-2</v>
      </c>
      <c r="AS127" s="2">
        <v>1.45140351807573E-2</v>
      </c>
      <c r="AT127" s="2">
        <v>0</v>
      </c>
      <c r="AU127" s="2">
        <v>2.35936368854529E-2</v>
      </c>
    </row>
    <row r="128" spans="1:47" x14ac:dyDescent="0.25">
      <c r="A128">
        <v>1905</v>
      </c>
      <c r="B128">
        <v>8.5299999999999994</v>
      </c>
      <c r="C128" s="3">
        <f t="shared" si="23"/>
        <v>29.495159059474407</v>
      </c>
      <c r="D128">
        <v>20.67</v>
      </c>
      <c r="E128" s="3">
        <f t="shared" si="24"/>
        <v>99.999999999999986</v>
      </c>
      <c r="F128" s="3">
        <f t="shared" si="22"/>
        <v>51.077844311377241</v>
      </c>
      <c r="G128">
        <v>69.5</v>
      </c>
      <c r="I128" s="3">
        <f t="shared" si="19"/>
        <v>69.500000000000014</v>
      </c>
      <c r="J128">
        <v>4.24</v>
      </c>
      <c r="L128">
        <v>4.87</v>
      </c>
      <c r="N128" s="6">
        <f t="shared" si="25"/>
        <v>4.24</v>
      </c>
      <c r="O128" s="3">
        <f t="shared" si="26"/>
        <v>99.764705882352942</v>
      </c>
      <c r="P128">
        <v>74.2</v>
      </c>
      <c r="Q128" s="2">
        <v>72.466666666666697</v>
      </c>
      <c r="S128">
        <f t="shared" si="20"/>
        <v>74.2</v>
      </c>
      <c r="T128" s="3">
        <f t="shared" si="21"/>
        <v>74.375</v>
      </c>
      <c r="U128" s="2">
        <v>-19.615048612700502</v>
      </c>
      <c r="V128">
        <v>-15.384951468758199</v>
      </c>
      <c r="W128">
        <v>-17.5000000407294</v>
      </c>
      <c r="X128">
        <v>-18.643991744114</v>
      </c>
      <c r="Y128" s="6">
        <f t="shared" si="28"/>
        <v>76.891191709844563</v>
      </c>
      <c r="Z128" s="6">
        <f t="shared" si="29"/>
        <v>83.213356361542893</v>
      </c>
      <c r="AA128" s="6">
        <f t="shared" si="30"/>
        <v>76.709844559585505</v>
      </c>
      <c r="AB128" s="3">
        <f t="shared" si="31"/>
        <v>20.649999999999995</v>
      </c>
      <c r="AC128" s="3">
        <f t="shared" si="27"/>
        <v>3.884837647058824</v>
      </c>
      <c r="AD128" s="3">
        <f t="shared" si="32"/>
        <v>0</v>
      </c>
      <c r="AE128" s="2">
        <v>68.488499381410804</v>
      </c>
      <c r="AF128" s="2">
        <v>73.132155543111494</v>
      </c>
      <c r="AG128" s="2">
        <v>-0.1242937587343</v>
      </c>
      <c r="AH128" s="2">
        <v>70.715452057052801</v>
      </c>
      <c r="AI128" s="2">
        <v>75.769692841090503</v>
      </c>
      <c r="AJ128" s="2"/>
      <c r="AK128" s="2"/>
      <c r="AL128" s="2"/>
      <c r="AM128" s="2"/>
      <c r="AN128" s="2"/>
      <c r="AO128" s="2"/>
      <c r="AP128" s="2"/>
      <c r="AR128" s="2">
        <v>2.7700831024930699E-2</v>
      </c>
      <c r="AS128" s="2">
        <v>1.6956696478178799E-2</v>
      </c>
      <c r="AT128" s="2">
        <v>5.7887120115774999E-3</v>
      </c>
      <c r="AU128" s="2">
        <v>2.3618357607383799E-2</v>
      </c>
    </row>
    <row r="129" spans="1:47" x14ac:dyDescent="0.25">
      <c r="A129">
        <v>1906</v>
      </c>
      <c r="B129">
        <v>8.7200000000000006</v>
      </c>
      <c r="C129" s="3">
        <f t="shared" si="23"/>
        <v>30.152143845089906</v>
      </c>
      <c r="D129">
        <v>20.67</v>
      </c>
      <c r="E129" s="3">
        <f t="shared" si="24"/>
        <v>99.999999999999986</v>
      </c>
      <c r="F129" s="3">
        <f t="shared" si="22"/>
        <v>52.215568862275461</v>
      </c>
      <c r="G129">
        <v>71.5</v>
      </c>
      <c r="I129" s="3">
        <f t="shared" si="19"/>
        <v>71.500000000000014</v>
      </c>
      <c r="J129">
        <v>4.25</v>
      </c>
      <c r="L129">
        <v>4.8499999999999996</v>
      </c>
      <c r="N129" s="6">
        <f t="shared" si="25"/>
        <v>4.25</v>
      </c>
      <c r="O129" s="3">
        <f t="shared" si="26"/>
        <v>100</v>
      </c>
      <c r="P129">
        <v>79.400000000000006</v>
      </c>
      <c r="Q129" s="2">
        <v>76.974999999999994</v>
      </c>
      <c r="S129">
        <f t="shared" si="20"/>
        <v>79.400000000000006</v>
      </c>
      <c r="T129" s="3">
        <f t="shared" si="21"/>
        <v>79.400000000000006</v>
      </c>
      <c r="U129" s="2">
        <v>-17.818490512370701</v>
      </c>
      <c r="V129">
        <v>-10.612984567064499</v>
      </c>
      <c r="W129">
        <v>-14.215737539717599</v>
      </c>
      <c r="X129">
        <v>-17.1922027077694</v>
      </c>
      <c r="Y129" s="6">
        <f t="shared" si="28"/>
        <v>82.279792746113998</v>
      </c>
      <c r="Z129" s="6">
        <f t="shared" si="29"/>
        <v>88.679332181922859</v>
      </c>
      <c r="AA129" s="6">
        <f t="shared" si="30"/>
        <v>81.892593721426422</v>
      </c>
      <c r="AB129" s="3">
        <f t="shared" si="31"/>
        <v>20.649999999999995</v>
      </c>
      <c r="AC129" s="3">
        <f t="shared" si="27"/>
        <v>3.8940000000000001</v>
      </c>
      <c r="AD129" s="3">
        <f t="shared" si="32"/>
        <v>0</v>
      </c>
      <c r="AE129" s="2">
        <v>70.165198790539094</v>
      </c>
      <c r="AF129" s="2">
        <v>74.795346490591399</v>
      </c>
      <c r="AG129" s="2">
        <v>-7.4196752673409305E-2</v>
      </c>
      <c r="AH129" s="2">
        <v>72.185411345631707</v>
      </c>
      <c r="AI129" s="2">
        <v>77.289645218817398</v>
      </c>
      <c r="AJ129" s="2"/>
      <c r="AK129" s="2"/>
      <c r="AL129" s="2"/>
      <c r="AM129" s="2"/>
      <c r="AN129" s="2"/>
      <c r="AO129" s="2"/>
      <c r="AP129" s="2"/>
      <c r="AR129" s="2">
        <v>7.0080862533692695E-2</v>
      </c>
      <c r="AS129" s="2">
        <v>2.0367200295636399E-2</v>
      </c>
      <c r="AT129" s="2">
        <v>2.8776978417266098E-2</v>
      </c>
      <c r="AU129" s="2">
        <v>2.42180261845307E-2</v>
      </c>
    </row>
    <row r="130" spans="1:47" x14ac:dyDescent="0.25">
      <c r="A130">
        <v>1907</v>
      </c>
      <c r="B130">
        <v>9.11</v>
      </c>
      <c r="C130" s="3">
        <f t="shared" si="23"/>
        <v>31.500691562932225</v>
      </c>
      <c r="D130">
        <v>20.67</v>
      </c>
      <c r="E130" s="3">
        <f t="shared" si="24"/>
        <v>99.999999999999986</v>
      </c>
      <c r="F130" s="3">
        <f t="shared" si="22"/>
        <v>54.550898203592816</v>
      </c>
      <c r="G130">
        <v>75.3</v>
      </c>
      <c r="I130" s="3">
        <f t="shared" si="19"/>
        <v>75.300000000000011</v>
      </c>
      <c r="J130">
        <v>4.25</v>
      </c>
      <c r="L130">
        <v>4.8600000000000003</v>
      </c>
      <c r="N130" s="6">
        <f t="shared" si="25"/>
        <v>4.25</v>
      </c>
      <c r="O130" s="3">
        <f t="shared" si="26"/>
        <v>100</v>
      </c>
      <c r="P130">
        <v>82.5</v>
      </c>
      <c r="Q130" s="2">
        <v>79.758333333333297</v>
      </c>
      <c r="S130">
        <f t="shared" si="20"/>
        <v>82.5</v>
      </c>
      <c r="T130" s="3">
        <f t="shared" si="21"/>
        <v>82.5</v>
      </c>
      <c r="U130" s="2">
        <v>-14.217106812392499</v>
      </c>
      <c r="V130">
        <v>-7.7761491543655303</v>
      </c>
      <c r="W130">
        <v>-10.996627983379</v>
      </c>
      <c r="X130">
        <v>-15.392393597204499</v>
      </c>
      <c r="Y130" s="6">
        <f t="shared" si="28"/>
        <v>85.492227979274617</v>
      </c>
      <c r="Z130" s="6">
        <f t="shared" si="29"/>
        <v>92.331606217616596</v>
      </c>
      <c r="AA130" s="6">
        <f t="shared" si="30"/>
        <v>85.089911612313344</v>
      </c>
      <c r="AB130" s="3">
        <f t="shared" si="31"/>
        <v>20.649999999999995</v>
      </c>
      <c r="AC130" s="3">
        <f t="shared" si="27"/>
        <v>3.8940000000000001</v>
      </c>
      <c r="AD130" s="3">
        <f t="shared" si="32"/>
        <v>0</v>
      </c>
      <c r="AE130" s="2">
        <v>72.037120886144393</v>
      </c>
      <c r="AF130" s="2">
        <v>76.965441411873996</v>
      </c>
      <c r="AG130" s="2">
        <v>-0.108163586378087</v>
      </c>
      <c r="AH130" s="2">
        <v>73.816443358711993</v>
      </c>
      <c r="AI130" s="2">
        <v>78.062870490907798</v>
      </c>
      <c r="AJ130" s="2"/>
      <c r="AK130" s="2"/>
      <c r="AL130" s="2"/>
      <c r="AM130" s="2"/>
      <c r="AN130" s="2"/>
      <c r="AO130" s="2"/>
      <c r="AP130" s="2"/>
      <c r="AR130" s="2">
        <v>3.9042821158690101E-2</v>
      </c>
      <c r="AS130" s="2">
        <v>2.4847186571504198E-2</v>
      </c>
      <c r="AT130" s="2">
        <v>5.31468531468531E-2</v>
      </c>
      <c r="AU130" s="2">
        <v>2.5498357725183999E-2</v>
      </c>
    </row>
    <row r="131" spans="1:47" x14ac:dyDescent="0.25">
      <c r="A131">
        <v>1908</v>
      </c>
      <c r="B131">
        <v>8.92</v>
      </c>
      <c r="C131" s="3">
        <f t="shared" si="23"/>
        <v>30.843706777316733</v>
      </c>
      <c r="D131">
        <v>20.67</v>
      </c>
      <c r="E131" s="3">
        <f t="shared" si="24"/>
        <v>99.999999999999986</v>
      </c>
      <c r="F131" s="3">
        <f t="shared" si="22"/>
        <v>53.41317365269461</v>
      </c>
      <c r="G131">
        <v>72.900000000000006</v>
      </c>
      <c r="I131" s="3">
        <f t="shared" ref="I131:I194" si="33">G131*100/E131</f>
        <v>72.90000000000002</v>
      </c>
      <c r="J131">
        <v>4.25</v>
      </c>
      <c r="L131">
        <v>4.87</v>
      </c>
      <c r="N131" s="6">
        <f t="shared" si="25"/>
        <v>4.25</v>
      </c>
      <c r="O131" s="3">
        <f t="shared" si="26"/>
        <v>100</v>
      </c>
      <c r="P131">
        <v>75.3</v>
      </c>
      <c r="Q131" s="2">
        <v>73.283333333333303</v>
      </c>
      <c r="S131">
        <f t="shared" ref="S131:T161" si="34">P131</f>
        <v>75.3</v>
      </c>
      <c r="T131" s="3">
        <f t="shared" ref="T131:T194" si="35">S131*100/O131</f>
        <v>75.3</v>
      </c>
      <c r="U131" s="2">
        <v>-16.810615218728401</v>
      </c>
      <c r="V131">
        <v>-15.254074704337</v>
      </c>
      <c r="W131">
        <v>-16.032344961532701</v>
      </c>
      <c r="X131">
        <v>-13.1214237285468</v>
      </c>
      <c r="Y131" s="6">
        <f t="shared" si="28"/>
        <v>78.031088082901547</v>
      </c>
      <c r="Z131" s="6">
        <f t="shared" si="29"/>
        <v>84.446977547495678</v>
      </c>
      <c r="AA131" s="6">
        <f t="shared" si="30"/>
        <v>77.663882962511437</v>
      </c>
      <c r="AB131" s="3">
        <f t="shared" si="31"/>
        <v>20.649999999999995</v>
      </c>
      <c r="AC131" s="3">
        <f t="shared" si="27"/>
        <v>3.8940000000000001</v>
      </c>
      <c r="AD131" s="3">
        <f t="shared" si="32"/>
        <v>0</v>
      </c>
      <c r="AE131" s="2">
        <v>74.185025117333694</v>
      </c>
      <c r="AF131" s="2">
        <v>79.807412857800898</v>
      </c>
      <c r="AG131" s="2">
        <v>-3.8163247222302799E-2</v>
      </c>
      <c r="AH131" s="2">
        <v>75.232748774472498</v>
      </c>
      <c r="AI131" s="2">
        <v>77.9214362312715</v>
      </c>
      <c r="AJ131" s="2"/>
      <c r="AK131" s="2"/>
      <c r="AL131" s="2"/>
      <c r="AM131" s="2"/>
      <c r="AN131" s="2"/>
      <c r="AO131" s="2"/>
      <c r="AP131" s="2"/>
      <c r="AR131" s="2">
        <v>-8.7272727272727293E-2</v>
      </c>
      <c r="AS131" s="2">
        <v>3.0995431866536999E-2</v>
      </c>
      <c r="AT131" s="2">
        <v>-3.1872509960159202E-2</v>
      </c>
      <c r="AU131" s="2">
        <v>2.76106568599618E-2</v>
      </c>
    </row>
    <row r="132" spans="1:47" x14ac:dyDescent="0.25">
      <c r="A132">
        <v>1909</v>
      </c>
      <c r="B132">
        <v>8.82</v>
      </c>
      <c r="C132" s="3">
        <f t="shared" si="23"/>
        <v>30.497925311203318</v>
      </c>
      <c r="D132">
        <v>20.67</v>
      </c>
      <c r="E132" s="3">
        <f t="shared" si="24"/>
        <v>99.999999999999986</v>
      </c>
      <c r="F132" s="3">
        <f t="shared" ref="F132:F195" si="36">B132*100/$B$153</f>
        <v>52.814371257485035</v>
      </c>
      <c r="G132">
        <v>78.3</v>
      </c>
      <c r="I132" s="3">
        <f t="shared" si="33"/>
        <v>78.300000000000011</v>
      </c>
      <c r="J132">
        <v>4.24</v>
      </c>
      <c r="L132">
        <v>4.87</v>
      </c>
      <c r="N132" s="6">
        <f t="shared" si="25"/>
        <v>4.24</v>
      </c>
      <c r="O132" s="3">
        <f t="shared" si="26"/>
        <v>99.764705882352942</v>
      </c>
      <c r="P132">
        <v>76.3</v>
      </c>
      <c r="Q132" s="2">
        <v>74.408333333333303</v>
      </c>
      <c r="S132">
        <f t="shared" si="34"/>
        <v>76.3</v>
      </c>
      <c r="T132" s="3">
        <f t="shared" si="35"/>
        <v>76.47995283018868</v>
      </c>
      <c r="U132" s="2">
        <v>-11.598733437340799</v>
      </c>
      <c r="V132">
        <v>-14.3663715301319</v>
      </c>
      <c r="W132">
        <v>-12.9825524837364</v>
      </c>
      <c r="X132">
        <v>-10.212194761785501</v>
      </c>
      <c r="Y132" s="6">
        <f t="shared" si="28"/>
        <v>79.067357512953365</v>
      </c>
      <c r="Z132" s="6">
        <f t="shared" si="29"/>
        <v>85.568451352907303</v>
      </c>
      <c r="AA132" s="6">
        <f t="shared" si="30"/>
        <v>78.880877896177537</v>
      </c>
      <c r="AB132" s="3">
        <f t="shared" si="31"/>
        <v>20.649999999999995</v>
      </c>
      <c r="AC132" s="3">
        <f t="shared" si="27"/>
        <v>3.884837647058824</v>
      </c>
      <c r="AD132" s="3">
        <f t="shared" si="32"/>
        <v>0</v>
      </c>
      <c r="AE132" s="2">
        <v>76.722299724352197</v>
      </c>
      <c r="AF132" s="2">
        <v>83.542378965095097</v>
      </c>
      <c r="AG132" s="2">
        <v>-6.7111699431143801E-4</v>
      </c>
      <c r="AH132" s="2">
        <v>76.553047151521099</v>
      </c>
      <c r="AI132" s="2">
        <v>78.203119850182702</v>
      </c>
      <c r="AJ132" s="2"/>
      <c r="AK132" s="2"/>
      <c r="AL132" s="2"/>
      <c r="AM132" s="2"/>
      <c r="AN132" s="2"/>
      <c r="AO132" s="2"/>
      <c r="AP132" s="2"/>
      <c r="AR132" s="2">
        <v>1.32802124833997E-2</v>
      </c>
      <c r="AS132" s="2">
        <v>3.9552669087361297E-2</v>
      </c>
      <c r="AT132" s="2">
        <v>7.4074074074073903E-2</v>
      </c>
      <c r="AU132" s="2">
        <v>3.0982713173698401E-2</v>
      </c>
    </row>
    <row r="133" spans="1:47" x14ac:dyDescent="0.25">
      <c r="A133">
        <v>1910</v>
      </c>
      <c r="B133">
        <v>9.2100000000000009</v>
      </c>
      <c r="C133" s="3">
        <f t="shared" si="23"/>
        <v>31.846473029045644</v>
      </c>
      <c r="D133">
        <v>20.67</v>
      </c>
      <c r="E133" s="3">
        <f t="shared" si="24"/>
        <v>99.999999999999986</v>
      </c>
      <c r="F133" s="3">
        <f t="shared" si="36"/>
        <v>55.149700598802404</v>
      </c>
      <c r="G133">
        <v>81.400000000000006</v>
      </c>
      <c r="I133" s="3">
        <f t="shared" si="33"/>
        <v>81.40000000000002</v>
      </c>
      <c r="J133">
        <v>4.24</v>
      </c>
      <c r="L133">
        <v>4.8600000000000003</v>
      </c>
      <c r="N133" s="6">
        <f t="shared" si="25"/>
        <v>4.24</v>
      </c>
      <c r="O133" s="3">
        <f t="shared" si="26"/>
        <v>99.764705882352942</v>
      </c>
      <c r="P133">
        <v>80.400000000000006</v>
      </c>
      <c r="Q133" s="2">
        <v>77.891666666666694</v>
      </c>
      <c r="S133">
        <f t="shared" si="34"/>
        <v>80.400000000000006</v>
      </c>
      <c r="T133" s="3">
        <f t="shared" si="35"/>
        <v>80.589622641509436</v>
      </c>
      <c r="U133" s="2">
        <v>-8.68117917419187</v>
      </c>
      <c r="V133">
        <v>-10.5626307843803</v>
      </c>
      <c r="W133">
        <v>-9.6219049792861</v>
      </c>
      <c r="X133">
        <v>-6.5267175692397403</v>
      </c>
      <c r="Y133" s="6">
        <f t="shared" si="28"/>
        <v>83.316062176165815</v>
      </c>
      <c r="Z133" s="6">
        <f t="shared" si="29"/>
        <v>89.981347150259083</v>
      </c>
      <c r="AA133" s="6">
        <f t="shared" si="30"/>
        <v>83.119562029523919</v>
      </c>
      <c r="AB133" s="3">
        <f t="shared" si="31"/>
        <v>20.649999999999995</v>
      </c>
      <c r="AC133" s="3">
        <f t="shared" si="27"/>
        <v>3.884837647058824</v>
      </c>
      <c r="AD133" s="3">
        <f t="shared" si="32"/>
        <v>0</v>
      </c>
      <c r="AE133" s="2">
        <v>79.749482696271897</v>
      </c>
      <c r="AF133" s="2">
        <v>88.347183741901603</v>
      </c>
      <c r="AG133" s="2">
        <v>-8.2431914018321797E-2</v>
      </c>
      <c r="AH133" s="2">
        <v>77.118475123641602</v>
      </c>
      <c r="AI133" s="2">
        <v>79.3985533474915</v>
      </c>
      <c r="AJ133" s="2"/>
      <c r="AK133" s="2"/>
      <c r="AL133" s="2"/>
      <c r="AM133" s="2"/>
      <c r="AN133" s="2"/>
      <c r="AO133" s="2"/>
      <c r="AP133" s="2"/>
      <c r="AR133" s="2">
        <v>5.3735255570117997E-2</v>
      </c>
      <c r="AS133" s="2">
        <v>5.0076949549210999E-2</v>
      </c>
      <c r="AT133" s="2">
        <v>3.9591315453384499E-2</v>
      </c>
      <c r="AU133" s="2">
        <v>3.5447484583027399E-2</v>
      </c>
    </row>
    <row r="134" spans="1:47" x14ac:dyDescent="0.25">
      <c r="A134">
        <v>1911</v>
      </c>
      <c r="B134">
        <v>9.2100000000000009</v>
      </c>
      <c r="C134" s="3">
        <f t="shared" si="23"/>
        <v>31.846473029045644</v>
      </c>
      <c r="D134">
        <v>20.67</v>
      </c>
      <c r="E134" s="3">
        <f t="shared" si="24"/>
        <v>99.999999999999986</v>
      </c>
      <c r="F134" s="3">
        <f t="shared" si="36"/>
        <v>55.149700598802404</v>
      </c>
      <c r="G134">
        <v>75.099999999999994</v>
      </c>
      <c r="I134" s="3">
        <f t="shared" si="33"/>
        <v>75.100000000000009</v>
      </c>
      <c r="J134">
        <v>4.24</v>
      </c>
      <c r="L134">
        <v>4.8600000000000003</v>
      </c>
      <c r="N134" s="6">
        <f t="shared" si="25"/>
        <v>4.24</v>
      </c>
      <c r="O134" s="3">
        <f t="shared" si="26"/>
        <v>99.764705882352942</v>
      </c>
      <c r="P134">
        <v>82.5</v>
      </c>
      <c r="Q134" s="2">
        <v>79.766666666666694</v>
      </c>
      <c r="S134">
        <f t="shared" si="34"/>
        <v>82.5</v>
      </c>
      <c r="T134" s="3">
        <f t="shared" si="35"/>
        <v>82.694575471698116</v>
      </c>
      <c r="U134" s="2">
        <v>-15.157670135244199</v>
      </c>
      <c r="V134">
        <v>-8.7824244591891691</v>
      </c>
      <c r="W134">
        <v>-11.9700472972167</v>
      </c>
      <c r="X134">
        <v>-1.9547066004481699</v>
      </c>
      <c r="Y134" s="6">
        <f t="shared" si="28"/>
        <v>85.492227979274617</v>
      </c>
      <c r="Z134" s="6">
        <f t="shared" si="29"/>
        <v>92.331606217616596</v>
      </c>
      <c r="AA134" s="6">
        <f t="shared" si="30"/>
        <v>85.290595366115966</v>
      </c>
      <c r="AB134" s="3">
        <f t="shared" si="31"/>
        <v>20.649999999999995</v>
      </c>
      <c r="AC134" s="3">
        <f t="shared" si="27"/>
        <v>3.884837647058824</v>
      </c>
      <c r="AD134" s="3">
        <f t="shared" si="32"/>
        <v>0</v>
      </c>
      <c r="AE134" s="2">
        <v>83.382889024921496</v>
      </c>
      <c r="AF134" s="2">
        <v>94.327047406714399</v>
      </c>
      <c r="AG134" s="2">
        <v>-2.0296091946459201E-2</v>
      </c>
      <c r="AH134" s="2">
        <v>76.852486940777396</v>
      </c>
      <c r="AI134" s="2">
        <v>81.390662106320306</v>
      </c>
      <c r="AJ134" s="2"/>
      <c r="AK134" s="2"/>
      <c r="AL134" s="2"/>
      <c r="AM134" s="2"/>
      <c r="AN134" s="2"/>
      <c r="AO134" s="2"/>
      <c r="AP134" s="2"/>
      <c r="AR134" s="2">
        <v>2.6119402985074501E-2</v>
      </c>
      <c r="AS134" s="2">
        <v>6.18636000012803E-2</v>
      </c>
      <c r="AT134" s="2">
        <v>-7.7395577395577494E-2</v>
      </c>
      <c r="AU134" s="2">
        <v>4.1268842613585703E-2</v>
      </c>
    </row>
    <row r="135" spans="1:47" x14ac:dyDescent="0.25">
      <c r="A135">
        <v>1912</v>
      </c>
      <c r="B135">
        <v>9.4</v>
      </c>
      <c r="C135" s="3">
        <f t="shared" si="23"/>
        <v>32.503457814661132</v>
      </c>
      <c r="D135">
        <v>20.67</v>
      </c>
      <c r="E135" s="3">
        <f t="shared" si="24"/>
        <v>99.999999999999986</v>
      </c>
      <c r="F135" s="3">
        <f t="shared" si="36"/>
        <v>56.287425149700603</v>
      </c>
      <c r="G135">
        <v>80</v>
      </c>
      <c r="I135" s="3">
        <f t="shared" si="33"/>
        <v>80.000000000000014</v>
      </c>
      <c r="J135">
        <v>4.24</v>
      </c>
      <c r="L135">
        <v>4.87</v>
      </c>
      <c r="N135" s="6">
        <f t="shared" si="25"/>
        <v>4.24</v>
      </c>
      <c r="O135" s="3">
        <f t="shared" si="26"/>
        <v>99.764705882352942</v>
      </c>
      <c r="P135">
        <v>87.6</v>
      </c>
      <c r="Q135" s="2">
        <v>85.125</v>
      </c>
      <c r="S135">
        <f t="shared" si="34"/>
        <v>87.6</v>
      </c>
      <c r="T135" s="3">
        <f t="shared" si="35"/>
        <v>87.806603773584911</v>
      </c>
      <c r="U135" s="2">
        <v>-10.427924026460101</v>
      </c>
      <c r="V135">
        <v>-3.9953053861424102</v>
      </c>
      <c r="W135">
        <v>-7.2116147063012397</v>
      </c>
      <c r="X135">
        <v>3.5831718209501302</v>
      </c>
      <c r="Y135" s="6">
        <f t="shared" si="28"/>
        <v>90.777202072538856</v>
      </c>
      <c r="Z135" s="6">
        <f t="shared" si="29"/>
        <v>98.241105354058718</v>
      </c>
      <c r="AA135" s="6">
        <f t="shared" si="30"/>
        <v>90.56310489783948</v>
      </c>
      <c r="AB135" s="3">
        <f t="shared" si="31"/>
        <v>20.649999999999995</v>
      </c>
      <c r="AC135" s="3">
        <f t="shared" si="27"/>
        <v>3.884837647058824</v>
      </c>
      <c r="AD135" s="3">
        <f t="shared" si="32"/>
        <v>0</v>
      </c>
      <c r="AE135" s="2">
        <v>87.755338875166601</v>
      </c>
      <c r="AF135" s="2">
        <v>101.50851834060801</v>
      </c>
      <c r="AG135" s="2">
        <v>-1.2512204267162401E-2</v>
      </c>
      <c r="AH135" s="2">
        <v>77.105711811657997</v>
      </c>
      <c r="AI135" s="2">
        <v>84.422853727294594</v>
      </c>
      <c r="AJ135" s="2"/>
      <c r="AK135" s="2"/>
      <c r="AL135" s="2"/>
      <c r="AM135" s="2"/>
      <c r="AN135" s="2"/>
      <c r="AO135" s="2"/>
      <c r="AP135" s="2"/>
      <c r="AR135" s="2">
        <v>6.1818181818181703E-2</v>
      </c>
      <c r="AS135" s="2">
        <v>7.4244530252972604E-2</v>
      </c>
      <c r="AT135" s="2">
        <v>6.5246338215712393E-2</v>
      </c>
      <c r="AU135" s="2">
        <v>4.8752097099714099E-2</v>
      </c>
    </row>
    <row r="136" spans="1:47" x14ac:dyDescent="0.25">
      <c r="A136">
        <v>1913</v>
      </c>
      <c r="B136">
        <v>9.6</v>
      </c>
      <c r="C136" s="3">
        <f t="shared" si="23"/>
        <v>33.195020746887963</v>
      </c>
      <c r="D136">
        <v>20.67</v>
      </c>
      <c r="E136" s="3">
        <f t="shared" si="24"/>
        <v>99.999999999999986</v>
      </c>
      <c r="F136" s="3">
        <f t="shared" si="36"/>
        <v>57.485029940119766</v>
      </c>
      <c r="G136">
        <v>80.7</v>
      </c>
      <c r="I136" s="3">
        <f t="shared" si="33"/>
        <v>80.700000000000017</v>
      </c>
      <c r="J136">
        <v>4.24</v>
      </c>
      <c r="L136">
        <v>4.87</v>
      </c>
      <c r="N136" s="6">
        <f t="shared" si="25"/>
        <v>4.24</v>
      </c>
      <c r="O136" s="3">
        <f t="shared" si="26"/>
        <v>99.764705882352942</v>
      </c>
      <c r="P136">
        <v>87.6</v>
      </c>
      <c r="Q136" s="2">
        <v>85.1666666666667</v>
      </c>
      <c r="S136">
        <f t="shared" si="34"/>
        <v>87.6</v>
      </c>
      <c r="T136" s="3">
        <f t="shared" si="35"/>
        <v>87.806603773584911</v>
      </c>
      <c r="U136" s="2">
        <v>-9.8916585538019195</v>
      </c>
      <c r="V136">
        <v>-4.3408072363010897</v>
      </c>
      <c r="W136">
        <v>-7.1162328950514997</v>
      </c>
      <c r="X136">
        <v>10.066097964348399</v>
      </c>
      <c r="Y136" s="6">
        <f t="shared" si="28"/>
        <v>90.777202072538856</v>
      </c>
      <c r="Z136" s="6">
        <f t="shared" si="29"/>
        <v>98.241105354058718</v>
      </c>
      <c r="AA136" s="6">
        <f t="shared" si="30"/>
        <v>90.56310489783948</v>
      </c>
      <c r="AB136" s="3">
        <f t="shared" si="31"/>
        <v>20.649999999999995</v>
      </c>
      <c r="AC136" s="3">
        <f t="shared" si="27"/>
        <v>3.884837647058824</v>
      </c>
      <c r="AD136" s="3">
        <f t="shared" si="32"/>
        <v>0</v>
      </c>
      <c r="AE136" s="2">
        <v>92.916823521623897</v>
      </c>
      <c r="AF136" s="2">
        <v>109.800674450591</v>
      </c>
      <c r="AG136" s="2">
        <v>-3.8387104177699999E-2</v>
      </c>
      <c r="AH136" s="2">
        <v>78.644616631420504</v>
      </c>
      <c r="AI136" s="2">
        <v>89.134981775599599</v>
      </c>
      <c r="AJ136" s="2"/>
      <c r="AK136" s="2"/>
      <c r="AL136" s="2"/>
      <c r="AM136" s="2"/>
      <c r="AN136" s="2"/>
      <c r="AO136" s="2"/>
      <c r="AP136" s="2"/>
      <c r="AR136" s="2">
        <v>0</v>
      </c>
      <c r="AS136" s="2">
        <v>8.6194208143529197E-2</v>
      </c>
      <c r="AT136" s="2">
        <v>8.7500000000000303E-3</v>
      </c>
      <c r="AU136" s="2">
        <v>5.70159136756615E-2</v>
      </c>
    </row>
    <row r="137" spans="1:47" x14ac:dyDescent="0.25">
      <c r="A137">
        <v>1914</v>
      </c>
      <c r="B137">
        <v>9.69</v>
      </c>
      <c r="C137" s="3">
        <f t="shared" si="23"/>
        <v>33.50622406639004</v>
      </c>
      <c r="D137">
        <v>20.67</v>
      </c>
      <c r="E137" s="3">
        <f t="shared" si="24"/>
        <v>99.999999999999986</v>
      </c>
      <c r="F137" s="3">
        <f t="shared" si="36"/>
        <v>58.023952095808383</v>
      </c>
      <c r="G137">
        <v>78.7</v>
      </c>
      <c r="I137" s="3">
        <f t="shared" si="33"/>
        <v>78.700000000000017</v>
      </c>
      <c r="J137">
        <v>4.24</v>
      </c>
      <c r="L137">
        <v>4.93</v>
      </c>
      <c r="N137" s="6">
        <f t="shared" si="25"/>
        <v>4.24</v>
      </c>
      <c r="O137" s="3">
        <f t="shared" si="26"/>
        <v>99.764705882352942</v>
      </c>
      <c r="P137">
        <v>87.6</v>
      </c>
      <c r="Q137" s="2">
        <v>85.474999999999994</v>
      </c>
      <c r="S137">
        <f t="shared" si="34"/>
        <v>87.6</v>
      </c>
      <c r="T137" s="3">
        <f t="shared" si="35"/>
        <v>87.806603773584911</v>
      </c>
      <c r="U137" s="2">
        <v>-12.048591423232001</v>
      </c>
      <c r="V137">
        <v>-4.6984445202028304</v>
      </c>
      <c r="W137">
        <v>-8.3735179717174297</v>
      </c>
      <c r="X137">
        <v>17.365304233867299</v>
      </c>
      <c r="Y137" s="6">
        <f t="shared" si="28"/>
        <v>90.777202072538856</v>
      </c>
      <c r="Z137" s="6">
        <f t="shared" si="29"/>
        <v>99.451468048359217</v>
      </c>
      <c r="AA137" s="6">
        <f t="shared" si="30"/>
        <v>90.56310489783948</v>
      </c>
      <c r="AB137" s="3">
        <f t="shared" si="31"/>
        <v>20.649999999999995</v>
      </c>
      <c r="AC137" s="3">
        <f t="shared" si="27"/>
        <v>3.884837647058824</v>
      </c>
      <c r="AD137" s="3">
        <f t="shared" si="32"/>
        <v>0</v>
      </c>
      <c r="AE137" s="2">
        <v>98.839780850158206</v>
      </c>
      <c r="AF137" s="2">
        <v>118.974408460265</v>
      </c>
      <c r="AG137" s="2">
        <v>-1.63976104142654E-2</v>
      </c>
      <c r="AH137" s="2">
        <v>83.200431024649106</v>
      </c>
      <c r="AI137" s="2">
        <v>97.255948573988903</v>
      </c>
      <c r="AJ137" s="2"/>
      <c r="AK137" s="2"/>
      <c r="AL137" s="2"/>
      <c r="AM137" s="2"/>
      <c r="AN137" s="2"/>
      <c r="AO137" s="2"/>
      <c r="AP137" s="2"/>
      <c r="AR137" s="2">
        <v>0</v>
      </c>
      <c r="AS137" s="2">
        <v>9.6562838027843503E-2</v>
      </c>
      <c r="AT137" s="2">
        <v>-2.47831474597273E-2</v>
      </c>
      <c r="AU137" s="2">
        <v>6.53439003868371E-2</v>
      </c>
    </row>
    <row r="138" spans="1:47" x14ac:dyDescent="0.25">
      <c r="A138">
        <v>1915</v>
      </c>
      <c r="B138">
        <v>9.74</v>
      </c>
      <c r="C138" s="3">
        <f t="shared" ref="C138:C201" si="37">B138*100/$B$181</f>
        <v>33.679114799446751</v>
      </c>
      <c r="D138">
        <v>20.67</v>
      </c>
      <c r="E138" s="3">
        <f t="shared" ref="E138:E201" si="38">D138*100/$D$153</f>
        <v>99.999999999999986</v>
      </c>
      <c r="F138" s="3">
        <f t="shared" si="36"/>
        <v>58.323353293413177</v>
      </c>
      <c r="G138">
        <v>80.5</v>
      </c>
      <c r="I138" s="3">
        <f t="shared" si="33"/>
        <v>80.500000000000014</v>
      </c>
      <c r="J138">
        <v>4.24</v>
      </c>
      <c r="L138">
        <v>4.76</v>
      </c>
      <c r="N138" s="6">
        <f t="shared" ref="N138:N201" si="39">+J138</f>
        <v>4.24</v>
      </c>
      <c r="O138" s="3">
        <f t="shared" ref="O138:O201" si="40">N138*100/$N$153</f>
        <v>99.764705882352942</v>
      </c>
      <c r="P138">
        <v>111.3</v>
      </c>
      <c r="Q138" s="2">
        <v>106.933333333333</v>
      </c>
      <c r="S138">
        <f t="shared" si="34"/>
        <v>111.3</v>
      </c>
      <c r="T138" s="3">
        <f t="shared" si="35"/>
        <v>111.5625</v>
      </c>
      <c r="U138" s="2">
        <v>-10.3984403407129</v>
      </c>
      <c r="V138">
        <v>18.682287412137001</v>
      </c>
      <c r="W138">
        <v>4.1419235357120803</v>
      </c>
      <c r="X138">
        <v>25.180199725033599</v>
      </c>
      <c r="Y138" s="6">
        <f t="shared" si="28"/>
        <v>115.33678756476684</v>
      </c>
      <c r="Z138" s="6">
        <f t="shared" si="29"/>
        <v>122.00069084628669</v>
      </c>
      <c r="AA138" s="6">
        <f t="shared" si="30"/>
        <v>115.06476683937825</v>
      </c>
      <c r="AB138" s="3">
        <f t="shared" si="31"/>
        <v>20.649999999999995</v>
      </c>
      <c r="AC138" s="3">
        <f t="shared" si="27"/>
        <v>3.884837647058824</v>
      </c>
      <c r="AD138" s="3">
        <f t="shared" si="32"/>
        <v>0</v>
      </c>
      <c r="AE138" s="2">
        <v>105.374480511418</v>
      </c>
      <c r="AF138" s="2">
        <v>128.579506348725</v>
      </c>
      <c r="AG138" s="2">
        <v>0.18899122532795201</v>
      </c>
      <c r="AH138" s="2">
        <v>93.189512405454707</v>
      </c>
      <c r="AI138" s="2">
        <v>110.03299585335</v>
      </c>
      <c r="AJ138" s="2"/>
      <c r="AK138" s="2"/>
      <c r="AL138" s="2"/>
      <c r="AM138" s="2"/>
      <c r="AN138" s="2"/>
      <c r="AO138" s="2"/>
      <c r="AP138" s="2"/>
      <c r="AR138" s="2">
        <v>0.27054794520547898</v>
      </c>
      <c r="AS138" s="2">
        <v>0.103338682179373</v>
      </c>
      <c r="AT138" s="2">
        <v>2.2871664548919899E-2</v>
      </c>
      <c r="AU138" s="2">
        <v>7.2537006141893304E-2</v>
      </c>
    </row>
    <row r="139" spans="1:47" x14ac:dyDescent="0.25">
      <c r="A139">
        <v>1916</v>
      </c>
      <c r="B139">
        <v>10.64</v>
      </c>
      <c r="C139" s="3">
        <f t="shared" si="37"/>
        <v>36.791147994467494</v>
      </c>
      <c r="D139">
        <v>20.67</v>
      </c>
      <c r="E139" s="3">
        <f t="shared" si="38"/>
        <v>99.999999999999986</v>
      </c>
      <c r="F139" s="3">
        <f t="shared" si="36"/>
        <v>63.712574850299404</v>
      </c>
      <c r="G139">
        <v>98.9</v>
      </c>
      <c r="I139" s="3">
        <f t="shared" si="33"/>
        <v>98.90000000000002</v>
      </c>
      <c r="J139">
        <v>4.24</v>
      </c>
      <c r="L139">
        <v>4.7699999999999996</v>
      </c>
      <c r="N139" s="6">
        <f t="shared" si="39"/>
        <v>4.24</v>
      </c>
      <c r="O139" s="3">
        <f t="shared" si="40"/>
        <v>99.764705882352942</v>
      </c>
      <c r="P139">
        <v>140.19999999999999</v>
      </c>
      <c r="Q139" s="2">
        <v>135.63333333333301</v>
      </c>
      <c r="S139">
        <f t="shared" si="34"/>
        <v>140.19999999999999</v>
      </c>
      <c r="T139" s="3">
        <f t="shared" si="35"/>
        <v>140.53066037735846</v>
      </c>
      <c r="U139" s="2">
        <v>7.8590769877932898</v>
      </c>
      <c r="V139">
        <v>47.271912371226897</v>
      </c>
      <c r="W139">
        <v>27.565494679510099</v>
      </c>
      <c r="X139">
        <v>32.952805311318102</v>
      </c>
      <c r="Y139" s="6">
        <f t="shared" si="28"/>
        <v>145.28497409326422</v>
      </c>
      <c r="Z139" s="6">
        <f t="shared" si="29"/>
        <v>154.00207253886006</v>
      </c>
      <c r="AA139" s="6">
        <f t="shared" si="30"/>
        <v>144.94232085247825</v>
      </c>
      <c r="AB139" s="3">
        <f t="shared" si="31"/>
        <v>20.649999999999995</v>
      </c>
      <c r="AC139" s="3">
        <f t="shared" si="27"/>
        <v>3.884837647058824</v>
      </c>
      <c r="AD139" s="3">
        <f t="shared" si="32"/>
        <v>0</v>
      </c>
      <c r="AE139" s="2">
        <v>112.169794347551</v>
      </c>
      <c r="AF139" s="2">
        <v>137.85291001046599</v>
      </c>
      <c r="AG139" s="2">
        <v>0.50650577812577702</v>
      </c>
      <c r="AH139" s="2">
        <v>109.52807451306499</v>
      </c>
      <c r="AI139" s="2">
        <v>125.52471581990601</v>
      </c>
      <c r="AJ139" s="2"/>
      <c r="AK139" s="2"/>
      <c r="AL139" s="2"/>
      <c r="AM139" s="2"/>
      <c r="AN139" s="2"/>
      <c r="AO139" s="2"/>
      <c r="AP139" s="2"/>
      <c r="AR139" s="2">
        <v>0.25965858041329698</v>
      </c>
      <c r="AS139" s="2">
        <v>0.103544374491299</v>
      </c>
      <c r="AT139" s="2">
        <v>0.22857142857142801</v>
      </c>
      <c r="AU139" s="2">
        <v>7.64949093710168E-2</v>
      </c>
    </row>
    <row r="140" spans="1:47" x14ac:dyDescent="0.25">
      <c r="A140">
        <v>1917</v>
      </c>
      <c r="B140">
        <v>12.82</v>
      </c>
      <c r="C140" s="3">
        <f t="shared" si="37"/>
        <v>44.329183955739971</v>
      </c>
      <c r="D140">
        <v>20.67</v>
      </c>
      <c r="E140" s="3">
        <f t="shared" si="38"/>
        <v>99.999999999999986</v>
      </c>
      <c r="F140" s="3">
        <f t="shared" si="36"/>
        <v>76.76646706586827</v>
      </c>
      <c r="G140">
        <v>135.9</v>
      </c>
      <c r="I140" s="3">
        <f t="shared" si="33"/>
        <v>135.9</v>
      </c>
      <c r="J140">
        <v>4.24</v>
      </c>
      <c r="L140">
        <v>4.76</v>
      </c>
      <c r="N140" s="6">
        <f t="shared" si="39"/>
        <v>4.24</v>
      </c>
      <c r="O140" s="3">
        <f t="shared" si="40"/>
        <v>99.764705882352942</v>
      </c>
      <c r="P140">
        <v>184.5</v>
      </c>
      <c r="Q140" s="2">
        <v>174.85833333333301</v>
      </c>
      <c r="S140">
        <f t="shared" si="34"/>
        <v>184.5</v>
      </c>
      <c r="T140" s="3">
        <f t="shared" si="35"/>
        <v>184.93514150943395</v>
      </c>
      <c r="U140" s="2">
        <v>44.724242856323997</v>
      </c>
      <c r="V140">
        <v>91.290973328097905</v>
      </c>
      <c r="W140">
        <v>68.007608092210901</v>
      </c>
      <c r="X140">
        <v>39.914759104298398</v>
      </c>
      <c r="Y140" s="6">
        <f t="shared" si="28"/>
        <v>191.1917098445596</v>
      </c>
      <c r="Z140" s="6">
        <f t="shared" si="29"/>
        <v>202.23834196891193</v>
      </c>
      <c r="AA140" s="6">
        <f t="shared" si="30"/>
        <v>190.74078600058661</v>
      </c>
      <c r="AB140" s="3">
        <f t="shared" si="31"/>
        <v>20.649999999999995</v>
      </c>
      <c r="AC140" s="3">
        <f t="shared" si="27"/>
        <v>3.884837647058824</v>
      </c>
      <c r="AD140" s="3">
        <f t="shared" si="32"/>
        <v>0</v>
      </c>
      <c r="AE140" s="2">
        <v>118.625849395589</v>
      </c>
      <c r="AF140" s="2">
        <v>145.859866276491</v>
      </c>
      <c r="AG140" s="2">
        <v>0.61834550877120498</v>
      </c>
      <c r="AH140" s="2">
        <v>128.90249361822299</v>
      </c>
      <c r="AI140" s="2">
        <v>142.248702062099</v>
      </c>
      <c r="AJ140" s="2"/>
      <c r="AK140" s="2"/>
      <c r="AL140" s="2"/>
      <c r="AM140" s="2"/>
      <c r="AN140" s="2"/>
      <c r="AO140" s="2"/>
      <c r="AP140" s="2"/>
      <c r="AR140" s="2">
        <v>0.31597717546362297</v>
      </c>
      <c r="AS140" s="2">
        <v>9.5874641487061193E-2</v>
      </c>
      <c r="AT140" s="2">
        <v>0.374115267947421</v>
      </c>
      <c r="AU140" s="2">
        <v>7.4620635088464796E-2</v>
      </c>
    </row>
    <row r="141" spans="1:47" x14ac:dyDescent="0.25">
      <c r="A141">
        <v>1918</v>
      </c>
      <c r="B141">
        <v>15.06</v>
      </c>
      <c r="C141" s="3">
        <f t="shared" si="37"/>
        <v>52.074688796680498</v>
      </c>
      <c r="D141">
        <v>20.67</v>
      </c>
      <c r="E141" s="3">
        <f t="shared" si="38"/>
        <v>99.999999999999986</v>
      </c>
      <c r="F141" s="3">
        <f t="shared" si="36"/>
        <v>90.179640718562879</v>
      </c>
      <c r="G141">
        <v>152</v>
      </c>
      <c r="I141" s="3">
        <f t="shared" si="33"/>
        <v>152.00000000000003</v>
      </c>
      <c r="J141">
        <v>4.24</v>
      </c>
      <c r="L141">
        <v>4.76</v>
      </c>
      <c r="N141" s="6">
        <f t="shared" si="39"/>
        <v>4.24</v>
      </c>
      <c r="O141" s="3">
        <f t="shared" si="40"/>
        <v>99.764705882352942</v>
      </c>
      <c r="P141">
        <v>197.9</v>
      </c>
      <c r="Q141" s="2">
        <v>192.47499999999999</v>
      </c>
      <c r="S141">
        <f t="shared" si="34"/>
        <v>197.9</v>
      </c>
      <c r="T141" s="3">
        <f t="shared" si="35"/>
        <v>198.36674528301887</v>
      </c>
      <c r="U141" s="2">
        <v>60.697339558916802</v>
      </c>
      <c r="V141">
        <v>104.32003241430399</v>
      </c>
      <c r="W141">
        <v>82.508685986610502</v>
      </c>
      <c r="X141">
        <v>45.243826109234199</v>
      </c>
      <c r="Y141" s="6">
        <f t="shared" si="28"/>
        <v>205.07772020725389</v>
      </c>
      <c r="Z141" s="6">
        <f t="shared" si="29"/>
        <v>216.92665515256186</v>
      </c>
      <c r="AA141" s="6">
        <f t="shared" si="30"/>
        <v>204.59404633884057</v>
      </c>
      <c r="AB141" s="3">
        <f t="shared" si="31"/>
        <v>20.649999999999995</v>
      </c>
      <c r="AC141" s="3">
        <f t="shared" si="27"/>
        <v>3.884837647058824</v>
      </c>
      <c r="AD141" s="3">
        <f t="shared" si="32"/>
        <v>0</v>
      </c>
      <c r="AE141" s="2">
        <v>124.010074749091</v>
      </c>
      <c r="AF141" s="2">
        <v>151.690492877704</v>
      </c>
      <c r="AG141" s="2">
        <v>0.67157101113907203</v>
      </c>
      <c r="AH141" s="2">
        <v>144.45645448731599</v>
      </c>
      <c r="AI141" s="2">
        <v>163.66097622840101</v>
      </c>
      <c r="AJ141" s="2"/>
      <c r="AK141" s="2"/>
      <c r="AL141" s="2"/>
      <c r="AM141" s="2"/>
      <c r="AN141" s="2"/>
      <c r="AO141" s="2"/>
      <c r="AP141" s="2"/>
      <c r="AR141" s="2">
        <v>7.2628726287262899E-2</v>
      </c>
      <c r="AS141" s="2">
        <v>8.0585351749320105E-2</v>
      </c>
      <c r="AT141" s="2">
        <v>0.118469462840323</v>
      </c>
      <c r="AU141" s="2">
        <v>6.5837973500498595E-2</v>
      </c>
    </row>
    <row r="142" spans="1:47" x14ac:dyDescent="0.25">
      <c r="A142">
        <v>1919</v>
      </c>
      <c r="B142">
        <v>17.3</v>
      </c>
      <c r="C142" s="3">
        <f t="shared" si="37"/>
        <v>59.820193637621017</v>
      </c>
      <c r="D142">
        <v>20.67</v>
      </c>
      <c r="E142" s="3">
        <f t="shared" si="38"/>
        <v>99.999999999999986</v>
      </c>
      <c r="F142" s="3">
        <f t="shared" si="36"/>
        <v>103.59281437125749</v>
      </c>
      <c r="G142">
        <v>160.30000000000001</v>
      </c>
      <c r="I142" s="3">
        <f t="shared" si="33"/>
        <v>160.30000000000004</v>
      </c>
      <c r="J142">
        <v>4.5</v>
      </c>
      <c r="L142">
        <v>4.43</v>
      </c>
      <c r="N142" s="6">
        <f t="shared" si="39"/>
        <v>4.5</v>
      </c>
      <c r="O142" s="3">
        <f t="shared" si="40"/>
        <v>105.88235294117646</v>
      </c>
      <c r="P142">
        <v>212.4</v>
      </c>
      <c r="Q142" s="2">
        <v>205.458333333333</v>
      </c>
      <c r="S142">
        <f t="shared" si="34"/>
        <v>212.4</v>
      </c>
      <c r="T142" s="3">
        <f t="shared" si="35"/>
        <v>200.60000000000002</v>
      </c>
      <c r="U142" s="2">
        <v>68.878649389609507</v>
      </c>
      <c r="V142">
        <v>106.139670921923</v>
      </c>
      <c r="W142">
        <v>87.509160155766097</v>
      </c>
      <c r="X142">
        <v>48.398699821264003</v>
      </c>
      <c r="Y142" s="6">
        <f t="shared" si="28"/>
        <v>220.10362694300517</v>
      </c>
      <c r="Z142" s="6">
        <f t="shared" si="29"/>
        <v>216.67979274611395</v>
      </c>
      <c r="AA142" s="6">
        <f t="shared" si="30"/>
        <v>206.89740932642491</v>
      </c>
      <c r="AB142" s="3">
        <f t="shared" si="31"/>
        <v>20.649999999999995</v>
      </c>
      <c r="AC142" s="3">
        <f t="shared" ref="AC142:AC152" si="41">O142*$AC$153/100</f>
        <v>4.1230588235294121</v>
      </c>
      <c r="AD142" s="3">
        <f t="shared" si="32"/>
        <v>0</v>
      </c>
      <c r="AE142" s="2">
        <v>127.762641007657</v>
      </c>
      <c r="AF142" s="2">
        <v>154.82310888224001</v>
      </c>
      <c r="AG142" s="2">
        <v>0.78047814188549902</v>
      </c>
      <c r="AH142" s="2">
        <v>151.66614401399099</v>
      </c>
      <c r="AI142" s="2">
        <v>173.99465927991699</v>
      </c>
      <c r="AJ142" s="2"/>
      <c r="AK142" s="2"/>
      <c r="AL142" s="2"/>
      <c r="AM142" s="2"/>
      <c r="AN142" s="2"/>
      <c r="AO142" s="2"/>
      <c r="AP142" s="2"/>
      <c r="AR142" s="2">
        <v>7.3269327943405696E-2</v>
      </c>
      <c r="AS142" s="2">
        <v>6.0133399200502501E-2</v>
      </c>
      <c r="AT142" s="2">
        <v>5.4605263157894803E-2</v>
      </c>
      <c r="AU142" s="2">
        <v>5.2065661141968797E-2</v>
      </c>
    </row>
    <row r="143" spans="1:47" x14ac:dyDescent="0.25">
      <c r="A143">
        <v>1920</v>
      </c>
      <c r="B143">
        <v>20.04</v>
      </c>
      <c r="C143" s="3">
        <f t="shared" si="37"/>
        <v>69.294605809128626</v>
      </c>
      <c r="D143">
        <v>20.67</v>
      </c>
      <c r="E143" s="3">
        <f t="shared" si="38"/>
        <v>99.999999999999986</v>
      </c>
      <c r="F143" s="3">
        <f t="shared" si="36"/>
        <v>120</v>
      </c>
      <c r="G143">
        <v>178.7</v>
      </c>
      <c r="I143" s="3">
        <f t="shared" si="33"/>
        <v>178.70000000000002</v>
      </c>
      <c r="J143">
        <v>5.65</v>
      </c>
      <c r="L143">
        <v>3.66</v>
      </c>
      <c r="N143" s="6">
        <f t="shared" si="39"/>
        <v>5.65</v>
      </c>
      <c r="O143" s="3">
        <f t="shared" si="40"/>
        <v>132.94117647058823</v>
      </c>
      <c r="P143">
        <v>258.8</v>
      </c>
      <c r="Q143" s="2">
        <v>248.083333333333</v>
      </c>
      <c r="S143">
        <f t="shared" si="34"/>
        <v>258.8</v>
      </c>
      <c r="T143" s="3">
        <f t="shared" si="35"/>
        <v>194.67256637168143</v>
      </c>
      <c r="U143" s="2">
        <v>87.168454642439599</v>
      </c>
      <c r="V143">
        <v>99.790489303553699</v>
      </c>
      <c r="W143">
        <v>93.479471972996706</v>
      </c>
      <c r="X143">
        <v>49.2107223343003</v>
      </c>
      <c r="Y143" s="6">
        <f t="shared" si="28"/>
        <v>268.18652849740931</v>
      </c>
      <c r="Z143" s="6">
        <f t="shared" si="29"/>
        <v>218.12504317789291</v>
      </c>
      <c r="AA143" s="6">
        <f t="shared" si="30"/>
        <v>200.78389655646754</v>
      </c>
      <c r="AB143" s="3">
        <f t="shared" si="31"/>
        <v>20.649999999999995</v>
      </c>
      <c r="AC143" s="3">
        <f t="shared" si="41"/>
        <v>5.1767294117647058</v>
      </c>
      <c r="AD143" s="3">
        <f t="shared" si="32"/>
        <v>0</v>
      </c>
      <c r="AE143" s="2">
        <v>129.60361802339801</v>
      </c>
      <c r="AF143" s="2">
        <v>155.200128429459</v>
      </c>
      <c r="AG143" s="2">
        <v>0.32259648318245698</v>
      </c>
      <c r="AH143" s="2">
        <v>148.52226426279</v>
      </c>
      <c r="AI143" s="2">
        <v>168.96254676828599</v>
      </c>
      <c r="AJ143" s="2"/>
      <c r="AK143" s="2"/>
      <c r="AL143" s="2"/>
      <c r="AM143" s="2"/>
      <c r="AN143" s="2"/>
      <c r="AO143" s="2"/>
      <c r="AP143" s="2"/>
      <c r="AR143" s="2">
        <v>0.218455743879472</v>
      </c>
      <c r="AS143" s="2">
        <v>3.6896111508414001E-2</v>
      </c>
      <c r="AT143" s="2">
        <v>0.114784778540236</v>
      </c>
      <c r="AU143" s="2">
        <v>3.5748749441124598E-2</v>
      </c>
    </row>
    <row r="144" spans="1:47" x14ac:dyDescent="0.25">
      <c r="A144">
        <v>1921</v>
      </c>
      <c r="B144">
        <v>17.899999999999999</v>
      </c>
      <c r="C144" s="3">
        <f t="shared" si="37"/>
        <v>61.894882434301508</v>
      </c>
      <c r="D144">
        <v>20.67</v>
      </c>
      <c r="E144" s="3">
        <f t="shared" si="38"/>
        <v>99.999999999999986</v>
      </c>
      <c r="F144" s="3">
        <f t="shared" si="36"/>
        <v>107.18562874251496</v>
      </c>
      <c r="G144">
        <v>113</v>
      </c>
      <c r="I144" s="3">
        <f t="shared" si="33"/>
        <v>113.00000000000001</v>
      </c>
      <c r="J144">
        <v>5.35</v>
      </c>
      <c r="L144">
        <v>3.85</v>
      </c>
      <c r="N144" s="6">
        <f t="shared" si="39"/>
        <v>5.35</v>
      </c>
      <c r="O144" s="3">
        <f t="shared" si="40"/>
        <v>125.88235294117646</v>
      </c>
      <c r="P144">
        <v>159.80000000000001</v>
      </c>
      <c r="Q144" s="2">
        <v>159.65</v>
      </c>
      <c r="S144">
        <f t="shared" si="34"/>
        <v>159.80000000000001</v>
      </c>
      <c r="T144" s="3">
        <f t="shared" si="35"/>
        <v>126.94392523364488</v>
      </c>
      <c r="U144" s="2">
        <v>21.3670376114448</v>
      </c>
      <c r="V144">
        <v>31.6331071723205</v>
      </c>
      <c r="W144">
        <v>26.5000723918826</v>
      </c>
      <c r="X144">
        <v>47.902340345600699</v>
      </c>
      <c r="Y144" s="6">
        <f t="shared" si="28"/>
        <v>165.59585492227981</v>
      </c>
      <c r="Z144" s="6">
        <f t="shared" si="29"/>
        <v>141.6764536557283</v>
      </c>
      <c r="AA144" s="6">
        <f t="shared" si="30"/>
        <v>130.92905912546613</v>
      </c>
      <c r="AB144" s="3">
        <f t="shared" si="31"/>
        <v>20.649999999999995</v>
      </c>
      <c r="AC144" s="3">
        <f t="shared" si="41"/>
        <v>4.9018588235294116</v>
      </c>
      <c r="AD144" s="3">
        <f t="shared" si="32"/>
        <v>0</v>
      </c>
      <c r="AE144" s="2">
        <v>129.57844923834901</v>
      </c>
      <c r="AF144" s="2">
        <v>153.21953456989601</v>
      </c>
      <c r="AG144" s="2">
        <v>0.313452773046972</v>
      </c>
      <c r="AH144" s="2">
        <v>135.89346929359101</v>
      </c>
      <c r="AI144" s="2">
        <v>153.07254781850901</v>
      </c>
      <c r="AJ144" s="2"/>
      <c r="AK144" s="2"/>
      <c r="AL144" s="2"/>
      <c r="AM144" s="2"/>
      <c r="AN144" s="2"/>
      <c r="AO144" s="2"/>
      <c r="AP144" s="2"/>
      <c r="AR144" s="2">
        <v>-0.38253477588871698</v>
      </c>
      <c r="AS144" s="2">
        <v>1.3382175628289699E-2</v>
      </c>
      <c r="AT144" s="2">
        <v>-0.36765528819250098</v>
      </c>
      <c r="AU144" s="2">
        <v>1.93576858463743E-2</v>
      </c>
    </row>
    <row r="145" spans="1:47" x14ac:dyDescent="0.25">
      <c r="A145">
        <v>1922</v>
      </c>
      <c r="B145">
        <v>16.77</v>
      </c>
      <c r="C145" s="3">
        <f t="shared" si="37"/>
        <v>57.987551867219914</v>
      </c>
      <c r="D145">
        <v>20.67</v>
      </c>
      <c r="E145" s="3">
        <f t="shared" si="38"/>
        <v>99.999999999999986</v>
      </c>
      <c r="F145" s="3">
        <f t="shared" si="36"/>
        <v>100.41916167664671</v>
      </c>
      <c r="G145">
        <v>111.9</v>
      </c>
      <c r="I145" s="3">
        <f t="shared" si="33"/>
        <v>111.90000000000002</v>
      </c>
      <c r="J145">
        <v>4.67</v>
      </c>
      <c r="L145">
        <v>4.43</v>
      </c>
      <c r="N145" s="6">
        <f t="shared" si="39"/>
        <v>4.67</v>
      </c>
      <c r="O145" s="3">
        <f t="shared" si="40"/>
        <v>109.88235294117646</v>
      </c>
      <c r="P145">
        <v>135.1</v>
      </c>
      <c r="Q145" s="2">
        <v>132.1</v>
      </c>
      <c r="S145">
        <f t="shared" si="34"/>
        <v>135.1</v>
      </c>
      <c r="T145" s="3">
        <f t="shared" si="35"/>
        <v>122.94967880085653</v>
      </c>
      <c r="U145" s="2">
        <v>20.1746805906627</v>
      </c>
      <c r="V145">
        <v>27.208163301869</v>
      </c>
      <c r="W145">
        <v>23.691421946265798</v>
      </c>
      <c r="X145">
        <v>45.138688048809698</v>
      </c>
      <c r="Y145" s="6">
        <f t="shared" si="28"/>
        <v>140</v>
      </c>
      <c r="Z145" s="6">
        <f t="shared" si="29"/>
        <v>137.82222222222219</v>
      </c>
      <c r="AA145" s="6">
        <f t="shared" si="30"/>
        <v>126.80942184154179</v>
      </c>
      <c r="AB145" s="3">
        <f t="shared" si="31"/>
        <v>20.649999999999995</v>
      </c>
      <c r="AC145" s="3">
        <f t="shared" si="41"/>
        <v>4.2788188235294111</v>
      </c>
      <c r="AD145" s="3">
        <f t="shared" si="32"/>
        <v>0</v>
      </c>
      <c r="AE145" s="2">
        <v>128.22354191430901</v>
      </c>
      <c r="AF145" s="2">
        <v>149.67460906979599</v>
      </c>
      <c r="AG145" s="2">
        <v>0.353724106749913</v>
      </c>
      <c r="AH145" s="2">
        <v>124.707658412009</v>
      </c>
      <c r="AI145" s="2">
        <v>139.421722632822</v>
      </c>
      <c r="AJ145" s="2"/>
      <c r="AK145" s="2"/>
      <c r="AL145" s="2"/>
      <c r="AM145" s="2"/>
      <c r="AN145" s="2"/>
      <c r="AO145" s="2"/>
      <c r="AP145" s="2"/>
      <c r="AR145" s="2">
        <v>-0.15456821026282799</v>
      </c>
      <c r="AS145" s="2">
        <v>-6.0841251609251102E-3</v>
      </c>
      <c r="AT145" s="2">
        <v>-9.7345132743362293E-3</v>
      </c>
      <c r="AU145" s="2">
        <v>6.1532780971172698E-3</v>
      </c>
    </row>
    <row r="146" spans="1:47" x14ac:dyDescent="0.25">
      <c r="A146">
        <v>1923</v>
      </c>
      <c r="B146">
        <v>17.07</v>
      </c>
      <c r="C146" s="3">
        <f t="shared" si="37"/>
        <v>59.024896265560166</v>
      </c>
      <c r="D146">
        <v>20.67</v>
      </c>
      <c r="E146" s="3">
        <f t="shared" si="38"/>
        <v>99.999999999999986</v>
      </c>
      <c r="F146" s="3">
        <f t="shared" si="36"/>
        <v>102.21556886227545</v>
      </c>
      <c r="G146">
        <v>116.4</v>
      </c>
      <c r="I146" s="3">
        <f t="shared" si="33"/>
        <v>116.40000000000002</v>
      </c>
      <c r="J146">
        <v>4.51</v>
      </c>
      <c r="L146">
        <v>4.58</v>
      </c>
      <c r="N146" s="6">
        <f t="shared" si="39"/>
        <v>4.51</v>
      </c>
      <c r="O146" s="3">
        <f t="shared" si="40"/>
        <v>106.11764705882354</v>
      </c>
      <c r="P146">
        <v>133</v>
      </c>
      <c r="Q146" s="2">
        <v>129.98333333333301</v>
      </c>
      <c r="S146">
        <f t="shared" si="34"/>
        <v>133</v>
      </c>
      <c r="T146" s="3">
        <f t="shared" si="35"/>
        <v>125.33259423503326</v>
      </c>
      <c r="U146" s="2">
        <v>24.5916658741309</v>
      </c>
      <c r="V146">
        <v>29.146315626368601</v>
      </c>
      <c r="W146">
        <v>26.868990750249701</v>
      </c>
      <c r="X146">
        <v>41.370876958034501</v>
      </c>
      <c r="Y146" s="6">
        <f t="shared" si="28"/>
        <v>137.8238341968912</v>
      </c>
      <c r="Z146" s="6">
        <f t="shared" si="29"/>
        <v>140.27403569372484</v>
      </c>
      <c r="AA146" s="6">
        <f t="shared" si="30"/>
        <v>129.26714382546561</v>
      </c>
      <c r="AB146" s="3">
        <f t="shared" si="31"/>
        <v>20.649999999999995</v>
      </c>
      <c r="AC146" s="3">
        <f t="shared" si="41"/>
        <v>4.1322211764705887</v>
      </c>
      <c r="AD146" s="3">
        <f t="shared" si="32"/>
        <v>0</v>
      </c>
      <c r="AE146" s="2">
        <v>125.909518820695</v>
      </c>
      <c r="AF146" s="2">
        <v>145.09573834969899</v>
      </c>
      <c r="AG146" s="2">
        <v>0.32955111451755398</v>
      </c>
      <c r="AH146" s="2">
        <v>118.26157449246099</v>
      </c>
      <c r="AI146" s="2">
        <v>132.39294880729599</v>
      </c>
      <c r="AJ146" s="2"/>
      <c r="AK146" s="2"/>
      <c r="AL146" s="2"/>
      <c r="AM146" s="2"/>
      <c r="AN146" s="2"/>
      <c r="AO146" s="2"/>
      <c r="AP146" s="2"/>
      <c r="AR146" s="2">
        <v>-1.5544041450777099E-2</v>
      </c>
      <c r="AS146" s="2">
        <v>-2.1137677095454901E-2</v>
      </c>
      <c r="AT146" s="2">
        <v>4.0214477211796197E-2</v>
      </c>
      <c r="AU146" s="2">
        <v>-4.4737958076357196E-3</v>
      </c>
    </row>
    <row r="147" spans="1:47" x14ac:dyDescent="0.25">
      <c r="A147">
        <v>1924</v>
      </c>
      <c r="B147">
        <v>17.100000000000001</v>
      </c>
      <c r="C147" s="3">
        <f t="shared" si="37"/>
        <v>59.128630705394194</v>
      </c>
      <c r="D147">
        <v>20.67</v>
      </c>
      <c r="E147" s="3">
        <f t="shared" si="38"/>
        <v>99.999999999999986</v>
      </c>
      <c r="F147" s="3">
        <f t="shared" si="36"/>
        <v>102.39520958083834</v>
      </c>
      <c r="G147">
        <v>113.5</v>
      </c>
      <c r="I147" s="3">
        <f t="shared" si="33"/>
        <v>113.50000000000001</v>
      </c>
      <c r="J147">
        <v>4.6900000000000004</v>
      </c>
      <c r="L147">
        <v>4.42</v>
      </c>
      <c r="N147" s="6">
        <f t="shared" si="39"/>
        <v>4.6900000000000004</v>
      </c>
      <c r="O147" s="3">
        <f t="shared" si="40"/>
        <v>110.35294117647061</v>
      </c>
      <c r="P147">
        <v>143.30000000000001</v>
      </c>
      <c r="Q147" s="2">
        <v>139.98333333333301</v>
      </c>
      <c r="S147">
        <f t="shared" si="34"/>
        <v>143.30000000000001</v>
      </c>
      <c r="T147" s="3">
        <f t="shared" si="35"/>
        <v>129.85607675906184</v>
      </c>
      <c r="U147" s="2">
        <v>21.618275755887002</v>
      </c>
      <c r="V147">
        <v>33.228241240511601</v>
      </c>
      <c r="W147">
        <v>27.423258498199299</v>
      </c>
      <c r="X147">
        <v>36.835545926357</v>
      </c>
      <c r="Y147" s="6">
        <f t="shared" ref="Y147:Y210" si="42">100*S147/$S$13</f>
        <v>148.4974093264249</v>
      </c>
      <c r="Z147" s="6">
        <f t="shared" ref="Z147:Z210" si="43">Y147*(L147/$L$13)</f>
        <v>145.85745538284402</v>
      </c>
      <c r="AA147" s="6">
        <f t="shared" ref="AA147:AA210" si="44">Y147/(O147/$O$13)</f>
        <v>133.93263143939816</v>
      </c>
      <c r="AB147" s="3">
        <f t="shared" si="31"/>
        <v>20.649999999999995</v>
      </c>
      <c r="AC147" s="3">
        <f t="shared" si="41"/>
        <v>4.2971435294117661</v>
      </c>
      <c r="AD147" s="3">
        <f t="shared" si="32"/>
        <v>0</v>
      </c>
      <c r="AE147" s="2">
        <v>122.84376730778099</v>
      </c>
      <c r="AF147" s="2">
        <v>139.74696273945301</v>
      </c>
      <c r="AG147" s="2">
        <v>0.38401226067911298</v>
      </c>
      <c r="AH147" s="2">
        <v>115.58274093869601</v>
      </c>
      <c r="AI147" s="2">
        <v>130.90852972705599</v>
      </c>
      <c r="AJ147" s="2"/>
      <c r="AK147" s="2"/>
      <c r="AL147" s="2"/>
      <c r="AM147" s="2"/>
      <c r="AN147" s="2"/>
      <c r="AO147" s="2"/>
      <c r="AP147" s="2"/>
      <c r="AR147" s="2">
        <v>7.7443609022556398E-2</v>
      </c>
      <c r="AS147" s="2">
        <v>-3.28982072625435E-2</v>
      </c>
      <c r="AT147" s="2">
        <v>-2.4914089347079001E-2</v>
      </c>
      <c r="AU147" s="2">
        <v>-1.3291735782588399E-2</v>
      </c>
    </row>
    <row r="148" spans="1:47" x14ac:dyDescent="0.25">
      <c r="A148">
        <v>1925</v>
      </c>
      <c r="B148">
        <v>17.53</v>
      </c>
      <c r="C148" s="3">
        <f t="shared" si="37"/>
        <v>60.615491009681875</v>
      </c>
      <c r="D148">
        <v>20.67</v>
      </c>
      <c r="E148" s="3">
        <f t="shared" si="38"/>
        <v>99.999999999999986</v>
      </c>
      <c r="F148" s="3">
        <f t="shared" si="36"/>
        <v>104.97005988023953</v>
      </c>
      <c r="G148">
        <v>119.7</v>
      </c>
      <c r="I148" s="3">
        <f t="shared" si="33"/>
        <v>119.70000000000002</v>
      </c>
      <c r="J148">
        <v>4.2699999999999996</v>
      </c>
      <c r="L148">
        <v>4.83</v>
      </c>
      <c r="N148" s="6">
        <f t="shared" si="39"/>
        <v>4.2699999999999996</v>
      </c>
      <c r="O148" s="3">
        <f t="shared" si="40"/>
        <v>100.4705882352941</v>
      </c>
      <c r="P148">
        <v>140.19999999999999</v>
      </c>
      <c r="Q148" s="2">
        <v>135.6</v>
      </c>
      <c r="S148">
        <f t="shared" si="34"/>
        <v>140.19999999999999</v>
      </c>
      <c r="T148" s="3">
        <f t="shared" si="35"/>
        <v>139.54332552693208</v>
      </c>
      <c r="U148" s="2">
        <v>27.7547925299688</v>
      </c>
      <c r="V148">
        <v>42.454636399513099</v>
      </c>
      <c r="W148">
        <v>35.104714464740901</v>
      </c>
      <c r="X148">
        <v>31.6243149447814</v>
      </c>
      <c r="Y148" s="6">
        <f t="shared" si="42"/>
        <v>145.28497409326422</v>
      </c>
      <c r="Z148" s="6">
        <f t="shared" si="43"/>
        <v>155.93920552677025</v>
      </c>
      <c r="AA148" s="6">
        <f t="shared" si="44"/>
        <v>143.92399072939295</v>
      </c>
      <c r="AB148" s="3">
        <f t="shared" si="31"/>
        <v>20.649999999999995</v>
      </c>
      <c r="AC148" s="3">
        <f t="shared" si="41"/>
        <v>3.9123247058823525</v>
      </c>
      <c r="AD148" s="3">
        <f t="shared" si="32"/>
        <v>0</v>
      </c>
      <c r="AE148" s="2">
        <v>119.13857953763301</v>
      </c>
      <c r="AF148" s="2">
        <v>133.69376518540599</v>
      </c>
      <c r="AG148" s="2">
        <v>0.35152468916500401</v>
      </c>
      <c r="AH148" s="2">
        <v>115.07815632363901</v>
      </c>
      <c r="AI148" s="2">
        <v>131.50645250813201</v>
      </c>
      <c r="AJ148" s="2"/>
      <c r="AK148" s="2"/>
      <c r="AL148" s="2"/>
      <c r="AM148" s="2"/>
      <c r="AN148" s="2"/>
      <c r="AO148" s="2"/>
      <c r="AP148" s="2"/>
      <c r="AR148" s="2">
        <v>-2.1632937892533299E-2</v>
      </c>
      <c r="AS148" s="2">
        <v>-4.2429506392987502E-2</v>
      </c>
      <c r="AT148" s="2">
        <v>5.4625550660792901E-2</v>
      </c>
      <c r="AU148" s="2">
        <v>-2.0621859012250401E-2</v>
      </c>
    </row>
    <row r="149" spans="1:47" x14ac:dyDescent="0.25">
      <c r="A149">
        <v>1926</v>
      </c>
      <c r="B149">
        <v>17.7</v>
      </c>
      <c r="C149" s="3">
        <f t="shared" si="37"/>
        <v>61.203319502074685</v>
      </c>
      <c r="D149">
        <v>20.67</v>
      </c>
      <c r="E149" s="3">
        <f t="shared" si="38"/>
        <v>99.999999999999986</v>
      </c>
      <c r="F149" s="3">
        <f t="shared" si="36"/>
        <v>105.98802395209582</v>
      </c>
      <c r="G149">
        <v>115.7</v>
      </c>
      <c r="I149" s="3">
        <f t="shared" si="33"/>
        <v>115.70000000000002</v>
      </c>
      <c r="J149">
        <v>4.25</v>
      </c>
      <c r="L149">
        <v>4.8600000000000003</v>
      </c>
      <c r="N149" s="6">
        <f t="shared" si="39"/>
        <v>4.25</v>
      </c>
      <c r="O149" s="3">
        <f t="shared" si="40"/>
        <v>100</v>
      </c>
      <c r="P149">
        <v>129.9</v>
      </c>
      <c r="Q149" s="2">
        <v>127.175</v>
      </c>
      <c r="S149">
        <f t="shared" si="34"/>
        <v>129.9</v>
      </c>
      <c r="T149" s="3">
        <f t="shared" si="35"/>
        <v>129.9</v>
      </c>
      <c r="U149" s="2">
        <v>23.701498490413599</v>
      </c>
      <c r="V149">
        <v>32.3562165191113</v>
      </c>
      <c r="W149">
        <v>28.028857504762499</v>
      </c>
      <c r="X149">
        <v>25.734681130030001</v>
      </c>
      <c r="Y149" s="6">
        <f t="shared" si="42"/>
        <v>134.61139896373058</v>
      </c>
      <c r="Z149" s="6">
        <f t="shared" si="43"/>
        <v>145.38031088082903</v>
      </c>
      <c r="AA149" s="6">
        <f t="shared" si="44"/>
        <v>133.97793355684246</v>
      </c>
      <c r="AB149" s="3">
        <f t="shared" si="31"/>
        <v>20.649999999999995</v>
      </c>
      <c r="AC149" s="3">
        <f t="shared" si="41"/>
        <v>3.8940000000000001</v>
      </c>
      <c r="AD149" s="3">
        <f t="shared" si="32"/>
        <v>0</v>
      </c>
      <c r="AE149" s="2">
        <v>114.81280999924</v>
      </c>
      <c r="AF149" s="2">
        <v>126.90455900651099</v>
      </c>
      <c r="AG149" s="2">
        <v>0.30727139105999701</v>
      </c>
      <c r="AH149" s="2">
        <v>114.46057224065299</v>
      </c>
      <c r="AI149" s="2">
        <v>130.43519435753399</v>
      </c>
      <c r="AJ149" s="2"/>
      <c r="AK149" s="2"/>
      <c r="AL149" s="2"/>
      <c r="AM149" s="2"/>
      <c r="AN149" s="2"/>
      <c r="AO149" s="2"/>
      <c r="AP149" s="2"/>
      <c r="AR149" s="2">
        <v>-7.34664764621967E-2</v>
      </c>
      <c r="AS149" s="2">
        <v>-4.9691947054732802E-2</v>
      </c>
      <c r="AT149" s="2">
        <v>-3.3416875522138602E-2</v>
      </c>
      <c r="AU149" s="2">
        <v>-2.6901706216776001E-2</v>
      </c>
    </row>
    <row r="150" spans="1:47" x14ac:dyDescent="0.25">
      <c r="A150">
        <v>1927</v>
      </c>
      <c r="B150">
        <v>17.37</v>
      </c>
      <c r="C150" s="3">
        <f t="shared" si="37"/>
        <v>60.062240663900411</v>
      </c>
      <c r="D150">
        <v>20.67</v>
      </c>
      <c r="E150" s="3">
        <f t="shared" si="38"/>
        <v>99.999999999999986</v>
      </c>
      <c r="F150" s="3">
        <f t="shared" si="36"/>
        <v>104.0119760479042</v>
      </c>
      <c r="G150">
        <v>110.5</v>
      </c>
      <c r="I150" s="3">
        <f t="shared" si="33"/>
        <v>110.50000000000001</v>
      </c>
      <c r="J150">
        <v>4.25</v>
      </c>
      <c r="L150">
        <v>4.8600000000000003</v>
      </c>
      <c r="N150" s="6">
        <f t="shared" si="39"/>
        <v>4.25</v>
      </c>
      <c r="O150" s="3">
        <f t="shared" si="40"/>
        <v>100</v>
      </c>
      <c r="P150">
        <v>125.8</v>
      </c>
      <c r="Q150" s="2">
        <v>122.566666666667</v>
      </c>
      <c r="S150">
        <f t="shared" si="34"/>
        <v>125.8</v>
      </c>
      <c r="T150" s="3">
        <f t="shared" si="35"/>
        <v>125.8</v>
      </c>
      <c r="U150" s="2">
        <v>18.4586759312593</v>
      </c>
      <c r="V150">
        <v>27.793716175567599</v>
      </c>
      <c r="W150">
        <v>23.126196053413501</v>
      </c>
      <c r="X150">
        <v>19.198945594024998</v>
      </c>
      <c r="Y150" s="6">
        <f t="shared" si="42"/>
        <v>130.36269430051814</v>
      </c>
      <c r="Z150" s="6">
        <f t="shared" si="43"/>
        <v>140.79170984455959</v>
      </c>
      <c r="AA150" s="6">
        <f t="shared" si="44"/>
        <v>129.7492227979275</v>
      </c>
      <c r="AB150" s="3">
        <f t="shared" si="31"/>
        <v>20.649999999999995</v>
      </c>
      <c r="AC150" s="3">
        <f t="shared" si="41"/>
        <v>3.8940000000000001</v>
      </c>
      <c r="AD150" s="3">
        <f t="shared" si="32"/>
        <v>0</v>
      </c>
      <c r="AE150" s="2">
        <v>109.890927386214</v>
      </c>
      <c r="AF150" s="2">
        <v>119.422719869868</v>
      </c>
      <c r="AG150" s="2">
        <v>0.32361679555927803</v>
      </c>
      <c r="AH150" s="2">
        <v>112.983354841888</v>
      </c>
      <c r="AI150" s="2">
        <v>127.171081646229</v>
      </c>
      <c r="AJ150" s="2"/>
      <c r="AK150" s="2"/>
      <c r="AL150" s="2"/>
      <c r="AM150" s="2"/>
      <c r="AN150" s="2"/>
      <c r="AO150" s="2"/>
      <c r="AP150" s="2"/>
      <c r="AR150" s="2">
        <v>-3.1562740569668998E-2</v>
      </c>
      <c r="AS150" s="2">
        <v>-5.4437936130720802E-2</v>
      </c>
      <c r="AT150" s="2">
        <v>-4.49438202247191E-2</v>
      </c>
      <c r="AU150" s="2">
        <v>-3.1816344019589202E-2</v>
      </c>
    </row>
    <row r="151" spans="1:47" x14ac:dyDescent="0.25">
      <c r="A151">
        <v>1928</v>
      </c>
      <c r="B151">
        <v>17.13</v>
      </c>
      <c r="C151" s="3">
        <f t="shared" si="37"/>
        <v>59.232365145228215</v>
      </c>
      <c r="D151">
        <v>20.67</v>
      </c>
      <c r="E151" s="3">
        <f t="shared" si="38"/>
        <v>99.999999999999986</v>
      </c>
      <c r="F151" s="3">
        <f t="shared" si="36"/>
        <v>102.57485029940121</v>
      </c>
      <c r="G151">
        <v>112.1</v>
      </c>
      <c r="I151" s="3">
        <f t="shared" si="33"/>
        <v>112.10000000000002</v>
      </c>
      <c r="J151">
        <v>4.25</v>
      </c>
      <c r="L151">
        <v>4.87</v>
      </c>
      <c r="N151" s="6">
        <f t="shared" si="39"/>
        <v>4.25</v>
      </c>
      <c r="O151" s="3">
        <f t="shared" si="40"/>
        <v>100</v>
      </c>
      <c r="P151">
        <v>123.7</v>
      </c>
      <c r="Q151" s="2">
        <v>120.64166666666701</v>
      </c>
      <c r="S151">
        <f t="shared" si="34"/>
        <v>123.7</v>
      </c>
      <c r="T151" s="3">
        <f t="shared" si="35"/>
        <v>123.7</v>
      </c>
      <c r="U151" s="2">
        <v>20.026607146543501</v>
      </c>
      <c r="V151">
        <v>25.227889105666399</v>
      </c>
      <c r="W151">
        <v>22.627248126104899</v>
      </c>
      <c r="X151">
        <v>12.072351212435599</v>
      </c>
      <c r="Y151" s="6">
        <f t="shared" si="42"/>
        <v>128.18652849740931</v>
      </c>
      <c r="Z151" s="6">
        <f t="shared" si="43"/>
        <v>138.72630972941852</v>
      </c>
      <c r="AA151" s="6">
        <f t="shared" si="44"/>
        <v>127.58329777506859</v>
      </c>
      <c r="AB151" s="3">
        <f t="shared" si="31"/>
        <v>20.649999999999995</v>
      </c>
      <c r="AC151" s="3">
        <f t="shared" si="41"/>
        <v>3.8940000000000001</v>
      </c>
      <c r="AD151" s="3">
        <f t="shared" si="32"/>
        <v>0</v>
      </c>
      <c r="AE151" s="2">
        <v>104.406272292175</v>
      </c>
      <c r="AF151" s="2">
        <v>111.32287785251199</v>
      </c>
      <c r="AG151" s="2">
        <v>0.30782825678646197</v>
      </c>
      <c r="AH151" s="2">
        <v>110.31301286594</v>
      </c>
      <c r="AI151" s="2">
        <v>121.05537595933799</v>
      </c>
      <c r="AJ151" s="2"/>
      <c r="AK151" s="2"/>
      <c r="AL151" s="2"/>
      <c r="AM151" s="2"/>
      <c r="AN151" s="2"/>
      <c r="AO151" s="2"/>
      <c r="AP151" s="2"/>
      <c r="AR151" s="2">
        <v>-1.6693163751987199E-2</v>
      </c>
      <c r="AS151" s="2">
        <v>-5.6657625797967501E-2</v>
      </c>
      <c r="AT151" s="2">
        <v>1.44796380090497E-2</v>
      </c>
      <c r="AU151" s="2">
        <v>-3.51159907371675E-2</v>
      </c>
    </row>
    <row r="152" spans="1:47" x14ac:dyDescent="0.25">
      <c r="A152">
        <v>1929</v>
      </c>
      <c r="B152">
        <v>17.13</v>
      </c>
      <c r="C152" s="3">
        <f t="shared" si="37"/>
        <v>59.232365145228215</v>
      </c>
      <c r="D152">
        <v>20.67</v>
      </c>
      <c r="E152" s="3">
        <f t="shared" si="38"/>
        <v>99.999999999999986</v>
      </c>
      <c r="F152" s="3">
        <f t="shared" si="36"/>
        <v>102.57485029940121</v>
      </c>
      <c r="G152">
        <v>110.1</v>
      </c>
      <c r="I152" s="3">
        <f t="shared" si="33"/>
        <v>110.10000000000002</v>
      </c>
      <c r="J152">
        <v>4.25</v>
      </c>
      <c r="L152">
        <v>4.8600000000000003</v>
      </c>
      <c r="N152" s="6">
        <f t="shared" si="39"/>
        <v>4.25</v>
      </c>
      <c r="O152" s="3">
        <f t="shared" si="40"/>
        <v>100</v>
      </c>
      <c r="P152">
        <v>118.8</v>
      </c>
      <c r="Q152" s="2">
        <v>114.175</v>
      </c>
      <c r="S152">
        <f t="shared" si="34"/>
        <v>118.8</v>
      </c>
      <c r="T152" s="3">
        <f t="shared" si="35"/>
        <v>118.8</v>
      </c>
      <c r="U152" s="2">
        <v>18.0055744303037</v>
      </c>
      <c r="V152">
        <v>19.8595082067148</v>
      </c>
      <c r="W152">
        <v>18.932541318509202</v>
      </c>
      <c r="X152">
        <v>4.4494133655252597</v>
      </c>
      <c r="Y152" s="6">
        <f t="shared" si="42"/>
        <v>123.10880829015544</v>
      </c>
      <c r="Z152" s="6">
        <f t="shared" si="43"/>
        <v>132.95751295336788</v>
      </c>
      <c r="AA152" s="6">
        <f t="shared" si="44"/>
        <v>122.5294727217312</v>
      </c>
      <c r="AB152" s="3">
        <f t="shared" ref="AB152:AB215" si="45">$AB$153*E152/100</f>
        <v>20.649999999999995</v>
      </c>
      <c r="AC152" s="3">
        <f t="shared" si="41"/>
        <v>3.8940000000000001</v>
      </c>
      <c r="AD152" s="3">
        <f t="shared" ref="AD152:AD215" si="46">(I152*E152/100)-G152</f>
        <v>0</v>
      </c>
      <c r="AE152" s="2">
        <v>98.398276036881796</v>
      </c>
      <c r="AF152" s="2">
        <v>102.74473583277801</v>
      </c>
      <c r="AG152" s="2">
        <v>0.214073670775805</v>
      </c>
      <c r="AH152" s="2">
        <v>105.288270104112</v>
      </c>
      <c r="AI152" s="2">
        <v>111.015644999907</v>
      </c>
      <c r="AJ152" s="2">
        <v>115</v>
      </c>
      <c r="AK152" s="2">
        <v>106</v>
      </c>
      <c r="AL152" s="2"/>
      <c r="AM152" s="2"/>
      <c r="AN152" s="2"/>
      <c r="AO152" s="2"/>
      <c r="AP152" s="2"/>
      <c r="AR152" s="2">
        <v>-3.9611964430072803E-2</v>
      </c>
      <c r="AS152" s="2">
        <v>-5.6112416277878101E-2</v>
      </c>
      <c r="AT152" s="2">
        <v>-1.7841213202497701E-2</v>
      </c>
      <c r="AU152" s="2">
        <v>-3.6682139448039802E-2</v>
      </c>
    </row>
    <row r="153" spans="1:47" x14ac:dyDescent="0.25">
      <c r="A153">
        <v>1930</v>
      </c>
      <c r="B153">
        <v>16.7</v>
      </c>
      <c r="C153" s="3">
        <f t="shared" si="37"/>
        <v>57.745504840940519</v>
      </c>
      <c r="D153">
        <v>20.67</v>
      </c>
      <c r="E153" s="3">
        <f t="shared" si="38"/>
        <v>99.999999999999986</v>
      </c>
      <c r="F153" s="3">
        <f t="shared" si="36"/>
        <v>100</v>
      </c>
      <c r="G153">
        <v>100</v>
      </c>
      <c r="I153" s="3">
        <f t="shared" si="33"/>
        <v>100.00000000000001</v>
      </c>
      <c r="J153">
        <v>4.25</v>
      </c>
      <c r="L153">
        <v>4.8600000000000003</v>
      </c>
      <c r="N153" s="6">
        <f t="shared" si="39"/>
        <v>4.25</v>
      </c>
      <c r="O153" s="3">
        <f t="shared" si="40"/>
        <v>100</v>
      </c>
      <c r="P153">
        <v>100</v>
      </c>
      <c r="Q153" s="2">
        <v>96.15</v>
      </c>
      <c r="S153">
        <f t="shared" si="34"/>
        <v>100</v>
      </c>
      <c r="T153" s="3">
        <f t="shared" si="35"/>
        <v>100</v>
      </c>
      <c r="U153" s="2">
        <v>7.8958600765775797</v>
      </c>
      <c r="V153">
        <v>0.58936553654302803</v>
      </c>
      <c r="W153">
        <v>4.2426128065602997</v>
      </c>
      <c r="X153">
        <v>-3.4698035973061598</v>
      </c>
      <c r="Y153" s="6">
        <f t="shared" si="42"/>
        <v>103.62694300518135</v>
      </c>
      <c r="Z153" s="6">
        <f t="shared" si="43"/>
        <v>111.91709844559585</v>
      </c>
      <c r="AA153" s="6">
        <f t="shared" si="44"/>
        <v>103.13928680280405</v>
      </c>
      <c r="AB153" s="2">
        <v>20.65</v>
      </c>
      <c r="AC153" s="2">
        <v>3.8940000000000001</v>
      </c>
      <c r="AD153" s="3">
        <f t="shared" si="46"/>
        <v>0</v>
      </c>
      <c r="AE153" s="2">
        <v>91.983307217169596</v>
      </c>
      <c r="AF153" s="2">
        <v>93.952967910478904</v>
      </c>
      <c r="AG153" s="2">
        <v>4.6006517634157501E-2</v>
      </c>
      <c r="AH153" s="2">
        <v>97.343512725726598</v>
      </c>
      <c r="AI153" s="2">
        <v>96.9009978178685</v>
      </c>
      <c r="AJ153" s="2"/>
      <c r="AK153" s="2"/>
      <c r="AL153" s="2"/>
      <c r="AM153" s="2"/>
      <c r="AN153" s="2"/>
      <c r="AO153" s="2"/>
      <c r="AP153" s="2"/>
      <c r="AR153" s="2">
        <v>-0.158249158249158</v>
      </c>
      <c r="AS153" s="2">
        <v>-5.2164063171398399E-2</v>
      </c>
      <c r="AT153" s="2">
        <v>-9.1734786557674794E-2</v>
      </c>
      <c r="AU153" s="2">
        <v>-3.5900326943272901E-2</v>
      </c>
    </row>
    <row r="154" spans="1:47" x14ac:dyDescent="0.25">
      <c r="A154">
        <v>1931</v>
      </c>
      <c r="B154">
        <v>15.23</v>
      </c>
      <c r="C154" s="3">
        <f t="shared" si="37"/>
        <v>52.6625172890733</v>
      </c>
      <c r="D154">
        <v>20.67</v>
      </c>
      <c r="E154" s="3">
        <f t="shared" si="38"/>
        <v>99.999999999999986</v>
      </c>
      <c r="F154" s="3">
        <f t="shared" si="36"/>
        <v>91.197604790419163</v>
      </c>
      <c r="G154">
        <v>84.3</v>
      </c>
      <c r="I154" s="3">
        <f t="shared" si="33"/>
        <v>84.300000000000011</v>
      </c>
      <c r="J154">
        <v>4.63</v>
      </c>
      <c r="L154">
        <v>4.54</v>
      </c>
      <c r="N154" s="6">
        <f t="shared" si="39"/>
        <v>4.63</v>
      </c>
      <c r="O154" s="3">
        <f t="shared" si="40"/>
        <v>108.94117647058823</v>
      </c>
      <c r="P154">
        <v>85.6</v>
      </c>
      <c r="Q154" s="2">
        <v>83.05</v>
      </c>
      <c r="S154">
        <f t="shared" si="34"/>
        <v>85.6</v>
      </c>
      <c r="T154" s="3">
        <f t="shared" si="35"/>
        <v>78.574514038876899</v>
      </c>
      <c r="U154" s="2">
        <v>-7.8022536205972104</v>
      </c>
      <c r="V154">
        <v>-21.311727686495701</v>
      </c>
      <c r="W154">
        <v>-14.5569906535464</v>
      </c>
      <c r="X154">
        <v>-11.3404040471288</v>
      </c>
      <c r="Y154" s="6">
        <f t="shared" si="42"/>
        <v>88.704663212435236</v>
      </c>
      <c r="Z154" s="6">
        <f t="shared" si="43"/>
        <v>89.49314910765689</v>
      </c>
      <c r="AA154" s="6">
        <f t="shared" si="44"/>
        <v>81.041193388466766</v>
      </c>
      <c r="AB154" s="3">
        <f t="shared" si="45"/>
        <v>20.649999999999995</v>
      </c>
      <c r="AC154" s="3">
        <f>O154*$AC$153/100</f>
        <v>4.2421694117647055</v>
      </c>
      <c r="AD154" s="3">
        <f t="shared" si="46"/>
        <v>0</v>
      </c>
      <c r="AE154" s="2">
        <v>85.394751669505894</v>
      </c>
      <c r="AF154" s="2">
        <v>85.374000827096296</v>
      </c>
      <c r="AG154" s="2">
        <v>-6.3910776664890506E-2</v>
      </c>
      <c r="AH154" s="2">
        <v>87.517036865400001</v>
      </c>
      <c r="AI154" s="2">
        <v>81.195328463186598</v>
      </c>
      <c r="AJ154" s="2"/>
      <c r="AK154" s="2"/>
      <c r="AL154" s="2"/>
      <c r="AM154" s="2"/>
      <c r="AN154" s="2"/>
      <c r="AO154" s="2"/>
      <c r="AP154" s="2"/>
      <c r="AR154" s="2">
        <v>-0.14399999999999999</v>
      </c>
      <c r="AS154" s="2">
        <v>-4.4009317560995902E-2</v>
      </c>
      <c r="AT154" s="2">
        <v>-0.157</v>
      </c>
      <c r="AU154" s="2">
        <v>-3.1967680751477899E-2</v>
      </c>
    </row>
    <row r="155" spans="1:47" x14ac:dyDescent="0.25">
      <c r="A155">
        <v>1932</v>
      </c>
      <c r="B155">
        <v>13.66</v>
      </c>
      <c r="C155" s="3">
        <f t="shared" si="37"/>
        <v>47.233748271092665</v>
      </c>
      <c r="D155">
        <v>20.67</v>
      </c>
      <c r="E155" s="3">
        <f t="shared" si="38"/>
        <v>99.999999999999986</v>
      </c>
      <c r="F155" s="3">
        <f t="shared" si="36"/>
        <v>81.796407185628752</v>
      </c>
      <c r="G155">
        <v>75.3</v>
      </c>
      <c r="I155" s="3">
        <f t="shared" si="33"/>
        <v>75.300000000000011</v>
      </c>
      <c r="J155">
        <v>5.9</v>
      </c>
      <c r="L155">
        <v>3.51</v>
      </c>
      <c r="N155" s="6">
        <f t="shared" si="39"/>
        <v>5.9</v>
      </c>
      <c r="O155" s="3">
        <f t="shared" si="40"/>
        <v>138.8235294117647</v>
      </c>
      <c r="P155">
        <v>82.5</v>
      </c>
      <c r="Q155" s="2">
        <v>80.716666666666697</v>
      </c>
      <c r="S155">
        <f t="shared" si="34"/>
        <v>82.5</v>
      </c>
      <c r="T155" s="3">
        <f t="shared" si="35"/>
        <v>59.427966101694921</v>
      </c>
      <c r="U155" s="2">
        <v>-16.788484367183099</v>
      </c>
      <c r="V155">
        <v>-40.922941083524201</v>
      </c>
      <c r="W155">
        <v>-28.855712725353602</v>
      </c>
      <c r="X155">
        <v>-18.740368190974301</v>
      </c>
      <c r="Y155" s="6">
        <f t="shared" si="42"/>
        <v>85.492227979274617</v>
      </c>
      <c r="Z155" s="6">
        <f t="shared" si="43"/>
        <v>66.683937823834199</v>
      </c>
      <c r="AA155" s="6">
        <f t="shared" si="44"/>
        <v>61.293580398700293</v>
      </c>
      <c r="AB155" s="3">
        <f t="shared" si="45"/>
        <v>20.649999999999995</v>
      </c>
      <c r="AC155" s="3">
        <f t="shared" ref="AC155:AC198" si="47">O155*$AC$153/100</f>
        <v>5.4057882352941169</v>
      </c>
      <c r="AD155" s="3">
        <f t="shared" si="46"/>
        <v>0</v>
      </c>
      <c r="AE155" s="2">
        <v>78.946162158186297</v>
      </c>
      <c r="AF155" s="2">
        <v>77.494731645008997</v>
      </c>
      <c r="AG155" s="2">
        <v>-4.87753728554128E-2</v>
      </c>
      <c r="AH155" s="2">
        <v>77.732634415841602</v>
      </c>
      <c r="AI155" s="2">
        <v>67.415531713202199</v>
      </c>
      <c r="AJ155" s="2"/>
      <c r="AK155" s="2"/>
      <c r="AL155" s="2"/>
      <c r="AM155" s="2"/>
      <c r="AN155" s="2"/>
      <c r="AO155" s="2"/>
      <c r="AP155" s="2"/>
      <c r="AR155" s="2">
        <v>-3.6214953271027903E-2</v>
      </c>
      <c r="AS155" s="2">
        <v>-3.1905781479915699E-2</v>
      </c>
      <c r="AT155" s="2">
        <v>-0.10676156583629801</v>
      </c>
      <c r="AU155" s="2">
        <v>-2.4639672997410302E-2</v>
      </c>
    </row>
    <row r="156" spans="1:47" x14ac:dyDescent="0.25">
      <c r="A156">
        <v>1933</v>
      </c>
      <c r="B156">
        <v>12.96</v>
      </c>
      <c r="C156" s="3">
        <f t="shared" si="37"/>
        <v>44.813278008298752</v>
      </c>
      <c r="D156">
        <v>24.44</v>
      </c>
      <c r="E156" s="3">
        <f t="shared" si="38"/>
        <v>118.23899371069182</v>
      </c>
      <c r="F156" s="3">
        <f t="shared" si="36"/>
        <v>77.604790419161674</v>
      </c>
      <c r="G156">
        <v>76.2</v>
      </c>
      <c r="I156" s="3">
        <f t="shared" si="33"/>
        <v>64.445744680851064</v>
      </c>
      <c r="J156">
        <v>6.24</v>
      </c>
      <c r="L156">
        <v>4.24</v>
      </c>
      <c r="N156" s="6">
        <f t="shared" si="39"/>
        <v>6.24</v>
      </c>
      <c r="O156" s="3">
        <f t="shared" si="40"/>
        <v>146.8235294117647</v>
      </c>
      <c r="P156">
        <v>81.400000000000006</v>
      </c>
      <c r="Q156" s="2">
        <v>79.658333333333303</v>
      </c>
      <c r="S156">
        <f t="shared" si="34"/>
        <v>81.400000000000006</v>
      </c>
      <c r="T156" s="3">
        <f t="shared" si="35"/>
        <v>55.440705128205138</v>
      </c>
      <c r="U156" s="2">
        <v>-27.612549869142299</v>
      </c>
      <c r="V156">
        <v>-45.383425115144199</v>
      </c>
      <c r="W156">
        <v>-36.497987492143302</v>
      </c>
      <c r="X156">
        <v>-25.2798421019383</v>
      </c>
      <c r="Y156" s="6">
        <f t="shared" si="42"/>
        <v>84.352331606217632</v>
      </c>
      <c r="Z156" s="6">
        <f t="shared" si="43"/>
        <v>79.478641335636169</v>
      </c>
      <c r="AA156" s="6">
        <f t="shared" si="44"/>
        <v>57.181147867676387</v>
      </c>
      <c r="AB156" s="3">
        <f t="shared" si="45"/>
        <v>24.416352201257858</v>
      </c>
      <c r="AC156" s="3">
        <f t="shared" si="47"/>
        <v>5.7173082352941176</v>
      </c>
      <c r="AD156" s="3">
        <f t="shared" si="46"/>
        <v>0</v>
      </c>
      <c r="AE156" s="2">
        <v>72.940143930811402</v>
      </c>
      <c r="AF156" s="2">
        <v>70.735117418324606</v>
      </c>
      <c r="AG156" s="2">
        <v>-0.44501796430724</v>
      </c>
      <c r="AH156" s="2">
        <v>68.841751647959896</v>
      </c>
      <c r="AI156" s="2">
        <v>58.240059524194002</v>
      </c>
      <c r="AJ156" s="2"/>
      <c r="AK156" s="2"/>
      <c r="AL156" s="2"/>
      <c r="AM156" s="2"/>
      <c r="AN156" s="2"/>
      <c r="AO156" s="2"/>
      <c r="AP156" s="2"/>
      <c r="AR156" s="2">
        <v>-1.3333333333333201E-2</v>
      </c>
      <c r="AS156" s="2">
        <v>-1.7110963785793201E-2</v>
      </c>
      <c r="AT156" s="2">
        <v>1.1952191235059801E-2</v>
      </c>
      <c r="AU156" s="2">
        <v>-1.49220989983105E-2</v>
      </c>
    </row>
    <row r="157" spans="1:47" x14ac:dyDescent="0.25">
      <c r="A157">
        <v>1934</v>
      </c>
      <c r="B157">
        <v>13.39</v>
      </c>
      <c r="C157" s="3">
        <f t="shared" si="37"/>
        <v>46.300138312586441</v>
      </c>
      <c r="D157">
        <v>34.94</v>
      </c>
      <c r="E157" s="3">
        <f t="shared" si="38"/>
        <v>169.03725205611997</v>
      </c>
      <c r="F157" s="3">
        <f t="shared" si="36"/>
        <v>80.179640718562879</v>
      </c>
      <c r="G157">
        <v>86.5</v>
      </c>
      <c r="I157" s="3">
        <f t="shared" si="33"/>
        <v>51.172152261018894</v>
      </c>
      <c r="J157">
        <v>6.88</v>
      </c>
      <c r="L157">
        <v>5.04</v>
      </c>
      <c r="N157" s="6">
        <f t="shared" si="39"/>
        <v>6.88</v>
      </c>
      <c r="O157" s="3">
        <f t="shared" si="40"/>
        <v>161.88235294117646</v>
      </c>
      <c r="P157">
        <v>84.5</v>
      </c>
      <c r="Q157" s="2">
        <v>81.900000000000006</v>
      </c>
      <c r="S157">
        <f t="shared" si="34"/>
        <v>84.5</v>
      </c>
      <c r="T157" s="3">
        <f t="shared" si="35"/>
        <v>52.198401162790702</v>
      </c>
      <c r="U157" s="2">
        <v>-40.854167832437497</v>
      </c>
      <c r="V157">
        <v>-49.092311081432896</v>
      </c>
      <c r="W157">
        <v>-44.973239456935197</v>
      </c>
      <c r="X157">
        <v>-30.670125298460299</v>
      </c>
      <c r="Y157" s="6">
        <f t="shared" si="42"/>
        <v>87.564766839378237</v>
      </c>
      <c r="Z157" s="6">
        <f t="shared" si="43"/>
        <v>98.072538860103634</v>
      </c>
      <c r="AA157" s="6">
        <f t="shared" si="44"/>
        <v>53.837058681768895</v>
      </c>
      <c r="AB157" s="3">
        <f t="shared" si="45"/>
        <v>34.906192549588773</v>
      </c>
      <c r="AC157" s="3">
        <f t="shared" si="47"/>
        <v>6.3036988235294125</v>
      </c>
      <c r="AD157" s="3">
        <f t="shared" si="46"/>
        <v>0</v>
      </c>
      <c r="AE157" s="2">
        <v>67.642840613399798</v>
      </c>
      <c r="AF157" s="2">
        <v>65.334167884700307</v>
      </c>
      <c r="AG157" s="2">
        <v>-0.37293056639307398</v>
      </c>
      <c r="AH157" s="2">
        <v>60.884956694049897</v>
      </c>
      <c r="AI157" s="2">
        <v>53.675519948040098</v>
      </c>
      <c r="AJ157" s="2"/>
      <c r="AK157" s="2"/>
      <c r="AL157" s="2"/>
      <c r="AM157" s="2"/>
      <c r="AN157" s="2"/>
      <c r="AO157" s="2"/>
      <c r="AP157" s="2"/>
      <c r="AR157" s="2">
        <v>3.8083538083538003E-2</v>
      </c>
      <c r="AS157" s="2">
        <v>-9.25465054174632E-4</v>
      </c>
      <c r="AT157" s="2">
        <v>0.13517060367454001</v>
      </c>
      <c r="AU157" s="2">
        <v>-4.6419729998080396E-3</v>
      </c>
    </row>
    <row r="158" spans="1:47" x14ac:dyDescent="0.25">
      <c r="A158">
        <v>1935</v>
      </c>
      <c r="B158">
        <v>13.73</v>
      </c>
      <c r="C158" s="3">
        <f t="shared" si="37"/>
        <v>47.475795297372059</v>
      </c>
      <c r="D158">
        <v>35</v>
      </c>
      <c r="E158" s="3">
        <f t="shared" si="38"/>
        <v>169.32752781809384</v>
      </c>
      <c r="F158" s="3">
        <f t="shared" si="36"/>
        <v>82.215568862275447</v>
      </c>
      <c r="G158">
        <v>92.6</v>
      </c>
      <c r="I158" s="3">
        <f t="shared" si="33"/>
        <v>54.686914285714288</v>
      </c>
      <c r="J158">
        <v>7.11</v>
      </c>
      <c r="L158">
        <v>4.9000000000000004</v>
      </c>
      <c r="N158" s="6">
        <f t="shared" si="39"/>
        <v>7.11</v>
      </c>
      <c r="O158" s="3">
        <f t="shared" si="40"/>
        <v>167.29411764705881</v>
      </c>
      <c r="P158">
        <v>86.6</v>
      </c>
      <c r="Q158" s="2">
        <v>84.6</v>
      </c>
      <c r="S158">
        <f t="shared" si="34"/>
        <v>86.6</v>
      </c>
      <c r="T158" s="3">
        <f t="shared" si="35"/>
        <v>51.765119549929679</v>
      </c>
      <c r="U158" s="2">
        <v>-37.283055963030797</v>
      </c>
      <c r="V158">
        <v>-49.988711121945101</v>
      </c>
      <c r="W158">
        <v>-43.635883542487903</v>
      </c>
      <c r="X158">
        <v>-34.734698752881897</v>
      </c>
      <c r="Y158" s="6">
        <f t="shared" si="42"/>
        <v>89.740932642487053</v>
      </c>
      <c r="Z158" s="6">
        <f t="shared" si="43"/>
        <v>97.717904432930354</v>
      </c>
      <c r="AA158" s="6">
        <f t="shared" si="44"/>
        <v>53.390175116416358</v>
      </c>
      <c r="AB158" s="3">
        <f t="shared" si="45"/>
        <v>34.966134494436375</v>
      </c>
      <c r="AC158" s="3">
        <f t="shared" si="47"/>
        <v>6.5144329411764703</v>
      </c>
      <c r="AD158" s="3">
        <f t="shared" si="46"/>
        <v>0</v>
      </c>
      <c r="AE158" s="2">
        <v>63.352994392662097</v>
      </c>
      <c r="AF158" s="2">
        <v>61.377641607610499</v>
      </c>
      <c r="AG158" s="2">
        <v>-0.359186764192574</v>
      </c>
      <c r="AH158" s="2">
        <v>56.355567137086297</v>
      </c>
      <c r="AI158" s="2">
        <v>52.785167861887302</v>
      </c>
      <c r="AJ158" s="2"/>
      <c r="AK158" s="2"/>
      <c r="AL158" s="2"/>
      <c r="AM158" s="2"/>
      <c r="AN158" s="2"/>
      <c r="AO158" s="2"/>
      <c r="AP158" s="2"/>
      <c r="AR158" s="2">
        <v>2.4852071005916999E-2</v>
      </c>
      <c r="AS158" s="2">
        <v>1.5387890443918299E-2</v>
      </c>
      <c r="AT158" s="2">
        <v>7.05202312138727E-2</v>
      </c>
      <c r="AU158" s="2">
        <v>4.6424336548015303E-3</v>
      </c>
    </row>
    <row r="159" spans="1:47" x14ac:dyDescent="0.25">
      <c r="A159">
        <v>1936</v>
      </c>
      <c r="B159">
        <v>13.86</v>
      </c>
      <c r="C159" s="3">
        <f t="shared" si="37"/>
        <v>47.925311203319502</v>
      </c>
      <c r="D159">
        <v>35</v>
      </c>
      <c r="E159" s="3">
        <f t="shared" si="38"/>
        <v>169.32752781809384</v>
      </c>
      <c r="F159" s="3">
        <f t="shared" si="36"/>
        <v>82.994011976047901</v>
      </c>
      <c r="G159">
        <v>93.5</v>
      </c>
      <c r="I159" s="3">
        <f t="shared" si="33"/>
        <v>55.218428571428575</v>
      </c>
      <c r="J159">
        <v>7.01</v>
      </c>
      <c r="L159">
        <v>4.97</v>
      </c>
      <c r="N159" s="6">
        <f t="shared" si="39"/>
        <v>7.01</v>
      </c>
      <c r="O159" s="3">
        <f t="shared" si="40"/>
        <v>164.94117647058823</v>
      </c>
      <c r="P159">
        <v>91.8</v>
      </c>
      <c r="Q159" s="2">
        <v>89.091666666666697</v>
      </c>
      <c r="S159">
        <f t="shared" si="34"/>
        <v>91.8</v>
      </c>
      <c r="T159" s="3">
        <f t="shared" si="35"/>
        <v>55.656205420827391</v>
      </c>
      <c r="U159" s="2">
        <v>-36.688931966884603</v>
      </c>
      <c r="V159">
        <v>-46.561718215711799</v>
      </c>
      <c r="W159">
        <v>-41.625325091298201</v>
      </c>
      <c r="X159">
        <v>-37.440074579129302</v>
      </c>
      <c r="Y159" s="6">
        <f t="shared" si="42"/>
        <v>95.129533678756474</v>
      </c>
      <c r="Z159" s="6">
        <f t="shared" si="43"/>
        <v>105.06528497409325</v>
      </c>
      <c r="AA159" s="6">
        <f t="shared" si="44"/>
        <v>57.403413332544929</v>
      </c>
      <c r="AB159" s="3">
        <f t="shared" si="45"/>
        <v>34.966134494436375</v>
      </c>
      <c r="AC159" s="3">
        <f t="shared" si="47"/>
        <v>6.4228094117647059</v>
      </c>
      <c r="AD159" s="3">
        <f t="shared" si="46"/>
        <v>0</v>
      </c>
      <c r="AE159" s="2">
        <v>60.203819049175003</v>
      </c>
      <c r="AF159" s="2">
        <v>58.819855471682203</v>
      </c>
      <c r="AG159" s="2">
        <v>-0.28960706556501897</v>
      </c>
      <c r="AH159" s="2">
        <v>54.481914995360498</v>
      </c>
      <c r="AI159" s="2">
        <v>54.137084826868701</v>
      </c>
      <c r="AJ159" s="2"/>
      <c r="AK159" s="2"/>
      <c r="AL159" s="2"/>
      <c r="AM159" s="2"/>
      <c r="AN159" s="2"/>
      <c r="AO159" s="2"/>
      <c r="AP159" s="2"/>
      <c r="AR159" s="2">
        <v>6.0046189376443397E-2</v>
      </c>
      <c r="AS159" s="2">
        <v>3.0956368468840999E-2</v>
      </c>
      <c r="AT159" s="2">
        <v>9.7192224622030792E-3</v>
      </c>
      <c r="AU159" s="2">
        <v>1.27709753889659E-2</v>
      </c>
    </row>
    <row r="160" spans="1:47" x14ac:dyDescent="0.25">
      <c r="A160">
        <v>1937</v>
      </c>
      <c r="B160">
        <v>14.36</v>
      </c>
      <c r="C160" s="3">
        <f t="shared" si="37"/>
        <v>49.654218533886578</v>
      </c>
      <c r="D160">
        <v>35</v>
      </c>
      <c r="E160" s="3">
        <f t="shared" si="38"/>
        <v>169.32752781809384</v>
      </c>
      <c r="F160" s="3">
        <f t="shared" si="36"/>
        <v>85.988023952095816</v>
      </c>
      <c r="G160">
        <v>99.8</v>
      </c>
      <c r="I160" s="3">
        <f t="shared" si="33"/>
        <v>58.93902857142858</v>
      </c>
      <c r="J160">
        <v>7.04</v>
      </c>
      <c r="L160">
        <v>4.9400000000000004</v>
      </c>
      <c r="N160" s="6">
        <f t="shared" si="39"/>
        <v>7.04</v>
      </c>
      <c r="O160" s="3">
        <f t="shared" si="40"/>
        <v>165.64705882352942</v>
      </c>
      <c r="P160">
        <v>105.2</v>
      </c>
      <c r="Q160" s="2">
        <v>102.75</v>
      </c>
      <c r="S160">
        <f t="shared" si="34"/>
        <v>105.2</v>
      </c>
      <c r="T160" s="3">
        <f t="shared" si="35"/>
        <v>63.508522727272727</v>
      </c>
      <c r="U160" s="2">
        <v>-32.891513549961402</v>
      </c>
      <c r="V160">
        <v>-39.170406181242001</v>
      </c>
      <c r="W160">
        <v>-36.030959865601702</v>
      </c>
      <c r="X160">
        <v>-38.841776739024901</v>
      </c>
      <c r="Y160" s="6">
        <f t="shared" si="42"/>
        <v>109.01554404145078</v>
      </c>
      <c r="Z160" s="6">
        <f t="shared" si="43"/>
        <v>119.67484168105932</v>
      </c>
      <c r="AA160" s="6">
        <f t="shared" si="44"/>
        <v>65.502237399905809</v>
      </c>
      <c r="AB160" s="3">
        <f t="shared" si="45"/>
        <v>34.966134494436375</v>
      </c>
      <c r="AC160" s="3">
        <f t="shared" si="47"/>
        <v>6.4502964705882357</v>
      </c>
      <c r="AD160" s="3">
        <f t="shared" si="46"/>
        <v>0</v>
      </c>
      <c r="AE160" s="2">
        <v>58.241998419588498</v>
      </c>
      <c r="AF160" s="2">
        <v>57.519249945466498</v>
      </c>
      <c r="AG160" s="2">
        <v>-0.37949022419883199</v>
      </c>
      <c r="AH160" s="2">
        <v>53.940476574801899</v>
      </c>
      <c r="AI160" s="2">
        <v>55.967629783488597</v>
      </c>
      <c r="AJ160" s="2"/>
      <c r="AK160" s="2"/>
      <c r="AL160" s="2"/>
      <c r="AM160" s="2"/>
      <c r="AN160" s="2"/>
      <c r="AO160" s="2"/>
      <c r="AP160" s="2"/>
      <c r="AR160" s="2">
        <v>0.14596949891067501</v>
      </c>
      <c r="AS160" s="2">
        <v>4.5001876586568901E-2</v>
      </c>
      <c r="AT160" s="2">
        <v>6.7379679144385002E-2</v>
      </c>
      <c r="AU160" s="2">
        <v>2.0242284601723601E-2</v>
      </c>
    </row>
    <row r="161" spans="1:47" x14ac:dyDescent="0.25">
      <c r="A161">
        <v>1938</v>
      </c>
      <c r="B161">
        <v>14.09</v>
      </c>
      <c r="C161" s="3">
        <f t="shared" si="37"/>
        <v>48.720608575380353</v>
      </c>
      <c r="D161">
        <v>35</v>
      </c>
      <c r="E161" s="3">
        <f t="shared" si="38"/>
        <v>169.32752781809384</v>
      </c>
      <c r="F161" s="3">
        <f t="shared" si="36"/>
        <v>84.371257485029943</v>
      </c>
      <c r="G161">
        <v>90.8</v>
      </c>
      <c r="I161" s="3">
        <f t="shared" si="33"/>
        <v>53.62388571428572</v>
      </c>
      <c r="J161">
        <v>7.13</v>
      </c>
      <c r="L161">
        <v>4.8899999999999997</v>
      </c>
      <c r="N161" s="6">
        <f t="shared" si="39"/>
        <v>7.13</v>
      </c>
      <c r="O161" s="3">
        <f t="shared" si="40"/>
        <v>167.76470588235293</v>
      </c>
      <c r="P161">
        <v>93.8</v>
      </c>
      <c r="Q161" s="2">
        <v>91.4166666666667</v>
      </c>
      <c r="S161">
        <f t="shared" si="34"/>
        <v>93.8</v>
      </c>
      <c r="T161" s="3">
        <f t="shared" si="35"/>
        <v>55.911640953716692</v>
      </c>
      <c r="U161" s="2">
        <v>-38.120518418223497</v>
      </c>
      <c r="V161">
        <v>-47.223829676521497</v>
      </c>
      <c r="W161">
        <v>-42.672174047372501</v>
      </c>
      <c r="X161">
        <v>-39.037181699512701</v>
      </c>
      <c r="Y161" s="6">
        <f t="shared" si="42"/>
        <v>97.202072538860108</v>
      </c>
      <c r="Z161" s="6">
        <f t="shared" si="43"/>
        <v>105.62625215889464</v>
      </c>
      <c r="AA161" s="6">
        <f t="shared" si="44"/>
        <v>57.666867719407904</v>
      </c>
      <c r="AB161" s="3">
        <f t="shared" si="45"/>
        <v>34.966134494436375</v>
      </c>
      <c r="AC161" s="3">
        <f t="shared" si="47"/>
        <v>6.5327576470588236</v>
      </c>
      <c r="AD161" s="3">
        <f t="shared" si="46"/>
        <v>0</v>
      </c>
      <c r="AE161" s="2">
        <v>57.464478150060799</v>
      </c>
      <c r="AF161" s="2">
        <v>57.302066942797701</v>
      </c>
      <c r="AG161" s="2">
        <v>-0.39216742586474601</v>
      </c>
      <c r="AH161" s="2">
        <v>53.657089849553003</v>
      </c>
      <c r="AI161" s="2">
        <v>57.000800063294903</v>
      </c>
      <c r="AJ161" s="2"/>
      <c r="AK161" s="2"/>
      <c r="AL161" s="2"/>
      <c r="AM161" s="2"/>
      <c r="AN161" s="2"/>
      <c r="AO161" s="2"/>
      <c r="AP161" s="2"/>
      <c r="AR161" s="2">
        <v>-0.10836501901140599</v>
      </c>
      <c r="AS161" s="2">
        <v>5.7037220572153199E-2</v>
      </c>
      <c r="AT161" s="2">
        <v>-9.0180360721442795E-2</v>
      </c>
      <c r="AU161" s="2">
        <v>2.7524476162845601E-2</v>
      </c>
    </row>
    <row r="162" spans="1:47" x14ac:dyDescent="0.25">
      <c r="A162">
        <v>1939</v>
      </c>
      <c r="B162">
        <v>13.89</v>
      </c>
      <c r="C162" s="3">
        <f t="shared" si="37"/>
        <v>48.029045643153523</v>
      </c>
      <c r="D162">
        <v>35</v>
      </c>
      <c r="E162" s="3">
        <f t="shared" si="38"/>
        <v>169.32752781809384</v>
      </c>
      <c r="F162" s="3">
        <f t="shared" si="36"/>
        <v>83.17365269461078</v>
      </c>
      <c r="G162">
        <v>89.2</v>
      </c>
      <c r="I162" s="3">
        <f t="shared" si="33"/>
        <v>52.67897142857143</v>
      </c>
      <c r="J162">
        <v>7.72</v>
      </c>
      <c r="L162">
        <v>4.43</v>
      </c>
      <c r="N162" s="6">
        <f t="shared" si="39"/>
        <v>7.72</v>
      </c>
      <c r="O162" s="3">
        <f t="shared" si="40"/>
        <v>181.64705882352942</v>
      </c>
      <c r="Q162" s="2">
        <v>96.241666666666703</v>
      </c>
      <c r="S162">
        <f>S161*(Q162/Q161)</f>
        <v>98.750793072014588</v>
      </c>
      <c r="T162" s="3">
        <f t="shared" si="35"/>
        <v>54.364102403634973</v>
      </c>
      <c r="U162" s="2">
        <v>-38.955664277633304</v>
      </c>
      <c r="V162">
        <v>-49.221024199012597</v>
      </c>
      <c r="W162">
        <v>-44.088344238322897</v>
      </c>
      <c r="X162">
        <v>-38.0955577588024</v>
      </c>
      <c r="Y162" s="6">
        <f t="shared" si="42"/>
        <v>102.33242805390113</v>
      </c>
      <c r="Z162" s="6">
        <f t="shared" si="43"/>
        <v>100.74059028417376</v>
      </c>
      <c r="AA162" s="6">
        <f t="shared" si="44"/>
        <v>56.070747495855159</v>
      </c>
      <c r="AB162" s="3">
        <f t="shared" si="45"/>
        <v>34.966134494436375</v>
      </c>
      <c r="AC162" s="3">
        <f t="shared" si="47"/>
        <v>7.0733364705882353</v>
      </c>
      <c r="AD162" s="3">
        <f t="shared" si="46"/>
        <v>0</v>
      </c>
      <c r="AE162" s="2">
        <v>57.875283902554202</v>
      </c>
      <c r="AF162" s="2">
        <v>58.054655878055399</v>
      </c>
      <c r="AG162" s="2">
        <v>-0.36916452627485702</v>
      </c>
      <c r="AH162" s="2">
        <v>54.227433935488897</v>
      </c>
      <c r="AI162" s="2">
        <v>58.481383070005997</v>
      </c>
      <c r="AJ162" s="2">
        <v>58</v>
      </c>
      <c r="AK162" s="2">
        <v>54</v>
      </c>
      <c r="AL162" s="2"/>
      <c r="AM162" s="2"/>
      <c r="AN162" s="2"/>
      <c r="AO162" s="2"/>
      <c r="AP162" s="2"/>
      <c r="AR162" s="2">
        <v>5.2782515991471199E-2</v>
      </c>
      <c r="AS162" s="2">
        <v>6.7584882423886494E-2</v>
      </c>
      <c r="AT162" s="2">
        <v>-1.7621145374449199E-2</v>
      </c>
      <c r="AU162" s="2">
        <v>3.5557038887529202E-2</v>
      </c>
    </row>
    <row r="163" spans="1:47" x14ac:dyDescent="0.25">
      <c r="A163">
        <v>1940</v>
      </c>
      <c r="B163">
        <v>14.03</v>
      </c>
      <c r="C163" s="3">
        <f t="shared" si="37"/>
        <v>48.513139695712304</v>
      </c>
      <c r="D163">
        <v>35</v>
      </c>
      <c r="E163" s="3">
        <f t="shared" si="38"/>
        <v>169.32752781809384</v>
      </c>
      <c r="F163" s="3">
        <f t="shared" si="36"/>
        <v>84.011976047904199</v>
      </c>
      <c r="G163">
        <v>90.8</v>
      </c>
      <c r="I163" s="3">
        <f t="shared" si="33"/>
        <v>53.62388571428572</v>
      </c>
      <c r="J163">
        <v>8.4</v>
      </c>
      <c r="L163">
        <v>3.83</v>
      </c>
      <c r="N163" s="6">
        <f t="shared" si="39"/>
        <v>8.4</v>
      </c>
      <c r="O163" s="3">
        <f t="shared" si="40"/>
        <v>197.64705882352942</v>
      </c>
      <c r="Q163" s="2">
        <v>128.96666666666701</v>
      </c>
      <c r="S163">
        <f t="shared" ref="S163:T168" si="48">S162*(Q163/Q162)</f>
        <v>132.32896991795837</v>
      </c>
      <c r="T163" s="3">
        <f t="shared" si="35"/>
        <v>66.952157398967032</v>
      </c>
      <c r="U163" s="2">
        <v>-37.896668834153097</v>
      </c>
      <c r="V163">
        <v>-37.071006085654901</v>
      </c>
      <c r="W163">
        <v>-37.483837459904002</v>
      </c>
      <c r="X163">
        <v>-36.122523138582402</v>
      </c>
      <c r="Y163" s="6">
        <f t="shared" si="42"/>
        <v>137.1284662362263</v>
      </c>
      <c r="Z163" s="6">
        <f t="shared" si="43"/>
        <v>116.71156126327706</v>
      </c>
      <c r="AA163" s="6">
        <f t="shared" si="44"/>
        <v>69.053977640385398</v>
      </c>
      <c r="AB163" s="3">
        <f t="shared" si="45"/>
        <v>34.966134494436375</v>
      </c>
      <c r="AC163" s="3">
        <f t="shared" si="47"/>
        <v>7.6963764705882367</v>
      </c>
      <c r="AD163" s="3">
        <f t="shared" si="46"/>
        <v>0</v>
      </c>
      <c r="AE163" s="2">
        <v>59.440096557530502</v>
      </c>
      <c r="AF163" s="2">
        <v>59.650045496190998</v>
      </c>
      <c r="AG163" s="2"/>
      <c r="AH163" s="2">
        <v>56.238157998633802</v>
      </c>
      <c r="AI163" s="2">
        <v>61.310566186241999</v>
      </c>
      <c r="AJ163" s="2"/>
      <c r="AK163" s="2"/>
      <c r="AL163" s="2"/>
      <c r="AM163" s="2"/>
      <c r="AN163" s="2"/>
      <c r="AO163" s="2"/>
      <c r="AP163" s="2"/>
      <c r="AR163" s="2">
        <v>0.340026936436086</v>
      </c>
      <c r="AS163" s="2">
        <v>7.5513321744225606E-2</v>
      </c>
      <c r="AT163" s="2">
        <v>1.79372197309416E-2</v>
      </c>
      <c r="AU163" s="2">
        <v>4.4102413222129197E-2</v>
      </c>
    </row>
    <row r="164" spans="1:47" x14ac:dyDescent="0.25">
      <c r="A164">
        <v>1941</v>
      </c>
      <c r="B164">
        <v>14.73</v>
      </c>
      <c r="C164" s="3">
        <f t="shared" si="37"/>
        <v>50.933609958506224</v>
      </c>
      <c r="D164">
        <v>35</v>
      </c>
      <c r="E164" s="3">
        <f t="shared" si="38"/>
        <v>169.32752781809384</v>
      </c>
      <c r="F164" s="3">
        <f t="shared" si="36"/>
        <v>88.203592814371262</v>
      </c>
      <c r="G164">
        <v>101.1</v>
      </c>
      <c r="I164" s="3">
        <f t="shared" si="33"/>
        <v>59.706771428571436</v>
      </c>
      <c r="J164">
        <v>8.4</v>
      </c>
      <c r="L164">
        <v>4.03</v>
      </c>
      <c r="N164" s="6">
        <f t="shared" si="39"/>
        <v>8.4</v>
      </c>
      <c r="O164" s="3">
        <f t="shared" si="40"/>
        <v>197.64705882352942</v>
      </c>
      <c r="Q164" s="2">
        <v>142.48333333333301</v>
      </c>
      <c r="S164">
        <f t="shared" si="48"/>
        <v>146.19803099361857</v>
      </c>
      <c r="T164" s="3">
        <f t="shared" si="35"/>
        <v>73.969241871771302</v>
      </c>
      <c r="U164" s="2">
        <v>-31.673249793745399</v>
      </c>
      <c r="V164">
        <v>-30.482772512865001</v>
      </c>
      <c r="W164">
        <v>-31.078011153305201</v>
      </c>
      <c r="X164">
        <v>-33.2836239253364</v>
      </c>
      <c r="Y164" s="6">
        <f t="shared" si="42"/>
        <v>151.50055025245447</v>
      </c>
      <c r="Z164" s="6">
        <f t="shared" si="43"/>
        <v>135.67715944830925</v>
      </c>
      <c r="AA164" s="6">
        <f t="shared" si="44"/>
        <v>76.291348519986016</v>
      </c>
      <c r="AB164" s="3">
        <f t="shared" si="45"/>
        <v>34.966134494436375</v>
      </c>
      <c r="AC164" s="3">
        <f t="shared" si="47"/>
        <v>7.6963764705882367</v>
      </c>
      <c r="AD164" s="3">
        <f t="shared" si="46"/>
        <v>0</v>
      </c>
      <c r="AE164" s="2">
        <v>62.072744156425998</v>
      </c>
      <c r="AF164" s="2">
        <v>61.922117983375799</v>
      </c>
      <c r="AG164" s="2"/>
      <c r="AH164" s="2">
        <v>59.763433226515197</v>
      </c>
      <c r="AI164" s="2">
        <v>64.942409104621007</v>
      </c>
      <c r="AJ164" s="2"/>
      <c r="AK164" s="2"/>
      <c r="AL164" s="2"/>
      <c r="AM164" s="2"/>
      <c r="AN164" s="2"/>
      <c r="AO164" s="2"/>
      <c r="AP164" s="2"/>
      <c r="AR164" s="2">
        <v>0.104806958414255</v>
      </c>
      <c r="AS164" s="2">
        <v>7.9542974471303096E-2</v>
      </c>
      <c r="AT164" s="2">
        <v>0.113436123348017</v>
      </c>
      <c r="AU164" s="2">
        <v>5.2391257770380201E-2</v>
      </c>
    </row>
    <row r="165" spans="1:47" x14ac:dyDescent="0.25">
      <c r="A165">
        <v>1942</v>
      </c>
      <c r="B165">
        <v>16.3</v>
      </c>
      <c r="C165" s="3">
        <f t="shared" si="37"/>
        <v>56.362378976486859</v>
      </c>
      <c r="D165">
        <v>35</v>
      </c>
      <c r="E165" s="3">
        <f t="shared" si="38"/>
        <v>169.32752781809384</v>
      </c>
      <c r="F165" s="3">
        <f t="shared" si="36"/>
        <v>97.604790419161674</v>
      </c>
      <c r="G165">
        <v>114.1</v>
      </c>
      <c r="I165" s="3">
        <f t="shared" si="33"/>
        <v>67.384200000000007</v>
      </c>
      <c r="J165">
        <v>8.4</v>
      </c>
      <c r="L165">
        <v>4.04</v>
      </c>
      <c r="N165" s="6">
        <f t="shared" si="39"/>
        <v>8.4</v>
      </c>
      <c r="O165" s="3">
        <f t="shared" si="40"/>
        <v>197.64705882352942</v>
      </c>
      <c r="Q165" s="2">
        <v>152</v>
      </c>
      <c r="S165">
        <f t="shared" si="48"/>
        <v>155.96280765724697</v>
      </c>
      <c r="T165" s="3">
        <f t="shared" si="35"/>
        <v>78.909753874202337</v>
      </c>
      <c r="U165" s="2">
        <v>-23.855124862372499</v>
      </c>
      <c r="V165">
        <v>-25.965301496536</v>
      </c>
      <c r="W165">
        <v>-24.910213179454299</v>
      </c>
      <c r="X165">
        <v>-29.758019348761099</v>
      </c>
      <c r="Y165" s="6">
        <f t="shared" si="42"/>
        <v>161.61948980025593</v>
      </c>
      <c r="Z165" s="6">
        <f t="shared" si="43"/>
        <v>145.09838639845199</v>
      </c>
      <c r="AA165" s="6">
        <f t="shared" si="44"/>
        <v>81.386957363700319</v>
      </c>
      <c r="AB165" s="3">
        <f t="shared" si="45"/>
        <v>34.966134494436375</v>
      </c>
      <c r="AC165" s="3">
        <f t="shared" si="47"/>
        <v>7.6963764705882367</v>
      </c>
      <c r="AD165" s="3">
        <f t="shared" si="46"/>
        <v>0</v>
      </c>
      <c r="AE165" s="2">
        <v>65.628953775101394</v>
      </c>
      <c r="AF165" s="2">
        <v>64.707855070818695</v>
      </c>
      <c r="AG165" s="2"/>
      <c r="AH165" s="2">
        <v>64.008044807116605</v>
      </c>
      <c r="AI165" s="2">
        <v>68.380782789013594</v>
      </c>
      <c r="AJ165" s="2"/>
      <c r="AK165" s="2"/>
      <c r="AL165" s="2"/>
      <c r="AM165" s="2"/>
      <c r="AN165" s="2"/>
      <c r="AO165" s="2"/>
      <c r="AP165" s="2"/>
      <c r="AR165" s="2">
        <v>6.6792979384122805E-2</v>
      </c>
      <c r="AS165" s="2">
        <v>8.1039412690170495E-2</v>
      </c>
      <c r="AT165" s="2">
        <v>0.12858555885262099</v>
      </c>
      <c r="AU165" s="2">
        <v>5.93925792011053E-2</v>
      </c>
    </row>
    <row r="166" spans="1:47" x14ac:dyDescent="0.25">
      <c r="A166">
        <v>1943</v>
      </c>
      <c r="B166">
        <v>17.3</v>
      </c>
      <c r="C166" s="3">
        <f t="shared" si="37"/>
        <v>59.820193637621017</v>
      </c>
      <c r="D166">
        <v>35</v>
      </c>
      <c r="E166" s="3">
        <f t="shared" si="38"/>
        <v>169.32752781809384</v>
      </c>
      <c r="F166" s="3">
        <f t="shared" si="36"/>
        <v>103.59281437125749</v>
      </c>
      <c r="G166">
        <v>120.2</v>
      </c>
      <c r="I166" s="3">
        <f t="shared" si="33"/>
        <v>70.986685714285727</v>
      </c>
      <c r="J166">
        <v>8.4</v>
      </c>
      <c r="L166">
        <v>4.04</v>
      </c>
      <c r="N166" s="6">
        <f t="shared" si="39"/>
        <v>8.4</v>
      </c>
      <c r="O166" s="3">
        <f t="shared" si="40"/>
        <v>197.64705882352942</v>
      </c>
      <c r="Q166" s="2">
        <v>154.40833333333299</v>
      </c>
      <c r="S166">
        <f t="shared" si="48"/>
        <v>158.43392889699138</v>
      </c>
      <c r="T166" s="3">
        <f t="shared" si="35"/>
        <v>80.160023549073017</v>
      </c>
      <c r="U166" s="2">
        <v>-20.082011745996802</v>
      </c>
      <c r="V166">
        <v>-25.1275518920393</v>
      </c>
      <c r="W166">
        <v>-22.604781819018001</v>
      </c>
      <c r="X166">
        <v>-25.702812510833201</v>
      </c>
      <c r="Y166" s="6">
        <f t="shared" si="42"/>
        <v>164.18023719895481</v>
      </c>
      <c r="Z166" s="6">
        <f t="shared" si="43"/>
        <v>147.39736850750609</v>
      </c>
      <c r="AA166" s="6">
        <f t="shared" si="44"/>
        <v>82.67647658947368</v>
      </c>
      <c r="AB166" s="3">
        <f t="shared" si="45"/>
        <v>34.966134494436375</v>
      </c>
      <c r="AC166" s="3">
        <f t="shared" si="47"/>
        <v>7.6963764705882367</v>
      </c>
      <c r="AD166" s="3">
        <f t="shared" si="46"/>
        <v>0</v>
      </c>
      <c r="AE166" s="2">
        <v>69.940925047853497</v>
      </c>
      <c r="AF166" s="2">
        <v>67.887417309895298</v>
      </c>
      <c r="AG166" s="2"/>
      <c r="AH166" s="2">
        <v>68.162300186249297</v>
      </c>
      <c r="AI166" s="2">
        <v>71.062088501750395</v>
      </c>
      <c r="AJ166" s="2"/>
      <c r="AK166" s="2"/>
      <c r="AL166" s="2"/>
      <c r="AM166" s="2"/>
      <c r="AN166" s="2"/>
      <c r="AO166" s="2"/>
      <c r="AP166" s="2"/>
      <c r="AR166" s="2">
        <v>1.5843501343267299E-2</v>
      </c>
      <c r="AS166" s="2">
        <v>8.1620848325308706E-2</v>
      </c>
      <c r="AT166" s="2">
        <v>5.3461875547765103E-2</v>
      </c>
      <c r="AU166" s="2">
        <v>6.4685832838903695E-2</v>
      </c>
    </row>
    <row r="167" spans="1:47" x14ac:dyDescent="0.25">
      <c r="A167">
        <v>1944</v>
      </c>
      <c r="B167">
        <v>17.600000000000001</v>
      </c>
      <c r="C167" s="3">
        <f t="shared" si="37"/>
        <v>60.857538035961277</v>
      </c>
      <c r="D167">
        <v>35</v>
      </c>
      <c r="E167" s="3">
        <f t="shared" si="38"/>
        <v>169.32752781809384</v>
      </c>
      <c r="F167" s="3">
        <f t="shared" si="36"/>
        <v>105.38922155688624</v>
      </c>
      <c r="G167">
        <v>120.2</v>
      </c>
      <c r="I167" s="3">
        <f t="shared" si="33"/>
        <v>70.986685714285727</v>
      </c>
      <c r="J167">
        <v>8.4</v>
      </c>
      <c r="L167">
        <v>4.04</v>
      </c>
      <c r="N167" s="6">
        <f t="shared" si="39"/>
        <v>8.4</v>
      </c>
      <c r="O167" s="3">
        <f t="shared" si="40"/>
        <v>197.64705882352942</v>
      </c>
      <c r="Q167" s="2">
        <v>158.933333333333</v>
      </c>
      <c r="S167">
        <f t="shared" si="48"/>
        <v>163.0769006381035</v>
      </c>
      <c r="T167" s="3">
        <f t="shared" si="35"/>
        <v>82.509146156183306</v>
      </c>
      <c r="U167" s="2">
        <v>-19.903628150580701</v>
      </c>
      <c r="V167">
        <v>-23.178463394221399</v>
      </c>
      <c r="W167">
        <v>-21.541045772400999</v>
      </c>
      <c r="X167">
        <v>-21.2266284518359</v>
      </c>
      <c r="Y167" s="6">
        <f t="shared" si="42"/>
        <v>168.99160687886371</v>
      </c>
      <c r="Z167" s="6">
        <f t="shared" si="43"/>
        <v>151.71690928680209</v>
      </c>
      <c r="AA167" s="6">
        <f t="shared" si="44"/>
        <v>85.099344892570656</v>
      </c>
      <c r="AB167" s="3">
        <f t="shared" si="45"/>
        <v>34.966134494436375</v>
      </c>
      <c r="AC167" s="3">
        <f t="shared" si="47"/>
        <v>7.6963764705882367</v>
      </c>
      <c r="AD167" s="3">
        <f t="shared" si="46"/>
        <v>0</v>
      </c>
      <c r="AE167" s="2">
        <v>74.858568071227793</v>
      </c>
      <c r="AF167" s="2">
        <v>71.400586701272701</v>
      </c>
      <c r="AG167" s="2"/>
      <c r="AH167" s="2">
        <v>72.5471585406857</v>
      </c>
      <c r="AI167" s="2">
        <v>73.185799908823796</v>
      </c>
      <c r="AJ167" s="2"/>
      <c r="AK167" s="2"/>
      <c r="AL167" s="2"/>
      <c r="AM167" s="2"/>
      <c r="AN167" s="2"/>
      <c r="AO167" s="2"/>
      <c r="AP167" s="2"/>
      <c r="AR167" s="2">
        <v>2.9305578348081798E-2</v>
      </c>
      <c r="AS167" s="2">
        <v>8.2763028968137795E-2</v>
      </c>
      <c r="AT167" s="2">
        <v>0</v>
      </c>
      <c r="AU167" s="2">
        <v>6.8542403804890004E-2</v>
      </c>
    </row>
    <row r="168" spans="1:47" x14ac:dyDescent="0.25">
      <c r="A168">
        <v>1945</v>
      </c>
      <c r="B168">
        <v>18</v>
      </c>
      <c r="C168" s="3">
        <f t="shared" si="37"/>
        <v>62.240663900414937</v>
      </c>
      <c r="D168">
        <v>35</v>
      </c>
      <c r="E168" s="3">
        <f t="shared" si="38"/>
        <v>169.32752781809384</v>
      </c>
      <c r="F168" s="3">
        <f t="shared" si="36"/>
        <v>107.78443113772455</v>
      </c>
      <c r="G168">
        <v>122.4</v>
      </c>
      <c r="I168" s="3">
        <f t="shared" si="33"/>
        <v>72.285942857142857</v>
      </c>
      <c r="J168">
        <v>8.4</v>
      </c>
      <c r="L168">
        <v>4.03</v>
      </c>
      <c r="N168" s="6">
        <f t="shared" si="39"/>
        <v>8.4</v>
      </c>
      <c r="O168" s="3">
        <f t="shared" si="40"/>
        <v>197.64705882352942</v>
      </c>
      <c r="Q168" s="2">
        <v>163.15833333333299</v>
      </c>
      <c r="S168">
        <f t="shared" si="48"/>
        <v>167.41205104831315</v>
      </c>
      <c r="T168" s="3">
        <f t="shared" si="35"/>
        <v>84.702525828015581</v>
      </c>
      <c r="U168" s="2">
        <v>-18.409691782086401</v>
      </c>
      <c r="V168">
        <v>-21.376956537407299</v>
      </c>
      <c r="W168">
        <v>-19.8933241597469</v>
      </c>
      <c r="X168">
        <v>-16.407111905134499</v>
      </c>
      <c r="Y168" s="6">
        <f t="shared" si="42"/>
        <v>173.48399072364057</v>
      </c>
      <c r="Z168" s="6">
        <f t="shared" si="43"/>
        <v>155.36455169250479</v>
      </c>
      <c r="AA168" s="6">
        <f t="shared" si="44"/>
        <v>87.361581042976155</v>
      </c>
      <c r="AB168" s="3">
        <f t="shared" si="45"/>
        <v>34.966134494436375</v>
      </c>
      <c r="AC168" s="3">
        <f t="shared" si="47"/>
        <v>7.6963764705882367</v>
      </c>
      <c r="AD168" s="3">
        <f t="shared" si="46"/>
        <v>0</v>
      </c>
      <c r="AE168" s="2">
        <v>80.242383691291394</v>
      </c>
      <c r="AF168" s="2">
        <v>75.226171072519193</v>
      </c>
      <c r="AG168" s="2"/>
      <c r="AH168" s="2">
        <v>78.429478985115395</v>
      </c>
      <c r="AI168" s="2">
        <v>75.194027842309296</v>
      </c>
      <c r="AJ168" s="2"/>
      <c r="AK168" s="2"/>
      <c r="AL168" s="2"/>
      <c r="AM168" s="2"/>
      <c r="AN168" s="2"/>
      <c r="AO168" s="2"/>
      <c r="AP168" s="2"/>
      <c r="AR168" s="2">
        <v>2.6582534630879898E-2</v>
      </c>
      <c r="AS168" s="2">
        <v>8.5283928740257794E-2</v>
      </c>
      <c r="AT168" s="2">
        <v>1.8302828618968401E-2</v>
      </c>
      <c r="AU168" s="2">
        <v>7.1121437647267097E-2</v>
      </c>
    </row>
    <row r="169" spans="1:47" x14ac:dyDescent="0.25">
      <c r="A169">
        <v>1946</v>
      </c>
      <c r="B169">
        <v>19.54</v>
      </c>
      <c r="C169" s="3">
        <f t="shared" si="37"/>
        <v>67.565698478561544</v>
      </c>
      <c r="D169">
        <v>35</v>
      </c>
      <c r="E169" s="3">
        <f t="shared" si="38"/>
        <v>169.32752781809384</v>
      </c>
      <c r="F169" s="3">
        <f t="shared" si="36"/>
        <v>117.0059880239521</v>
      </c>
      <c r="G169">
        <v>139.69999999999999</v>
      </c>
      <c r="I169" s="3">
        <f t="shared" si="33"/>
        <v>82.502828571428566</v>
      </c>
      <c r="J169">
        <v>8.4</v>
      </c>
      <c r="L169">
        <v>4.03</v>
      </c>
      <c r="N169" s="6">
        <f t="shared" si="39"/>
        <v>8.4</v>
      </c>
      <c r="O169" s="3">
        <f t="shared" si="40"/>
        <v>197.64705882352942</v>
      </c>
      <c r="P169">
        <v>162</v>
      </c>
      <c r="Q169" s="2">
        <v>177.6</v>
      </c>
      <c r="S169">
        <f t="shared" ref="S169:T199" si="49">P169</f>
        <v>162</v>
      </c>
      <c r="T169" s="3">
        <f t="shared" si="35"/>
        <v>81.964285714285708</v>
      </c>
      <c r="U169" s="2">
        <v>-7.9899203464765103</v>
      </c>
      <c r="V169">
        <v>-24.4919326953985</v>
      </c>
      <c r="W169">
        <v>-16.240926520937499</v>
      </c>
      <c r="X169">
        <v>-11.3250517773001</v>
      </c>
      <c r="Y169" s="6">
        <f t="shared" si="42"/>
        <v>167.87564766839378</v>
      </c>
      <c r="Z169" s="6">
        <f t="shared" si="43"/>
        <v>150.34196891191712</v>
      </c>
      <c r="AA169" s="6">
        <f t="shared" si="44"/>
        <v>84.537379718726882</v>
      </c>
      <c r="AB169" s="3">
        <f t="shared" si="45"/>
        <v>34.966134494436375</v>
      </c>
      <c r="AC169" s="3">
        <f t="shared" si="47"/>
        <v>7.6963764705882367</v>
      </c>
      <c r="AD169" s="3">
        <f t="shared" si="46"/>
        <v>0</v>
      </c>
      <c r="AE169" s="2">
        <v>85.914287073399294</v>
      </c>
      <c r="AF169" s="2">
        <v>79.367872384190207</v>
      </c>
      <c r="AG169" s="2"/>
      <c r="AH169" s="2">
        <v>86.560401120665702</v>
      </c>
      <c r="AI169" s="2">
        <v>77.763616498008005</v>
      </c>
      <c r="AJ169" s="2"/>
      <c r="AK169" s="2"/>
      <c r="AL169" s="2"/>
      <c r="AM169" s="2"/>
      <c r="AN169" s="2"/>
      <c r="AO169" s="2"/>
      <c r="AP169" s="2"/>
      <c r="AR169" s="2">
        <v>-3.2327431725324297E-2</v>
      </c>
      <c r="AS169" s="2">
        <v>8.9466947257068094E-2</v>
      </c>
      <c r="AT169" s="2">
        <v>0.141339869281045</v>
      </c>
      <c r="AU169" s="2">
        <v>7.1896655876189097E-2</v>
      </c>
    </row>
    <row r="170" spans="1:47" x14ac:dyDescent="0.25">
      <c r="A170">
        <v>1947</v>
      </c>
      <c r="B170">
        <v>22.34</v>
      </c>
      <c r="C170" s="3">
        <f t="shared" si="37"/>
        <v>77.247579529737195</v>
      </c>
      <c r="D170">
        <v>35</v>
      </c>
      <c r="E170" s="3">
        <f t="shared" si="38"/>
        <v>169.32752781809384</v>
      </c>
      <c r="F170" s="3">
        <f t="shared" si="36"/>
        <v>133.77245508982037</v>
      </c>
      <c r="G170">
        <v>171.5</v>
      </c>
      <c r="I170" s="3">
        <f t="shared" si="33"/>
        <v>101.28300000000002</v>
      </c>
      <c r="J170">
        <v>8.4</v>
      </c>
      <c r="L170">
        <v>4.03</v>
      </c>
      <c r="N170" s="6">
        <f t="shared" si="39"/>
        <v>8.4</v>
      </c>
      <c r="O170" s="3">
        <f t="shared" si="40"/>
        <v>197.64705882352942</v>
      </c>
      <c r="P170">
        <v>177.4</v>
      </c>
      <c r="Q170" s="2">
        <v>223.36666666666699</v>
      </c>
      <c r="S170">
        <f t="shared" si="49"/>
        <v>177.4</v>
      </c>
      <c r="T170" s="3">
        <f t="shared" si="35"/>
        <v>89.75595238095238</v>
      </c>
      <c r="U170" s="2">
        <v>11.015968450286699</v>
      </c>
      <c r="V170">
        <v>-17.052274081473001</v>
      </c>
      <c r="W170">
        <v>-3.0181528155931598</v>
      </c>
      <c r="X170">
        <v>-6.0960990974495299</v>
      </c>
      <c r="Y170" s="6">
        <f t="shared" si="42"/>
        <v>183.83419689119171</v>
      </c>
      <c r="Z170" s="6">
        <f t="shared" si="43"/>
        <v>164.63373632700061</v>
      </c>
      <c r="AA170" s="6">
        <f t="shared" si="44"/>
        <v>92.573649148778699</v>
      </c>
      <c r="AB170" s="3">
        <f t="shared" si="45"/>
        <v>34.966134494436375</v>
      </c>
      <c r="AC170" s="3">
        <f t="shared" si="47"/>
        <v>7.6963764705882367</v>
      </c>
      <c r="AD170" s="3">
        <f t="shared" si="46"/>
        <v>0</v>
      </c>
      <c r="AE170" s="2">
        <v>91.616769545993193</v>
      </c>
      <c r="AF170" s="2">
        <v>83.835730886115996</v>
      </c>
      <c r="AG170" s="2"/>
      <c r="AH170" s="2">
        <v>95.647904886758894</v>
      </c>
      <c r="AI170" s="2">
        <v>81.793400790951097</v>
      </c>
      <c r="AJ170" s="2"/>
      <c r="AK170" s="2"/>
      <c r="AL170" s="2"/>
      <c r="AM170" s="2"/>
      <c r="AN170" s="2"/>
      <c r="AO170" s="2"/>
      <c r="AP170" s="2"/>
      <c r="AR170" s="2">
        <v>9.5061728395061704E-2</v>
      </c>
      <c r="AS170" s="2">
        <v>9.5008470192874006E-2</v>
      </c>
      <c r="AT170" s="2">
        <v>0.22763063707945599</v>
      </c>
      <c r="AU170" s="2">
        <v>6.9813593911527305E-2</v>
      </c>
    </row>
    <row r="171" spans="1:47" x14ac:dyDescent="0.25">
      <c r="A171">
        <v>1948</v>
      </c>
      <c r="B171">
        <v>24.08</v>
      </c>
      <c r="C171" s="3">
        <f t="shared" si="37"/>
        <v>83.264177040110638</v>
      </c>
      <c r="D171">
        <v>35</v>
      </c>
      <c r="E171" s="3">
        <f t="shared" si="38"/>
        <v>169.32752781809384</v>
      </c>
      <c r="F171" s="3">
        <f t="shared" si="36"/>
        <v>144.19161676646706</v>
      </c>
      <c r="G171">
        <v>185.7</v>
      </c>
      <c r="I171" s="3">
        <f t="shared" si="33"/>
        <v>109.6691142857143</v>
      </c>
      <c r="J171">
        <v>8.4</v>
      </c>
      <c r="L171">
        <v>4.03</v>
      </c>
      <c r="N171" s="6">
        <f t="shared" si="39"/>
        <v>8.4</v>
      </c>
      <c r="O171" s="3">
        <f t="shared" si="40"/>
        <v>197.64705882352942</v>
      </c>
      <c r="P171">
        <v>202.8</v>
      </c>
      <c r="Q171" s="2">
        <v>259.17500000000001</v>
      </c>
      <c r="S171">
        <f t="shared" si="49"/>
        <v>202.8</v>
      </c>
      <c r="T171" s="3">
        <f t="shared" si="35"/>
        <v>102.60714285714285</v>
      </c>
      <c r="U171" s="2">
        <v>19.648256902240899</v>
      </c>
      <c r="V171">
        <v>-4.5468437483871202</v>
      </c>
      <c r="W171">
        <v>7.5507065769268804</v>
      </c>
      <c r="X171">
        <v>-0.88506364213632804</v>
      </c>
      <c r="Y171" s="6">
        <f t="shared" si="42"/>
        <v>210.15544041450778</v>
      </c>
      <c r="Z171" s="6">
        <f t="shared" si="43"/>
        <v>188.20587219343699</v>
      </c>
      <c r="AA171" s="6">
        <f t="shared" si="44"/>
        <v>105.82827535159143</v>
      </c>
      <c r="AB171" s="3">
        <f t="shared" si="45"/>
        <v>34.966134494436375</v>
      </c>
      <c r="AC171" s="3">
        <f t="shared" si="47"/>
        <v>7.6963764705882367</v>
      </c>
      <c r="AD171" s="3">
        <f t="shared" si="46"/>
        <v>0</v>
      </c>
      <c r="AE171" s="2">
        <v>97.058379566781198</v>
      </c>
      <c r="AF171" s="2">
        <v>88.580108104285202</v>
      </c>
      <c r="AG171" s="2"/>
      <c r="AH171" s="2">
        <v>103.05316984926201</v>
      </c>
      <c r="AI171" s="2">
        <v>86.727676803500401</v>
      </c>
      <c r="AJ171" s="2"/>
      <c r="AK171" s="2"/>
      <c r="AL171" s="2"/>
      <c r="AM171" s="2"/>
      <c r="AN171" s="2"/>
      <c r="AO171" s="2"/>
      <c r="AP171" s="2"/>
      <c r="AR171" s="2">
        <v>0.14317925591882699</v>
      </c>
      <c r="AS171" s="2">
        <v>0.100386939432157</v>
      </c>
      <c r="AT171" s="2">
        <v>8.2798833819241899E-2</v>
      </c>
      <c r="AU171" s="2">
        <v>6.4512219307201399E-2</v>
      </c>
    </row>
    <row r="172" spans="1:47" x14ac:dyDescent="0.25">
      <c r="A172">
        <v>1949</v>
      </c>
      <c r="B172">
        <v>23.85</v>
      </c>
      <c r="C172" s="3">
        <f t="shared" si="37"/>
        <v>82.468879668049794</v>
      </c>
      <c r="D172">
        <v>35</v>
      </c>
      <c r="E172" s="3">
        <f t="shared" si="38"/>
        <v>169.32752781809384</v>
      </c>
      <c r="F172" s="3">
        <f t="shared" si="36"/>
        <v>142.81437125748505</v>
      </c>
      <c r="G172">
        <v>176.5</v>
      </c>
      <c r="I172" s="3">
        <f t="shared" si="33"/>
        <v>104.23585714285716</v>
      </c>
      <c r="J172">
        <v>8.4</v>
      </c>
      <c r="L172">
        <v>3.69</v>
      </c>
      <c r="N172" s="6">
        <f t="shared" si="39"/>
        <v>8.4</v>
      </c>
      <c r="O172" s="3">
        <f t="shared" si="40"/>
        <v>197.64705882352942</v>
      </c>
      <c r="P172">
        <v>212.7</v>
      </c>
      <c r="Q172" s="2">
        <v>275.191666666667</v>
      </c>
      <c r="S172">
        <f t="shared" si="49"/>
        <v>212.7</v>
      </c>
      <c r="T172" s="3">
        <f t="shared" si="35"/>
        <v>107.61607142857143</v>
      </c>
      <c r="U172" s="2">
        <v>14.4772273034236</v>
      </c>
      <c r="V172">
        <v>0.13551441162769601</v>
      </c>
      <c r="W172">
        <v>7.3063708575256499</v>
      </c>
      <c r="X172">
        <v>4.1740242749046699</v>
      </c>
      <c r="Y172" s="6">
        <f t="shared" si="42"/>
        <v>220.41450777202073</v>
      </c>
      <c r="Z172" s="6">
        <f t="shared" si="43"/>
        <v>180.73989637305698</v>
      </c>
      <c r="AA172" s="6">
        <f t="shared" si="44"/>
        <v>110.99444855662473</v>
      </c>
      <c r="AB172" s="3">
        <f t="shared" si="45"/>
        <v>34.966134494436375</v>
      </c>
      <c r="AC172" s="3">
        <f t="shared" si="47"/>
        <v>7.6963764705882367</v>
      </c>
      <c r="AD172" s="3">
        <f t="shared" si="46"/>
        <v>0</v>
      </c>
      <c r="AE172" s="2">
        <v>102.044497898011</v>
      </c>
      <c r="AF172" s="2">
        <v>93.516808255824799</v>
      </c>
      <c r="AG172" s="2"/>
      <c r="AH172" s="2">
        <v>108.021407278456</v>
      </c>
      <c r="AI172" s="2">
        <v>91.539607021034001</v>
      </c>
      <c r="AJ172" s="2"/>
      <c r="AK172" s="2"/>
      <c r="AL172" s="2"/>
      <c r="AM172" s="2"/>
      <c r="AN172" s="2"/>
      <c r="AO172" s="2"/>
      <c r="AP172" s="2"/>
      <c r="AR172" s="2">
        <v>4.8816568047337097E-2</v>
      </c>
      <c r="AS172" s="2">
        <v>0.104081329441421</v>
      </c>
      <c r="AT172" s="2">
        <v>-4.9542272482498498E-2</v>
      </c>
      <c r="AU172" s="2">
        <v>5.7210670048810398E-2</v>
      </c>
    </row>
    <row r="173" spans="1:47" x14ac:dyDescent="0.25">
      <c r="A173">
        <v>1950</v>
      </c>
      <c r="B173">
        <v>24.08</v>
      </c>
      <c r="C173" s="3">
        <f t="shared" si="37"/>
        <v>83.264177040110638</v>
      </c>
      <c r="D173">
        <v>35</v>
      </c>
      <c r="E173" s="3">
        <f t="shared" si="38"/>
        <v>169.32752781809384</v>
      </c>
      <c r="F173" s="3">
        <f t="shared" si="36"/>
        <v>144.19161676646706</v>
      </c>
      <c r="G173">
        <v>183.4</v>
      </c>
      <c r="I173" s="3">
        <f t="shared" si="33"/>
        <v>108.31080000000001</v>
      </c>
      <c r="K173">
        <v>34.71</v>
      </c>
      <c r="L173">
        <v>2.8</v>
      </c>
      <c r="M173" s="5">
        <f t="shared" ref="M173:M233" si="50">K173/L173</f>
        <v>12.396428571428572</v>
      </c>
      <c r="N173" s="6">
        <f>+M173</f>
        <v>12.396428571428572</v>
      </c>
      <c r="O173" s="3">
        <f t="shared" si="40"/>
        <v>291.68067226890759</v>
      </c>
      <c r="P173">
        <v>248</v>
      </c>
      <c r="Q173" s="2">
        <v>324.73333333333301</v>
      </c>
      <c r="S173">
        <f t="shared" si="49"/>
        <v>248</v>
      </c>
      <c r="T173" s="3">
        <f t="shared" si="35"/>
        <v>85.02448861999423</v>
      </c>
      <c r="U173" s="2">
        <v>18.823161947872499</v>
      </c>
      <c r="V173">
        <v>-22.7740243331383</v>
      </c>
      <c r="W173">
        <v>-1.97543119263291</v>
      </c>
      <c r="X173">
        <v>9.0314920421292495</v>
      </c>
      <c r="Y173" s="6">
        <f t="shared" si="42"/>
        <v>256.99481865284974</v>
      </c>
      <c r="Z173" s="6">
        <f t="shared" si="43"/>
        <v>159.90788716177317</v>
      </c>
      <c r="AA173" s="6">
        <f t="shared" si="44"/>
        <v>87.693651170393338</v>
      </c>
      <c r="AB173" s="3">
        <f t="shared" si="45"/>
        <v>34.966134494436375</v>
      </c>
      <c r="AC173" s="3">
        <f t="shared" si="47"/>
        <v>11.358045378151262</v>
      </c>
      <c r="AD173" s="3">
        <f t="shared" si="46"/>
        <v>0</v>
      </c>
      <c r="AE173" s="2">
        <v>106.506821506264</v>
      </c>
      <c r="AF173" s="2">
        <v>98.594734476819298</v>
      </c>
      <c r="AG173" s="2"/>
      <c r="AH173" s="2">
        <v>112.01010516153499</v>
      </c>
      <c r="AI173" s="2">
        <v>96.923128327763095</v>
      </c>
      <c r="AJ173" s="2"/>
      <c r="AK173" s="2"/>
      <c r="AL173" s="2"/>
      <c r="AM173" s="2"/>
      <c r="AN173" s="2"/>
      <c r="AO173" s="2"/>
      <c r="AP173" s="2"/>
      <c r="AR173" s="2">
        <v>0.16596144804889501</v>
      </c>
      <c r="AS173" s="2">
        <v>0.104998537852036</v>
      </c>
      <c r="AT173" s="2">
        <v>3.90934844192634E-2</v>
      </c>
      <c r="AU173" s="2">
        <v>4.9309950267073799E-2</v>
      </c>
    </row>
    <row r="174" spans="1:47" x14ac:dyDescent="0.25">
      <c r="A174">
        <v>1951</v>
      </c>
      <c r="B174">
        <v>25.98</v>
      </c>
      <c r="C174" s="3">
        <f t="shared" si="37"/>
        <v>89.834024896265561</v>
      </c>
      <c r="D174">
        <v>35</v>
      </c>
      <c r="E174" s="3">
        <f t="shared" si="38"/>
        <v>169.32752781809384</v>
      </c>
      <c r="F174" s="3">
        <f t="shared" si="36"/>
        <v>155.56886227544911</v>
      </c>
      <c r="G174">
        <v>204.3</v>
      </c>
      <c r="I174" s="3">
        <f t="shared" si="33"/>
        <v>120.65374285714287</v>
      </c>
      <c r="K174">
        <v>34.71</v>
      </c>
      <c r="L174">
        <v>2.8</v>
      </c>
      <c r="M174" s="5">
        <f t="shared" si="50"/>
        <v>12.396428571428572</v>
      </c>
      <c r="N174" s="6">
        <f t="shared" ref="N174:N233" si="51">+M174</f>
        <v>12.396428571428572</v>
      </c>
      <c r="O174" s="3">
        <f t="shared" si="40"/>
        <v>291.68067226890759</v>
      </c>
      <c r="P174">
        <v>365.7</v>
      </c>
      <c r="Q174" s="2">
        <v>418.18</v>
      </c>
      <c r="S174">
        <f t="shared" si="49"/>
        <v>365.7</v>
      </c>
      <c r="T174" s="3">
        <f t="shared" si="35"/>
        <v>125.37683664649956</v>
      </c>
      <c r="U174" s="2">
        <v>31.4563431296252</v>
      </c>
      <c r="V174">
        <v>17.295734446128002</v>
      </c>
      <c r="W174">
        <v>24.376038787876599</v>
      </c>
      <c r="X174">
        <v>13.6689905138194</v>
      </c>
      <c r="Y174" s="6">
        <f t="shared" si="42"/>
        <v>378.96373056994821</v>
      </c>
      <c r="Z174" s="6">
        <f t="shared" si="43"/>
        <v>235.79965457685668</v>
      </c>
      <c r="AA174" s="6">
        <f t="shared" si="44"/>
        <v>129.3127751331163</v>
      </c>
      <c r="AB174" s="3">
        <f t="shared" si="45"/>
        <v>34.966134494436375</v>
      </c>
      <c r="AC174" s="3">
        <f t="shared" si="47"/>
        <v>11.358045378151262</v>
      </c>
      <c r="AD174" s="3">
        <f t="shared" si="46"/>
        <v>0</v>
      </c>
      <c r="AE174" s="2">
        <v>110.399102379138</v>
      </c>
      <c r="AF174" s="2">
        <v>103.79142182079499</v>
      </c>
      <c r="AG174" s="2"/>
      <c r="AH174" s="2">
        <v>115.219615726204</v>
      </c>
      <c r="AI174" s="2">
        <v>105.185641934221</v>
      </c>
      <c r="AJ174" s="2"/>
      <c r="AK174" s="2"/>
      <c r="AL174" s="2"/>
      <c r="AM174" s="2"/>
      <c r="AN174" s="2"/>
      <c r="AO174" s="2"/>
      <c r="AP174" s="2"/>
      <c r="AR174" s="2">
        <v>0.47459677419354801</v>
      </c>
      <c r="AS174" s="2">
        <v>0.10149281468143199</v>
      </c>
      <c r="AT174" s="2">
        <v>0.113958560523446</v>
      </c>
      <c r="AU174" s="2">
        <v>4.1143534667397903E-2</v>
      </c>
    </row>
    <row r="175" spans="1:47" x14ac:dyDescent="0.25">
      <c r="A175">
        <v>1952</v>
      </c>
      <c r="B175">
        <v>26.55</v>
      </c>
      <c r="C175" s="3">
        <f t="shared" si="37"/>
        <v>91.804979253112023</v>
      </c>
      <c r="D175">
        <v>35</v>
      </c>
      <c r="E175" s="3">
        <f t="shared" si="38"/>
        <v>169.32752781809384</v>
      </c>
      <c r="F175" s="3">
        <f t="shared" si="36"/>
        <v>158.98203592814372</v>
      </c>
      <c r="G175">
        <v>198.7</v>
      </c>
      <c r="I175" s="3">
        <f t="shared" si="33"/>
        <v>117.34654285714286</v>
      </c>
      <c r="K175">
        <v>34.71</v>
      </c>
      <c r="L175">
        <v>2.79</v>
      </c>
      <c r="M175" s="5">
        <f t="shared" si="50"/>
        <v>12.440860215053764</v>
      </c>
      <c r="N175" s="6">
        <f t="shared" si="51"/>
        <v>12.440860215053764</v>
      </c>
      <c r="O175" s="3">
        <f t="shared" si="40"/>
        <v>292.7261227071474</v>
      </c>
      <c r="P175">
        <v>375.1</v>
      </c>
      <c r="S175">
        <f>P175</f>
        <v>375.1</v>
      </c>
      <c r="T175" s="3">
        <f t="shared" si="35"/>
        <v>128.14025496974935</v>
      </c>
      <c r="U175" s="2">
        <v>28.467053142719401</v>
      </c>
      <c r="V175">
        <v>19.786004338763899</v>
      </c>
      <c r="W175">
        <v>24.126528740741598</v>
      </c>
      <c r="X175">
        <v>17.958101311909601</v>
      </c>
      <c r="Y175" s="6">
        <f t="shared" si="42"/>
        <v>388.70466321243521</v>
      </c>
      <c r="Z175" s="6">
        <f t="shared" si="43"/>
        <v>240.99689119170984</v>
      </c>
      <c r="AA175" s="6">
        <f t="shared" si="44"/>
        <v>132.16294508309412</v>
      </c>
      <c r="AB175" s="3">
        <f t="shared" si="45"/>
        <v>34.966134494436375</v>
      </c>
      <c r="AC175" s="3">
        <f t="shared" si="47"/>
        <v>11.398755218216319</v>
      </c>
      <c r="AD175" s="3">
        <f t="shared" si="46"/>
        <v>0</v>
      </c>
      <c r="AE175" s="2">
        <v>113.693324289172</v>
      </c>
      <c r="AF175" s="2">
        <v>108.87565799650901</v>
      </c>
      <c r="AG175" s="2"/>
      <c r="AH175" s="2">
        <v>116.623589479662</v>
      </c>
      <c r="AI175" s="2">
        <v>112.233506275019</v>
      </c>
      <c r="AJ175" s="2"/>
      <c r="AK175" s="2"/>
      <c r="AL175" s="2"/>
      <c r="AM175" s="2"/>
      <c r="AN175" s="2"/>
      <c r="AO175" s="2"/>
      <c r="AP175" s="2"/>
      <c r="AR175" s="2">
        <v>2.5704129067541701E-2</v>
      </c>
      <c r="AS175" s="2">
        <v>9.2528039049007194E-2</v>
      </c>
      <c r="AT175" s="2">
        <v>-2.7410670582476801E-2</v>
      </c>
      <c r="AU175" s="2">
        <v>3.2942733296711102E-2</v>
      </c>
    </row>
    <row r="176" spans="1:47" x14ac:dyDescent="0.25">
      <c r="A176">
        <v>1953</v>
      </c>
      <c r="B176">
        <v>26.75</v>
      </c>
      <c r="C176" s="3">
        <f t="shared" si="37"/>
        <v>92.496542185338853</v>
      </c>
      <c r="D176">
        <v>35</v>
      </c>
      <c r="E176" s="3">
        <f t="shared" si="38"/>
        <v>169.32752781809384</v>
      </c>
      <c r="F176" s="3">
        <f t="shared" si="36"/>
        <v>160.17964071856289</v>
      </c>
      <c r="G176">
        <v>196</v>
      </c>
      <c r="I176" s="3">
        <f t="shared" si="33"/>
        <v>115.75200000000001</v>
      </c>
      <c r="K176">
        <v>34.71</v>
      </c>
      <c r="L176">
        <v>2.81</v>
      </c>
      <c r="M176" s="5">
        <f t="shared" si="50"/>
        <v>12.352313167259787</v>
      </c>
      <c r="N176" s="6">
        <f t="shared" si="51"/>
        <v>12.352313167259787</v>
      </c>
      <c r="O176" s="3">
        <f t="shared" si="40"/>
        <v>290.64266275905385</v>
      </c>
      <c r="P176">
        <v>375.5</v>
      </c>
      <c r="S176">
        <f>P176</f>
        <v>375.5</v>
      </c>
      <c r="T176" s="3">
        <f t="shared" si="35"/>
        <v>129.19644915010082</v>
      </c>
      <c r="U176" s="2">
        <v>27.195574281192599</v>
      </c>
      <c r="V176">
        <v>20.598018094628699</v>
      </c>
      <c r="W176">
        <v>23.896796187910699</v>
      </c>
      <c r="X176">
        <v>21.8774765410746</v>
      </c>
      <c r="Y176" s="6">
        <f t="shared" si="42"/>
        <v>389.11917098445593</v>
      </c>
      <c r="Z176" s="6">
        <f t="shared" si="43"/>
        <v>242.98330454807137</v>
      </c>
      <c r="AA176" s="6">
        <f t="shared" si="44"/>
        <v>133.25229622796135</v>
      </c>
      <c r="AB176" s="3">
        <f t="shared" si="45"/>
        <v>34.966134494436375</v>
      </c>
      <c r="AC176" s="3">
        <f t="shared" si="47"/>
        <v>11.317625287837556</v>
      </c>
      <c r="AD176" s="3">
        <f t="shared" si="46"/>
        <v>0</v>
      </c>
      <c r="AE176" s="2">
        <v>116.464179985112</v>
      </c>
      <c r="AF176" s="2">
        <v>113.724316494513</v>
      </c>
      <c r="AG176" s="2"/>
      <c r="AH176" s="2">
        <v>117.012471687036</v>
      </c>
      <c r="AI176" s="2">
        <v>117.111199140031</v>
      </c>
      <c r="AJ176" s="2"/>
      <c r="AK176" s="2"/>
      <c r="AL176" s="2"/>
      <c r="AM176" s="2"/>
      <c r="AN176" s="2"/>
      <c r="AO176" s="2"/>
      <c r="AP176" s="2"/>
      <c r="AR176" s="2">
        <v>1.06638229805379E-3</v>
      </c>
      <c r="AS176" s="2">
        <v>8.0799129669279504E-2</v>
      </c>
      <c r="AT176" s="2">
        <v>-1.3588324106693399E-2</v>
      </c>
      <c r="AU176" s="2">
        <v>2.5667006460502E-2</v>
      </c>
    </row>
    <row r="177" spans="1:47" x14ac:dyDescent="0.25">
      <c r="A177">
        <v>1954</v>
      </c>
      <c r="B177">
        <v>26.88</v>
      </c>
      <c r="C177" s="3">
        <f t="shared" si="37"/>
        <v>92.946058091286304</v>
      </c>
      <c r="D177">
        <v>35</v>
      </c>
      <c r="E177" s="3">
        <f t="shared" si="38"/>
        <v>169.32752781809384</v>
      </c>
      <c r="F177" s="3">
        <f t="shared" si="36"/>
        <v>160.95808383233535</v>
      </c>
      <c r="G177">
        <v>196.4</v>
      </c>
      <c r="I177" s="3">
        <f t="shared" si="33"/>
        <v>115.98822857142858</v>
      </c>
      <c r="K177">
        <v>34.96</v>
      </c>
      <c r="L177">
        <v>2.81</v>
      </c>
      <c r="M177" s="5">
        <f t="shared" si="50"/>
        <v>12.441281138790035</v>
      </c>
      <c r="N177" s="6">
        <f t="shared" si="51"/>
        <v>12.441281138790035</v>
      </c>
      <c r="O177" s="3">
        <f t="shared" si="40"/>
        <v>292.73602679505967</v>
      </c>
      <c r="P177">
        <v>377.8</v>
      </c>
      <c r="S177">
        <f>P177</f>
        <v>377.8</v>
      </c>
      <c r="T177" s="3">
        <f t="shared" si="35"/>
        <v>129.05825228832953</v>
      </c>
      <c r="U177" s="2">
        <v>27.782188839082501</v>
      </c>
      <c r="V177">
        <v>20.2330276241055</v>
      </c>
      <c r="W177">
        <v>24.007608231593998</v>
      </c>
      <c r="X177">
        <v>25.467452580277801</v>
      </c>
      <c r="Y177" s="6">
        <f t="shared" si="42"/>
        <v>391.50259067357513</v>
      </c>
      <c r="Z177" s="6">
        <f t="shared" si="43"/>
        <v>244.47161773172138</v>
      </c>
      <c r="AA177" s="6">
        <f t="shared" si="44"/>
        <v>133.10976097034657</v>
      </c>
      <c r="AB177" s="3">
        <f t="shared" si="45"/>
        <v>34.966134494436375</v>
      </c>
      <c r="AC177" s="3">
        <f t="shared" si="47"/>
        <v>11.399140883399623</v>
      </c>
      <c r="AD177" s="3">
        <f t="shared" si="46"/>
        <v>0</v>
      </c>
      <c r="AE177" s="2">
        <v>118.823128972812</v>
      </c>
      <c r="AF177" s="2">
        <v>118.30101422539001</v>
      </c>
      <c r="AG177" s="2"/>
      <c r="AH177" s="2">
        <v>117.425511120233</v>
      </c>
      <c r="AI177" s="2">
        <v>120.63536289411999</v>
      </c>
      <c r="AJ177" s="2"/>
      <c r="AK177" s="2"/>
      <c r="AL177" s="2"/>
      <c r="AM177" s="2"/>
      <c r="AN177" s="2"/>
      <c r="AO177" s="2"/>
      <c r="AP177" s="2"/>
      <c r="AR177" s="2">
        <v>6.12516644474037E-3</v>
      </c>
      <c r="AS177" s="2">
        <v>6.8332766156954203E-2</v>
      </c>
      <c r="AT177" s="2">
        <v>2.0408163265306402E-3</v>
      </c>
      <c r="AU177" s="2">
        <v>1.9672280425467599E-2</v>
      </c>
    </row>
    <row r="178" spans="1:47" x14ac:dyDescent="0.25">
      <c r="A178">
        <v>1955</v>
      </c>
      <c r="B178">
        <v>26.78</v>
      </c>
      <c r="C178" s="3">
        <f t="shared" si="37"/>
        <v>92.600276625172881</v>
      </c>
      <c r="D178">
        <v>35</v>
      </c>
      <c r="E178" s="3">
        <f t="shared" si="38"/>
        <v>169.32752781809384</v>
      </c>
      <c r="F178" s="3">
        <f t="shared" si="36"/>
        <v>160.35928143712576</v>
      </c>
      <c r="G178">
        <v>196.9</v>
      </c>
      <c r="I178" s="3">
        <f t="shared" si="33"/>
        <v>116.28351428571429</v>
      </c>
      <c r="K178">
        <v>35.01</v>
      </c>
      <c r="L178">
        <v>2.79</v>
      </c>
      <c r="M178" s="5">
        <f t="shared" si="50"/>
        <v>12.548387096774192</v>
      </c>
      <c r="N178" s="6">
        <f t="shared" si="51"/>
        <v>12.548387096774192</v>
      </c>
      <c r="O178" s="3">
        <f t="shared" si="40"/>
        <v>295.2561669829222</v>
      </c>
      <c r="P178">
        <v>389.4</v>
      </c>
      <c r="S178">
        <f>P178</f>
        <v>389.4</v>
      </c>
      <c r="T178" s="3">
        <f t="shared" si="35"/>
        <v>131.88547557840616</v>
      </c>
      <c r="U178" s="2">
        <v>28.437179110426701</v>
      </c>
      <c r="V178">
        <v>22.862303998099399</v>
      </c>
      <c r="W178">
        <v>25.649741554262999</v>
      </c>
      <c r="X178">
        <v>28.788559004950798</v>
      </c>
      <c r="Y178" s="6">
        <f t="shared" si="42"/>
        <v>403.52331606217615</v>
      </c>
      <c r="Z178" s="6">
        <f t="shared" si="43"/>
        <v>250.18445595854922</v>
      </c>
      <c r="AA178" s="6">
        <f t="shared" si="44"/>
        <v>136.02573890805442</v>
      </c>
      <c r="AB178" s="3">
        <f t="shared" si="45"/>
        <v>34.966134494436375</v>
      </c>
      <c r="AC178" s="3">
        <f t="shared" si="47"/>
        <v>11.49727514231499</v>
      </c>
      <c r="AD178" s="3">
        <f t="shared" si="46"/>
        <v>0</v>
      </c>
      <c r="AE178" s="2">
        <v>120.874688958275</v>
      </c>
      <c r="AF178" s="2">
        <v>122.60882493478</v>
      </c>
      <c r="AG178" s="2"/>
      <c r="AH178" s="2">
        <v>118.48779932214801</v>
      </c>
      <c r="AI178" s="2">
        <v>123.808906855476</v>
      </c>
      <c r="AJ178" s="2"/>
      <c r="AK178" s="2"/>
      <c r="AL178" s="2"/>
      <c r="AM178" s="2"/>
      <c r="AN178" s="2"/>
      <c r="AO178" s="2"/>
      <c r="AP178" s="2"/>
      <c r="AR178" s="2">
        <v>3.0704076230809799E-2</v>
      </c>
      <c r="AS178" s="2">
        <v>5.6358300653023399E-2</v>
      </c>
      <c r="AT178" s="2">
        <v>2.5458248472505001E-3</v>
      </c>
      <c r="AU178" s="2">
        <v>1.49219281526328E-2</v>
      </c>
    </row>
    <row r="179" spans="1:47" x14ac:dyDescent="0.25">
      <c r="A179">
        <v>1956</v>
      </c>
      <c r="B179">
        <v>27.18</v>
      </c>
      <c r="C179" s="3">
        <f t="shared" si="37"/>
        <v>93.983402489626556</v>
      </c>
      <c r="D179">
        <v>35</v>
      </c>
      <c r="E179" s="3">
        <f t="shared" si="38"/>
        <v>169.32752781809384</v>
      </c>
      <c r="F179" s="3">
        <f t="shared" si="36"/>
        <v>162.75449101796409</v>
      </c>
      <c r="G179">
        <v>203.4</v>
      </c>
      <c r="I179" s="3">
        <f t="shared" si="33"/>
        <v>120.12222857142858</v>
      </c>
      <c r="K179">
        <v>35</v>
      </c>
      <c r="L179">
        <v>2.8</v>
      </c>
      <c r="M179" s="5">
        <f t="shared" si="50"/>
        <v>12.5</v>
      </c>
      <c r="N179" s="6">
        <f t="shared" si="51"/>
        <v>12.5</v>
      </c>
      <c r="O179" s="3">
        <f t="shared" si="40"/>
        <v>294.11764705882354</v>
      </c>
      <c r="P179">
        <v>406.1</v>
      </c>
      <c r="S179">
        <f>P179</f>
        <v>406.1</v>
      </c>
      <c r="T179" s="3">
        <f t="shared" si="35"/>
        <v>138.07399999999998</v>
      </c>
      <c r="U179" s="2">
        <v>32.660827389262899</v>
      </c>
      <c r="V179">
        <v>28.867137448039099</v>
      </c>
      <c r="W179">
        <v>30.763982418651</v>
      </c>
      <c r="X179">
        <v>31.886726947038401</v>
      </c>
      <c r="Y179" s="6">
        <f t="shared" si="42"/>
        <v>420.82901554404145</v>
      </c>
      <c r="Z179" s="6">
        <f t="shared" si="43"/>
        <v>261.8491652274036</v>
      </c>
      <c r="AA179" s="6">
        <f t="shared" si="44"/>
        <v>142.40853886010365</v>
      </c>
      <c r="AB179" s="3">
        <f t="shared" si="45"/>
        <v>34.966134494436375</v>
      </c>
      <c r="AC179" s="3">
        <f t="shared" si="47"/>
        <v>11.452941176470588</v>
      </c>
      <c r="AD179" s="3">
        <f t="shared" si="46"/>
        <v>0</v>
      </c>
      <c r="AE179" s="2">
        <v>122.695246357776</v>
      </c>
      <c r="AF179" s="2">
        <v>126.65181222607001</v>
      </c>
      <c r="AG179" s="2"/>
      <c r="AH179" s="2">
        <v>120.352590795599</v>
      </c>
      <c r="AI179" s="2">
        <v>126.889619377579</v>
      </c>
      <c r="AJ179" s="2"/>
      <c r="AK179" s="2"/>
      <c r="AL179" s="2"/>
      <c r="AM179" s="2"/>
      <c r="AN179" s="2"/>
      <c r="AO179" s="2"/>
      <c r="AP179" s="2"/>
      <c r="AR179" s="2">
        <v>4.2886492039034503E-2</v>
      </c>
      <c r="AS179" s="2">
        <v>4.5483009301357402E-2</v>
      </c>
      <c r="AT179" s="2">
        <v>3.3011681056373698E-2</v>
      </c>
      <c r="AU179" s="2">
        <v>1.12030079620331E-2</v>
      </c>
    </row>
    <row r="180" spans="1:47" x14ac:dyDescent="0.25">
      <c r="A180">
        <v>1957</v>
      </c>
      <c r="B180">
        <v>28.15</v>
      </c>
      <c r="C180" s="3">
        <f t="shared" si="37"/>
        <v>97.337482710926693</v>
      </c>
      <c r="D180">
        <v>35</v>
      </c>
      <c r="E180" s="3">
        <f t="shared" si="38"/>
        <v>169.32752781809384</v>
      </c>
      <c r="F180" s="3">
        <f t="shared" si="36"/>
        <v>168.56287425149702</v>
      </c>
      <c r="G180">
        <v>209.2</v>
      </c>
      <c r="I180" s="3">
        <f t="shared" si="33"/>
        <v>123.54754285714287</v>
      </c>
      <c r="K180">
        <v>34.950000000000003</v>
      </c>
      <c r="L180">
        <v>2.79</v>
      </c>
      <c r="M180" s="5">
        <f t="shared" si="50"/>
        <v>12.526881720430108</v>
      </c>
      <c r="N180" s="6">
        <f t="shared" si="51"/>
        <v>12.526881720430108</v>
      </c>
      <c r="O180" s="3">
        <f t="shared" si="40"/>
        <v>294.75015812776724</v>
      </c>
      <c r="P180">
        <v>419</v>
      </c>
      <c r="S180">
        <f>P180</f>
        <v>419</v>
      </c>
      <c r="T180" s="3">
        <f t="shared" si="35"/>
        <v>142.15429184549356</v>
      </c>
      <c r="U180" s="2">
        <v>36.4934159696286</v>
      </c>
      <c r="V180">
        <v>32.798837365876899</v>
      </c>
      <c r="W180">
        <v>34.646126667752803</v>
      </c>
      <c r="X180">
        <v>34.776499363978502</v>
      </c>
      <c r="Y180" s="6">
        <f t="shared" si="42"/>
        <v>434.19689119170982</v>
      </c>
      <c r="Z180" s="6">
        <f t="shared" si="43"/>
        <v>269.20207253886008</v>
      </c>
      <c r="AA180" s="6">
        <f t="shared" si="44"/>
        <v>146.61692276901866</v>
      </c>
      <c r="AB180" s="3">
        <f t="shared" si="45"/>
        <v>34.966134494436375</v>
      </c>
      <c r="AC180" s="3">
        <f t="shared" si="47"/>
        <v>11.477571157495255</v>
      </c>
      <c r="AD180" s="3">
        <f t="shared" si="46"/>
        <v>0</v>
      </c>
      <c r="AE180" s="2">
        <v>124.315440698008</v>
      </c>
      <c r="AF180" s="2">
        <v>130.42825145329601</v>
      </c>
      <c r="AG180" s="2"/>
      <c r="AH180" s="2">
        <v>122.443873602689</v>
      </c>
      <c r="AI180" s="2">
        <v>129.542319862087</v>
      </c>
      <c r="AJ180" s="2"/>
      <c r="AK180" s="2"/>
      <c r="AL180" s="2"/>
      <c r="AM180" s="2"/>
      <c r="AN180" s="2"/>
      <c r="AO180" s="2"/>
      <c r="AP180" s="2"/>
      <c r="AR180" s="2">
        <v>3.17655749815315E-2</v>
      </c>
      <c r="AS180" s="2">
        <v>3.6057626001604101E-2</v>
      </c>
      <c r="AT180" s="2">
        <v>2.8515240904621299E-2</v>
      </c>
      <c r="AU180" s="2">
        <v>8.1788171406503296E-3</v>
      </c>
    </row>
    <row r="181" spans="1:47" x14ac:dyDescent="0.25">
      <c r="A181">
        <v>1958</v>
      </c>
      <c r="B181">
        <v>28.92</v>
      </c>
      <c r="C181" s="3">
        <f t="shared" si="37"/>
        <v>100</v>
      </c>
      <c r="D181">
        <v>35</v>
      </c>
      <c r="E181" s="3">
        <f t="shared" si="38"/>
        <v>169.32752781809384</v>
      </c>
      <c r="F181" s="3">
        <f t="shared" si="36"/>
        <v>173.17365269461078</v>
      </c>
      <c r="G181">
        <v>212.1</v>
      </c>
      <c r="I181" s="3">
        <f t="shared" si="33"/>
        <v>125.26020000000001</v>
      </c>
      <c r="K181">
        <v>35.1</v>
      </c>
      <c r="L181">
        <v>2.81</v>
      </c>
      <c r="M181" s="5">
        <f t="shared" si="50"/>
        <v>12.491103202846976</v>
      </c>
      <c r="N181" s="6">
        <f t="shared" si="51"/>
        <v>12.491103202846976</v>
      </c>
      <c r="O181" s="3">
        <f t="shared" si="40"/>
        <v>293.90831065522298</v>
      </c>
      <c r="P181">
        <v>421.7</v>
      </c>
      <c r="S181">
        <f>P181</f>
        <v>421.7</v>
      </c>
      <c r="T181" s="3">
        <f t="shared" si="35"/>
        <v>143.48012108262105</v>
      </c>
      <c r="U181" s="2">
        <v>38.625227145561603</v>
      </c>
      <c r="V181">
        <v>34.008732304086799</v>
      </c>
      <c r="W181">
        <v>36.316979724824201</v>
      </c>
      <c r="X181">
        <v>37.4611917679252</v>
      </c>
      <c r="Y181" s="6">
        <f t="shared" si="42"/>
        <v>436.99481865284974</v>
      </c>
      <c r="Z181" s="6">
        <f t="shared" si="43"/>
        <v>272.87898675877949</v>
      </c>
      <c r="AA181" s="6">
        <f t="shared" si="44"/>
        <v>147.98437358841505</v>
      </c>
      <c r="AB181" s="3">
        <f t="shared" si="45"/>
        <v>34.966134494436375</v>
      </c>
      <c r="AC181" s="3">
        <f t="shared" si="47"/>
        <v>11.444789616914385</v>
      </c>
      <c r="AD181" s="3">
        <f t="shared" si="46"/>
        <v>0</v>
      </c>
      <c r="AE181" s="2">
        <v>125.740359042085</v>
      </c>
      <c r="AF181" s="2">
        <v>133.94249984823699</v>
      </c>
      <c r="AG181" s="2"/>
      <c r="AH181" s="2">
        <v>124.114772206984</v>
      </c>
      <c r="AI181" s="2">
        <v>131.55528791813001</v>
      </c>
      <c r="AJ181" s="2"/>
      <c r="AK181" s="2"/>
      <c r="AL181" s="2"/>
      <c r="AM181" s="2"/>
      <c r="AN181" s="2"/>
      <c r="AO181" s="2"/>
      <c r="AP181" s="2"/>
      <c r="AR181" s="2">
        <v>6.4439140811455497E-3</v>
      </c>
      <c r="AS181" s="2">
        <v>2.8406919480788499E-2</v>
      </c>
      <c r="AT181" s="2">
        <v>1.38623326959847E-2</v>
      </c>
      <c r="AU181" s="2">
        <v>5.7307397064095301E-3</v>
      </c>
    </row>
    <row r="182" spans="1:47" x14ac:dyDescent="0.25">
      <c r="A182">
        <v>1959</v>
      </c>
      <c r="B182">
        <v>29.16</v>
      </c>
      <c r="C182" s="3">
        <f t="shared" si="37"/>
        <v>100.8298755186722</v>
      </c>
      <c r="D182">
        <v>35</v>
      </c>
      <c r="E182" s="3">
        <f t="shared" si="38"/>
        <v>169.32752781809384</v>
      </c>
      <c r="F182" s="3">
        <f t="shared" si="36"/>
        <v>174.61077844311379</v>
      </c>
      <c r="G182">
        <v>212.6</v>
      </c>
      <c r="I182" s="3">
        <f t="shared" si="33"/>
        <v>125.55548571428572</v>
      </c>
      <c r="K182">
        <v>35.090000000000003</v>
      </c>
      <c r="L182">
        <v>2.81</v>
      </c>
      <c r="M182" s="5">
        <f t="shared" si="50"/>
        <v>12.487544483985767</v>
      </c>
      <c r="N182" s="6">
        <f t="shared" si="51"/>
        <v>12.487544483985767</v>
      </c>
      <c r="O182" s="3">
        <f t="shared" si="40"/>
        <v>293.82457609378275</v>
      </c>
      <c r="P182">
        <v>423.2</v>
      </c>
      <c r="S182">
        <f>P182</f>
        <v>423.2</v>
      </c>
      <c r="T182" s="3">
        <f t="shared" si="35"/>
        <v>144.03151895126814</v>
      </c>
      <c r="U182" s="2">
        <v>39.366543211099199</v>
      </c>
      <c r="V182">
        <v>34.468169975667003</v>
      </c>
      <c r="W182">
        <v>36.917356593383097</v>
      </c>
      <c r="X182">
        <v>39.942815944070297</v>
      </c>
      <c r="Y182" s="6">
        <f t="shared" si="42"/>
        <v>438.54922279792748</v>
      </c>
      <c r="Z182" s="6">
        <f t="shared" si="43"/>
        <v>273.84962579159475</v>
      </c>
      <c r="AA182" s="6">
        <f t="shared" si="44"/>
        <v>148.55308141758351</v>
      </c>
      <c r="AB182" s="3">
        <f t="shared" si="45"/>
        <v>34.966134494436375</v>
      </c>
      <c r="AC182" s="3">
        <f t="shared" si="47"/>
        <v>11.441528993091902</v>
      </c>
      <c r="AD182" s="3">
        <f t="shared" si="46"/>
        <v>0</v>
      </c>
      <c r="AE182" s="2">
        <v>126.967634046142</v>
      </c>
      <c r="AF182" s="2">
        <v>137.207732128137</v>
      </c>
      <c r="AG182" s="2"/>
      <c r="AH182" s="2">
        <v>125.093786537825</v>
      </c>
      <c r="AI182" s="2">
        <v>133.30602986747499</v>
      </c>
      <c r="AJ182" s="2"/>
      <c r="AK182" s="2"/>
      <c r="AL182" s="2"/>
      <c r="AM182" s="2"/>
      <c r="AN182" s="2"/>
      <c r="AO182" s="2"/>
      <c r="AP182" s="2"/>
      <c r="AR182" s="2">
        <v>3.5570310647379602E-3</v>
      </c>
      <c r="AS182" s="2">
        <v>2.2812737955734502E-2</v>
      </c>
      <c r="AT182" s="2">
        <v>2.3573785950023502E-3</v>
      </c>
      <c r="AU182" s="2">
        <v>3.9435239148756301E-3</v>
      </c>
    </row>
    <row r="183" spans="1:47" x14ac:dyDescent="0.25">
      <c r="A183">
        <v>1960</v>
      </c>
      <c r="B183">
        <v>29.62</v>
      </c>
      <c r="C183" s="3">
        <f t="shared" si="37"/>
        <v>102.42047026279391</v>
      </c>
      <c r="D183">
        <v>35</v>
      </c>
      <c r="E183" s="3">
        <f t="shared" si="38"/>
        <v>169.32752781809384</v>
      </c>
      <c r="F183" s="3">
        <f t="shared" si="36"/>
        <v>177.36526946107784</v>
      </c>
      <c r="G183">
        <v>212.6</v>
      </c>
      <c r="I183" s="3">
        <f t="shared" si="33"/>
        <v>125.55548571428572</v>
      </c>
      <c r="K183">
        <v>35.28</v>
      </c>
      <c r="L183">
        <v>2.81</v>
      </c>
      <c r="M183" s="5">
        <f t="shared" si="50"/>
        <v>12.555160142348754</v>
      </c>
      <c r="N183" s="6">
        <f t="shared" si="51"/>
        <v>12.555160142348754</v>
      </c>
      <c r="O183" s="3">
        <f t="shared" si="40"/>
        <v>295.41553276114718</v>
      </c>
      <c r="P183">
        <v>428.9</v>
      </c>
      <c r="R183">
        <v>11.011804659806659</v>
      </c>
      <c r="S183">
        <f>P183</f>
        <v>428.9</v>
      </c>
      <c r="T183" s="3">
        <f t="shared" si="35"/>
        <v>145.18532454648525</v>
      </c>
      <c r="U183" s="2">
        <v>39.827646460279396</v>
      </c>
      <c r="V183">
        <v>35.5685172541382</v>
      </c>
      <c r="W183">
        <v>37.698081857208798</v>
      </c>
      <c r="X183">
        <v>42.211941557174498</v>
      </c>
      <c r="Y183" s="6">
        <f t="shared" si="42"/>
        <v>444.45595854922277</v>
      </c>
      <c r="Z183" s="6">
        <f t="shared" si="43"/>
        <v>277.53805411629247</v>
      </c>
      <c r="AA183" s="6">
        <f t="shared" si="44"/>
        <v>149.74310827958126</v>
      </c>
      <c r="AB183" s="3">
        <f t="shared" si="45"/>
        <v>34.966134494436375</v>
      </c>
      <c r="AC183" s="3">
        <f t="shared" si="47"/>
        <v>11.503480845719071</v>
      </c>
      <c r="AD183" s="3">
        <f t="shared" si="46"/>
        <v>0</v>
      </c>
      <c r="AE183" s="2">
        <v>127.990294775891</v>
      </c>
      <c r="AF183" s="2">
        <v>140.21919801175699</v>
      </c>
      <c r="AG183" s="2"/>
      <c r="AH183" s="2">
        <v>125.49782578888799</v>
      </c>
      <c r="AI183" s="2">
        <v>135.37028939251201</v>
      </c>
      <c r="AJ183" s="2"/>
      <c r="AK183" s="2"/>
      <c r="AL183" s="2"/>
      <c r="AM183" s="2"/>
      <c r="AN183" s="2"/>
      <c r="AO183" s="2"/>
      <c r="AP183" s="2"/>
      <c r="AR183" s="2">
        <v>1.34688090737239E-2</v>
      </c>
      <c r="AS183" s="2">
        <v>1.9337299589269899E-2</v>
      </c>
      <c r="AT183" s="2">
        <v>0</v>
      </c>
      <c r="AU183" s="2">
        <v>2.98323395150923E-3</v>
      </c>
    </row>
    <row r="184" spans="1:47" x14ac:dyDescent="0.25">
      <c r="A184">
        <v>1961</v>
      </c>
      <c r="B184">
        <v>29.92</v>
      </c>
      <c r="C184" s="3">
        <f t="shared" si="37"/>
        <v>103.45781466113415</v>
      </c>
      <c r="D184">
        <v>35</v>
      </c>
      <c r="E184" s="3">
        <f t="shared" si="38"/>
        <v>169.32752781809384</v>
      </c>
      <c r="F184" s="3">
        <f t="shared" si="36"/>
        <v>179.16167664670658</v>
      </c>
      <c r="G184">
        <v>212.6</v>
      </c>
      <c r="I184" s="3">
        <f t="shared" si="33"/>
        <v>125.55548571428572</v>
      </c>
      <c r="K184">
        <v>35.15</v>
      </c>
      <c r="L184">
        <v>2.8</v>
      </c>
      <c r="M184" s="5">
        <f t="shared" si="50"/>
        <v>12.553571428571429</v>
      </c>
      <c r="N184" s="6">
        <f t="shared" si="51"/>
        <v>12.553571428571429</v>
      </c>
      <c r="O184" s="3">
        <f t="shared" si="40"/>
        <v>295.37815126050418</v>
      </c>
      <c r="P184">
        <v>440.3</v>
      </c>
      <c r="R184">
        <v>11.659557875089401</v>
      </c>
      <c r="S184">
        <f>P184</f>
        <v>440.3</v>
      </c>
      <c r="T184" s="3">
        <f t="shared" si="35"/>
        <v>149.06315789473686</v>
      </c>
      <c r="U184" s="2">
        <v>40.308819187139598</v>
      </c>
      <c r="V184">
        <v>39.4111601735436</v>
      </c>
      <c r="W184">
        <v>39.859989680341599</v>
      </c>
      <c r="X184">
        <v>44.228883678491897</v>
      </c>
      <c r="Y184" s="6">
        <f t="shared" si="42"/>
        <v>456.26943005181346</v>
      </c>
      <c r="Z184" s="6">
        <f t="shared" si="43"/>
        <v>283.90097869890616</v>
      </c>
      <c r="AA184" s="6">
        <f t="shared" si="44"/>
        <v>153.74267793836927</v>
      </c>
      <c r="AB184" s="3">
        <f t="shared" si="45"/>
        <v>34.966134494436375</v>
      </c>
      <c r="AC184" s="3">
        <f t="shared" si="47"/>
        <v>11.502025210084035</v>
      </c>
      <c r="AD184" s="3">
        <f t="shared" si="46"/>
        <v>0</v>
      </c>
      <c r="AE184" s="2">
        <v>128.78749395658599</v>
      </c>
      <c r="AF184" s="2">
        <v>142.92626989657899</v>
      </c>
      <c r="AG184" s="2"/>
      <c r="AH184" s="2">
        <v>125.60587030791</v>
      </c>
      <c r="AI184" s="2">
        <v>138.09513355314201</v>
      </c>
      <c r="AJ184" s="2"/>
      <c r="AK184" s="2"/>
      <c r="AL184" s="2"/>
      <c r="AM184" s="2"/>
      <c r="AN184" s="2"/>
      <c r="AO184" s="2"/>
      <c r="AP184" s="2"/>
      <c r="AR184" s="2">
        <v>2.6579622289578001E-2</v>
      </c>
      <c r="AS184" s="2">
        <v>1.7850265475312401E-2</v>
      </c>
      <c r="AT184" s="2">
        <v>0</v>
      </c>
      <c r="AU184" s="2">
        <v>3.0000725485722201E-3</v>
      </c>
    </row>
    <row r="185" spans="1:47" x14ac:dyDescent="0.25">
      <c r="A185">
        <v>1962</v>
      </c>
      <c r="B185">
        <v>30.26</v>
      </c>
      <c r="C185" s="3">
        <f t="shared" si="37"/>
        <v>104.63347164591977</v>
      </c>
      <c r="D185">
        <v>35</v>
      </c>
      <c r="E185" s="3">
        <f t="shared" si="38"/>
        <v>169.32752781809384</v>
      </c>
      <c r="F185" s="3">
        <f t="shared" si="36"/>
        <v>181.19760479041918</v>
      </c>
      <c r="G185">
        <v>212.6</v>
      </c>
      <c r="I185" s="3">
        <f t="shared" si="33"/>
        <v>125.55548571428572</v>
      </c>
      <c r="K185">
        <v>35.1</v>
      </c>
      <c r="L185">
        <v>2.81</v>
      </c>
      <c r="M185" s="5">
        <f t="shared" si="50"/>
        <v>12.491103202846976</v>
      </c>
      <c r="N185" s="6">
        <f t="shared" si="51"/>
        <v>12.491103202846976</v>
      </c>
      <c r="O185" s="3">
        <f t="shared" si="40"/>
        <v>293.90831065522298</v>
      </c>
      <c r="P185">
        <v>450.1</v>
      </c>
      <c r="R185">
        <v>11.9186591612025</v>
      </c>
      <c r="S185">
        <f t="shared" si="49"/>
        <v>450.1</v>
      </c>
      <c r="T185" s="3">
        <f t="shared" si="35"/>
        <v>153.14299857549855</v>
      </c>
      <c r="U185" s="2">
        <v>40.810343685717598</v>
      </c>
      <c r="V185">
        <v>43.497503928450897</v>
      </c>
      <c r="W185">
        <v>42.153923807084198</v>
      </c>
      <c r="X185">
        <v>45.908818782276597</v>
      </c>
      <c r="Y185" s="6">
        <f t="shared" si="42"/>
        <v>466.42487046632124</v>
      </c>
      <c r="Z185" s="6">
        <f t="shared" si="43"/>
        <v>291.25641911341393</v>
      </c>
      <c r="AA185" s="6">
        <f t="shared" si="44"/>
        <v>157.95059651919755</v>
      </c>
      <c r="AB185" s="3">
        <f t="shared" si="45"/>
        <v>34.966134494436375</v>
      </c>
      <c r="AC185" s="3">
        <f t="shared" si="47"/>
        <v>11.444789616914385</v>
      </c>
      <c r="AD185" s="3">
        <f t="shared" si="46"/>
        <v>0</v>
      </c>
      <c r="AE185" s="2">
        <v>129.31428136572001</v>
      </c>
      <c r="AF185" s="2">
        <v>145.21732819996501</v>
      </c>
      <c r="AG185" s="2"/>
      <c r="AH185" s="2">
        <v>125.724291846331</v>
      </c>
      <c r="AI185" s="2">
        <v>141.410866278425</v>
      </c>
      <c r="AJ185" s="2"/>
      <c r="AK185" s="2"/>
      <c r="AL185" s="2"/>
      <c r="AM185" s="2"/>
      <c r="AN185" s="2"/>
      <c r="AO185" s="2"/>
      <c r="AP185" s="2"/>
      <c r="AR185" s="2">
        <v>2.2257551669316401E-2</v>
      </c>
      <c r="AS185" s="2">
        <v>1.8162611802624198E-2</v>
      </c>
      <c r="AT185" s="2">
        <v>0</v>
      </c>
      <c r="AU185" s="2">
        <v>4.1144100988113998E-3</v>
      </c>
    </row>
    <row r="186" spans="1:47" x14ac:dyDescent="0.25">
      <c r="A186">
        <v>1963</v>
      </c>
      <c r="B186">
        <v>30.62</v>
      </c>
      <c r="C186" s="3">
        <f t="shared" si="37"/>
        <v>105.87828492392808</v>
      </c>
      <c r="D186">
        <v>35</v>
      </c>
      <c r="E186" s="3">
        <f t="shared" si="38"/>
        <v>169.32752781809384</v>
      </c>
      <c r="F186" s="3">
        <f t="shared" si="36"/>
        <v>183.35329341317367</v>
      </c>
      <c r="G186">
        <v>211.9</v>
      </c>
      <c r="I186" s="3">
        <f t="shared" si="33"/>
        <v>125.14208571428573</v>
      </c>
      <c r="K186">
        <v>35.090000000000003</v>
      </c>
      <c r="L186">
        <v>2.8</v>
      </c>
      <c r="M186" s="5">
        <f t="shared" si="50"/>
        <v>12.532142857142858</v>
      </c>
      <c r="N186" s="6">
        <f t="shared" si="51"/>
        <v>12.532142857142858</v>
      </c>
      <c r="O186" s="3">
        <f t="shared" si="40"/>
        <v>294.87394957983196</v>
      </c>
      <c r="P186">
        <v>456.2</v>
      </c>
      <c r="R186">
        <v>11.983434482730775</v>
      </c>
      <c r="S186">
        <f t="shared" si="49"/>
        <v>456.2</v>
      </c>
      <c r="T186" s="3">
        <f t="shared" si="35"/>
        <v>154.71017383870048</v>
      </c>
      <c r="U186" s="2">
        <v>40.9125022500507</v>
      </c>
      <c r="V186">
        <v>45.108972873948701</v>
      </c>
      <c r="W186">
        <v>43.010737561999697</v>
      </c>
      <c r="X186">
        <v>47.1232344028016</v>
      </c>
      <c r="Y186" s="6">
        <f t="shared" si="42"/>
        <v>472.74611398963731</v>
      </c>
      <c r="Z186" s="6">
        <f t="shared" si="43"/>
        <v>294.15313759355212</v>
      </c>
      <c r="AA186" s="6">
        <f t="shared" si="44"/>
        <v>159.56696990861397</v>
      </c>
      <c r="AB186" s="3">
        <f t="shared" si="45"/>
        <v>34.966134494436375</v>
      </c>
      <c r="AC186" s="3">
        <f t="shared" si="47"/>
        <v>11.482391596638656</v>
      </c>
      <c r="AD186" s="3">
        <f t="shared" si="46"/>
        <v>0</v>
      </c>
      <c r="AE186" s="2">
        <v>129.49363184121901</v>
      </c>
      <c r="AF186" s="2">
        <v>146.93129064031299</v>
      </c>
      <c r="AG186" s="2"/>
      <c r="AH186" s="2">
        <v>126.15083871962101</v>
      </c>
      <c r="AI186" s="2">
        <v>145.20941364637599</v>
      </c>
      <c r="AJ186" s="2"/>
      <c r="AK186" s="2"/>
      <c r="AL186" s="2"/>
      <c r="AM186" s="2"/>
      <c r="AN186" s="2"/>
      <c r="AO186" s="2"/>
      <c r="AP186" s="2"/>
      <c r="AR186" s="2">
        <v>1.3552543879137799E-2</v>
      </c>
      <c r="AS186" s="2">
        <v>2.0172608328110402E-2</v>
      </c>
      <c r="AT186" s="2">
        <v>-3.2925682031984399E-3</v>
      </c>
      <c r="AU186" s="2">
        <v>6.4166162694878296E-3</v>
      </c>
    </row>
    <row r="187" spans="1:47" x14ac:dyDescent="0.25">
      <c r="A187">
        <v>1964</v>
      </c>
      <c r="B187">
        <v>31.03</v>
      </c>
      <c r="C187" s="3">
        <f t="shared" si="37"/>
        <v>107.29598893499308</v>
      </c>
      <c r="D187">
        <v>35</v>
      </c>
      <c r="E187" s="3">
        <f t="shared" si="38"/>
        <v>169.32752781809384</v>
      </c>
      <c r="F187" s="3">
        <f t="shared" si="36"/>
        <v>185.80838323353294</v>
      </c>
      <c r="G187">
        <v>212.3</v>
      </c>
      <c r="I187" s="3">
        <f t="shared" si="33"/>
        <v>125.3783142857143</v>
      </c>
      <c r="K187">
        <v>35.090000000000003</v>
      </c>
      <c r="L187">
        <v>2.79</v>
      </c>
      <c r="M187" s="5">
        <f t="shared" si="50"/>
        <v>12.577060931899643</v>
      </c>
      <c r="N187" s="6">
        <f t="shared" si="51"/>
        <v>12.577060931899643</v>
      </c>
      <c r="O187" s="3">
        <f t="shared" si="40"/>
        <v>295.93084545646218</v>
      </c>
      <c r="P187">
        <v>471.4</v>
      </c>
      <c r="R187">
        <v>12.372086411900424</v>
      </c>
      <c r="S187">
        <f t="shared" si="49"/>
        <v>471.4</v>
      </c>
      <c r="T187" s="3">
        <f t="shared" si="35"/>
        <v>159.29397264177828</v>
      </c>
      <c r="U187" s="2">
        <v>41.695577174176897</v>
      </c>
      <c r="V187">
        <v>49.7670105256515</v>
      </c>
      <c r="W187">
        <v>45.731293849914202</v>
      </c>
      <c r="X187">
        <v>47.706069124587501</v>
      </c>
      <c r="Y187" s="6">
        <f t="shared" si="42"/>
        <v>488.49740932642487</v>
      </c>
      <c r="Z187" s="6">
        <f t="shared" si="43"/>
        <v>302.86839378238341</v>
      </c>
      <c r="AA187" s="6">
        <f t="shared" si="44"/>
        <v>164.29466730258389</v>
      </c>
      <c r="AB187" s="3">
        <f t="shared" si="45"/>
        <v>34.966134494436375</v>
      </c>
      <c r="AC187" s="3">
        <f t="shared" si="47"/>
        <v>11.523547122074637</v>
      </c>
      <c r="AD187" s="3">
        <f t="shared" si="46"/>
        <v>0</v>
      </c>
      <c r="AE187" s="2">
        <v>129.211177407354</v>
      </c>
      <c r="AF187" s="2">
        <v>147.86540165401999</v>
      </c>
      <c r="AG187" s="2"/>
      <c r="AH187" s="2">
        <v>127.135161961139</v>
      </c>
      <c r="AI187" s="2">
        <v>149.262412975535</v>
      </c>
      <c r="AJ187" s="2"/>
      <c r="AK187" s="2"/>
      <c r="AL187" s="2"/>
      <c r="AM187" s="2"/>
      <c r="AN187" s="2"/>
      <c r="AO187" s="2"/>
      <c r="AP187" s="2"/>
      <c r="AR187" s="2">
        <v>3.3318719859710598E-2</v>
      </c>
      <c r="AS187" s="2">
        <v>2.3819474207342602E-2</v>
      </c>
      <c r="AT187" s="2">
        <v>1.88768286927798E-3</v>
      </c>
      <c r="AU187" s="2">
        <v>9.9559166268744798E-3</v>
      </c>
    </row>
    <row r="188" spans="1:47" x14ac:dyDescent="0.25">
      <c r="A188">
        <v>1965</v>
      </c>
      <c r="B188">
        <v>31.56</v>
      </c>
      <c r="C188" s="3">
        <f t="shared" si="37"/>
        <v>109.12863070539419</v>
      </c>
      <c r="D188">
        <v>35</v>
      </c>
      <c r="E188" s="3">
        <f t="shared" si="38"/>
        <v>169.32752781809384</v>
      </c>
      <c r="F188" s="3">
        <f t="shared" si="36"/>
        <v>188.98203592814372</v>
      </c>
      <c r="G188">
        <v>216.6</v>
      </c>
      <c r="I188" s="3">
        <f t="shared" si="33"/>
        <v>127.91777142857144</v>
      </c>
      <c r="K188">
        <v>35.130000000000003</v>
      </c>
      <c r="L188">
        <v>2.8</v>
      </c>
      <c r="M188" s="5">
        <f t="shared" si="50"/>
        <v>12.546428571428573</v>
      </c>
      <c r="N188" s="6">
        <f t="shared" si="51"/>
        <v>12.546428571428573</v>
      </c>
      <c r="O188" s="3">
        <f t="shared" si="40"/>
        <v>295.2100840336135</v>
      </c>
      <c r="P188">
        <v>493.1</v>
      </c>
      <c r="R188">
        <v>12.825513662598343</v>
      </c>
      <c r="S188">
        <f t="shared" si="49"/>
        <v>493.1</v>
      </c>
      <c r="T188" s="3">
        <f t="shared" si="35"/>
        <v>167.03358952462281</v>
      </c>
      <c r="U188" s="2">
        <v>44.7998507521337</v>
      </c>
      <c r="V188">
        <v>57.623079559693203</v>
      </c>
      <c r="W188">
        <v>51.211465155913501</v>
      </c>
      <c r="X188">
        <v>47.450136563747201</v>
      </c>
      <c r="Y188" s="6">
        <f t="shared" si="42"/>
        <v>510.98445595854923</v>
      </c>
      <c r="Z188" s="6">
        <f t="shared" si="43"/>
        <v>317.94588370754173</v>
      </c>
      <c r="AA188" s="6">
        <f t="shared" si="44"/>
        <v>172.27725295681915</v>
      </c>
      <c r="AB188" s="3">
        <f t="shared" si="45"/>
        <v>34.966134494436375</v>
      </c>
      <c r="AC188" s="3">
        <f t="shared" si="47"/>
        <v>11.49548067226891</v>
      </c>
      <c r="AD188" s="3">
        <f t="shared" si="46"/>
        <v>0</v>
      </c>
      <c r="AE188" s="2">
        <v>128.30921376998299</v>
      </c>
      <c r="AF188" s="2">
        <v>147.77719277108201</v>
      </c>
      <c r="AG188" s="2"/>
      <c r="AH188" s="2">
        <v>128.59663303104</v>
      </c>
      <c r="AI188" s="2">
        <v>152.59169703564899</v>
      </c>
      <c r="AJ188" s="2"/>
      <c r="AK188" s="2"/>
      <c r="AL188" s="2"/>
      <c r="AM188" s="2"/>
      <c r="AN188" s="2"/>
      <c r="AO188" s="2"/>
      <c r="AP188" s="2"/>
      <c r="AR188" s="2">
        <v>4.6033092914722198E-2</v>
      </c>
      <c r="AS188" s="2">
        <v>2.8976227951402901E-2</v>
      </c>
      <c r="AT188" s="2">
        <v>2.0254357041921699E-2</v>
      </c>
      <c r="AU188" s="2">
        <v>1.46844448925174E-2</v>
      </c>
    </row>
    <row r="189" spans="1:47" x14ac:dyDescent="0.25">
      <c r="A189">
        <v>1966</v>
      </c>
      <c r="B189">
        <v>32.46</v>
      </c>
      <c r="C189" s="3">
        <f t="shared" si="37"/>
        <v>112.24066390041493</v>
      </c>
      <c r="D189">
        <v>35</v>
      </c>
      <c r="E189" s="3">
        <f t="shared" si="38"/>
        <v>169.32752781809384</v>
      </c>
      <c r="F189" s="3">
        <f t="shared" si="36"/>
        <v>194.37125748502996</v>
      </c>
      <c r="G189">
        <v>223.8</v>
      </c>
      <c r="I189" s="3">
        <f t="shared" si="33"/>
        <v>132.16988571428573</v>
      </c>
      <c r="K189">
        <v>35.17</v>
      </c>
      <c r="L189">
        <v>2.79</v>
      </c>
      <c r="M189" s="5">
        <f t="shared" si="50"/>
        <v>12.605734767025091</v>
      </c>
      <c r="N189" s="6">
        <f t="shared" si="51"/>
        <v>12.605734767025091</v>
      </c>
      <c r="O189" s="3">
        <f t="shared" si="40"/>
        <v>296.60552393000211</v>
      </c>
      <c r="P189">
        <v>506.8</v>
      </c>
      <c r="R189">
        <v>13.214165591767987</v>
      </c>
      <c r="S189">
        <f t="shared" si="49"/>
        <v>506.8</v>
      </c>
      <c r="T189" s="3">
        <f t="shared" si="35"/>
        <v>170.8666761444413</v>
      </c>
      <c r="U189" s="2">
        <v>49.635605277958497</v>
      </c>
      <c r="V189">
        <v>61.618661812734203</v>
      </c>
      <c r="W189">
        <v>55.627133545346403</v>
      </c>
      <c r="X189">
        <v>46.128502583646899</v>
      </c>
      <c r="Y189" s="6">
        <f t="shared" si="42"/>
        <v>525.18134715025906</v>
      </c>
      <c r="Z189" s="6">
        <f t="shared" si="43"/>
        <v>325.61243523316062</v>
      </c>
      <c r="AA189" s="6">
        <f t="shared" si="44"/>
        <v>176.23067115903365</v>
      </c>
      <c r="AB189" s="3">
        <f t="shared" si="45"/>
        <v>34.966134494436375</v>
      </c>
      <c r="AC189" s="3">
        <f t="shared" si="47"/>
        <v>11.549819101834283</v>
      </c>
      <c r="AD189" s="3">
        <f t="shared" si="46"/>
        <v>0</v>
      </c>
      <c r="AE189" s="2">
        <v>126.59192486089</v>
      </c>
      <c r="AF189" s="2">
        <v>146.422841504952</v>
      </c>
      <c r="AG189" s="2"/>
      <c r="AH189" s="2">
        <v>129.876236069095</v>
      </c>
      <c r="AI189" s="2">
        <v>153.708294271288</v>
      </c>
      <c r="AJ189" s="2"/>
      <c r="AK189" s="2"/>
      <c r="AL189" s="2"/>
      <c r="AM189" s="2"/>
      <c r="AN189" s="2"/>
      <c r="AO189" s="2"/>
      <c r="AP189" s="2"/>
      <c r="AR189" s="2">
        <v>2.77834110728046E-2</v>
      </c>
      <c r="AS189" s="2">
        <v>3.5610880527897203E-2</v>
      </c>
      <c r="AT189" s="2">
        <v>3.3240997229916899E-2</v>
      </c>
      <c r="AU189" s="2">
        <v>2.0473652450386699E-2</v>
      </c>
    </row>
    <row r="190" spans="1:47" x14ac:dyDescent="0.25">
      <c r="A190">
        <v>1967</v>
      </c>
      <c r="B190">
        <v>33.4</v>
      </c>
      <c r="C190" s="3">
        <f t="shared" si="37"/>
        <v>115.49100968188104</v>
      </c>
      <c r="D190">
        <v>35</v>
      </c>
      <c r="E190" s="3">
        <f t="shared" si="38"/>
        <v>169.32752781809384</v>
      </c>
      <c r="F190" s="3">
        <f t="shared" si="36"/>
        <v>200</v>
      </c>
      <c r="G190">
        <v>224.2</v>
      </c>
      <c r="I190" s="3">
        <f t="shared" si="33"/>
        <v>132.4061142857143</v>
      </c>
      <c r="K190">
        <v>35.19</v>
      </c>
      <c r="L190">
        <v>2.75</v>
      </c>
      <c r="M190" s="5">
        <f t="shared" si="50"/>
        <v>12.796363636363635</v>
      </c>
      <c r="N190" s="6">
        <f t="shared" si="51"/>
        <v>12.796363636363635</v>
      </c>
      <c r="O190" s="3">
        <f t="shared" si="40"/>
        <v>301.09090909090907</v>
      </c>
      <c r="P190">
        <v>513.29999999999995</v>
      </c>
      <c r="R190">
        <v>13.408491556352814</v>
      </c>
      <c r="S190">
        <f t="shared" si="49"/>
        <v>513.29999999999995</v>
      </c>
      <c r="T190" s="3">
        <f t="shared" si="35"/>
        <v>170.4800724637681</v>
      </c>
      <c r="U190" s="2">
        <v>50.483123045689297</v>
      </c>
      <c r="V190">
        <v>61.425258281955202</v>
      </c>
      <c r="W190">
        <v>55.954190663822203</v>
      </c>
      <c r="X190">
        <v>43.551846333574296</v>
      </c>
      <c r="Y190" s="6">
        <f t="shared" si="42"/>
        <v>531.9170984455958</v>
      </c>
      <c r="Z190" s="6">
        <f t="shared" si="43"/>
        <v>325.06044905008633</v>
      </c>
      <c r="AA190" s="6">
        <f t="shared" si="44"/>
        <v>175.83193088003395</v>
      </c>
      <c r="AB190" s="3">
        <f t="shared" si="45"/>
        <v>34.966134494436375</v>
      </c>
      <c r="AC190" s="3">
        <f t="shared" si="47"/>
        <v>11.724479999999998</v>
      </c>
      <c r="AD190" s="3">
        <f t="shared" si="46"/>
        <v>0</v>
      </c>
      <c r="AE190" s="2">
        <v>123.85980247416001</v>
      </c>
      <c r="AF190" s="2">
        <v>143.62605344137401</v>
      </c>
      <c r="AG190" s="2"/>
      <c r="AH190" s="2">
        <v>130.09607753806401</v>
      </c>
      <c r="AI190" s="2">
        <v>151.76933411513701</v>
      </c>
      <c r="AJ190" s="2">
        <v>152</v>
      </c>
      <c r="AK190" s="2">
        <v>130</v>
      </c>
      <c r="AL190" s="2"/>
      <c r="AM190" s="2"/>
      <c r="AN190" s="2"/>
      <c r="AO190" s="2"/>
      <c r="AP190" s="2"/>
      <c r="AR190" s="2">
        <v>1.2825572217837301E-2</v>
      </c>
      <c r="AS190" s="2">
        <v>4.3862011554064398E-2</v>
      </c>
      <c r="AT190" s="2">
        <v>1.78731009830195E-3</v>
      </c>
      <c r="AU190" s="2">
        <v>2.7250689805946499E-2</v>
      </c>
    </row>
    <row r="191" spans="1:47" x14ac:dyDescent="0.25">
      <c r="A191">
        <v>1968</v>
      </c>
      <c r="B191">
        <v>34.799999999999997</v>
      </c>
      <c r="C191" s="3">
        <f t="shared" si="37"/>
        <v>120.33195020746885</v>
      </c>
      <c r="D191">
        <v>39.26</v>
      </c>
      <c r="E191" s="3">
        <f t="shared" si="38"/>
        <v>189.93710691823898</v>
      </c>
      <c r="F191" s="3">
        <f t="shared" si="36"/>
        <v>208.3832335329341</v>
      </c>
      <c r="G191">
        <v>229.8</v>
      </c>
      <c r="I191" s="3">
        <f t="shared" si="33"/>
        <v>120.98741721854306</v>
      </c>
      <c r="K191">
        <v>38.69</v>
      </c>
      <c r="L191">
        <v>2.39</v>
      </c>
      <c r="M191" s="5">
        <f t="shared" si="50"/>
        <v>16.18828451882845</v>
      </c>
      <c r="N191" s="6">
        <f t="shared" si="51"/>
        <v>16.18828451882845</v>
      </c>
      <c r="O191" s="3">
        <f t="shared" si="40"/>
        <v>380.90081220772822</v>
      </c>
      <c r="P191">
        <v>536.1</v>
      </c>
      <c r="R191">
        <v>13.926694128579006</v>
      </c>
      <c r="S191">
        <f t="shared" si="49"/>
        <v>536.1</v>
      </c>
      <c r="T191" s="3">
        <f t="shared" si="35"/>
        <v>140.74530240372192</v>
      </c>
      <c r="U191" s="2">
        <v>39.692686349363498</v>
      </c>
      <c r="V191">
        <v>31.9343891250616</v>
      </c>
      <c r="W191">
        <v>35.813537737212499</v>
      </c>
      <c r="X191">
        <v>39.6258332724342</v>
      </c>
      <c r="Y191" s="6">
        <f t="shared" si="42"/>
        <v>555.54404145077717</v>
      </c>
      <c r="Z191" s="6">
        <f t="shared" si="43"/>
        <v>295.05561312607944</v>
      </c>
      <c r="AA191" s="6">
        <f t="shared" si="44"/>
        <v>145.16370110764859</v>
      </c>
      <c r="AB191" s="3">
        <f t="shared" si="45"/>
        <v>39.222012578616344</v>
      </c>
      <c r="AC191" s="3">
        <f t="shared" si="47"/>
        <v>14.832277627368937</v>
      </c>
      <c r="AD191" s="3">
        <f t="shared" si="46"/>
        <v>0</v>
      </c>
      <c r="AE191" s="2">
        <v>119.969319155268</v>
      </c>
      <c r="AF191" s="2">
        <v>139.334505751042</v>
      </c>
      <c r="AG191" s="2"/>
      <c r="AH191" s="2">
        <v>129.14951854434301</v>
      </c>
      <c r="AI191" s="2">
        <v>147.63584790945299</v>
      </c>
      <c r="AJ191" s="2"/>
      <c r="AK191" s="2"/>
      <c r="AL191" s="2"/>
      <c r="AM191" s="2"/>
      <c r="AN191" s="2"/>
      <c r="AO191" s="2"/>
      <c r="AP191" s="2"/>
      <c r="AR191" s="2">
        <v>4.4418468731735897E-2</v>
      </c>
      <c r="AS191" s="2">
        <v>5.37899259525925E-2</v>
      </c>
      <c r="AT191" s="2">
        <v>2.4977698483496898E-2</v>
      </c>
      <c r="AU191" s="2">
        <v>3.50703809124564E-2</v>
      </c>
    </row>
    <row r="192" spans="1:47" x14ac:dyDescent="0.25">
      <c r="A192">
        <v>1969</v>
      </c>
      <c r="B192">
        <v>36.67</v>
      </c>
      <c r="C192" s="3">
        <f t="shared" si="37"/>
        <v>126.79806362378976</v>
      </c>
      <c r="D192">
        <v>41.51</v>
      </c>
      <c r="E192" s="3">
        <f t="shared" si="38"/>
        <v>200.8224479922593</v>
      </c>
      <c r="F192" s="3">
        <f t="shared" si="36"/>
        <v>219.5808383233533</v>
      </c>
      <c r="G192">
        <v>238.8</v>
      </c>
      <c r="I192" s="3">
        <f t="shared" si="33"/>
        <v>118.91100939532643</v>
      </c>
      <c r="K192">
        <v>41.09</v>
      </c>
      <c r="L192">
        <v>2.39</v>
      </c>
      <c r="M192" s="5">
        <f t="shared" si="50"/>
        <v>17.192468619246863</v>
      </c>
      <c r="N192" s="6">
        <f t="shared" si="51"/>
        <v>17.192468619246863</v>
      </c>
      <c r="O192" s="3">
        <f t="shared" si="40"/>
        <v>404.52867339404384</v>
      </c>
      <c r="P192">
        <v>557</v>
      </c>
      <c r="R192">
        <v>14.380121379276931</v>
      </c>
      <c r="S192">
        <f t="shared" si="49"/>
        <v>557</v>
      </c>
      <c r="T192" s="3">
        <f t="shared" si="35"/>
        <v>137.69110489170114</v>
      </c>
      <c r="U192" s="2">
        <v>38.264577483018698</v>
      </c>
      <c r="V192">
        <v>29.157593660280799</v>
      </c>
      <c r="W192">
        <v>33.711085571649697</v>
      </c>
      <c r="X192">
        <v>34.3801523024337</v>
      </c>
      <c r="Y192" s="6">
        <f t="shared" si="42"/>
        <v>577.20207253886008</v>
      </c>
      <c r="Z192" s="6">
        <f t="shared" si="43"/>
        <v>306.55843408175014</v>
      </c>
      <c r="AA192" s="6">
        <f t="shared" si="44"/>
        <v>142.01362357620135</v>
      </c>
      <c r="AB192" s="3">
        <f t="shared" si="45"/>
        <v>41.469835510401545</v>
      </c>
      <c r="AC192" s="3">
        <f t="shared" si="47"/>
        <v>15.752346541964068</v>
      </c>
      <c r="AD192" s="3">
        <f t="shared" si="46"/>
        <v>0</v>
      </c>
      <c r="AE192" s="2">
        <v>114.862649424949</v>
      </c>
      <c r="AF192" s="2">
        <v>133.66821507023801</v>
      </c>
      <c r="AG192" s="2"/>
      <c r="AH192" s="2">
        <v>127.707894348304</v>
      </c>
      <c r="AI192" s="2">
        <v>145.19908895811199</v>
      </c>
      <c r="AJ192" s="2"/>
      <c r="AK192" s="2"/>
      <c r="AL192" s="2"/>
      <c r="AM192" s="2"/>
      <c r="AN192" s="2"/>
      <c r="AO192" s="2"/>
      <c r="AP192" s="2"/>
      <c r="AR192" s="2">
        <v>3.8985263943294102E-2</v>
      </c>
      <c r="AS192" s="2">
        <v>6.5144564252807305E-2</v>
      </c>
      <c r="AT192" s="2">
        <v>3.91644908616188E-2</v>
      </c>
      <c r="AU192" s="2">
        <v>4.3732915926099201E-2</v>
      </c>
    </row>
    <row r="193" spans="1:56" x14ac:dyDescent="0.25">
      <c r="A193">
        <v>1970</v>
      </c>
      <c r="B193">
        <v>38.840000000000003</v>
      </c>
      <c r="C193" s="3">
        <f t="shared" si="37"/>
        <v>134.30152143845092</v>
      </c>
      <c r="D193">
        <v>36.409999999999997</v>
      </c>
      <c r="E193" s="3">
        <f t="shared" si="38"/>
        <v>176.1490082244799</v>
      </c>
      <c r="F193" s="3">
        <f t="shared" si="36"/>
        <v>232.57485029940125</v>
      </c>
      <c r="G193">
        <v>247.5</v>
      </c>
      <c r="I193" s="3">
        <f t="shared" si="33"/>
        <v>140.50604229607254</v>
      </c>
      <c r="K193">
        <v>35.94</v>
      </c>
      <c r="L193">
        <v>2.4</v>
      </c>
      <c r="M193" s="5">
        <f t="shared" si="50"/>
        <v>14.975</v>
      </c>
      <c r="N193" s="6">
        <f t="shared" si="51"/>
        <v>14.975</v>
      </c>
      <c r="O193" s="3">
        <f t="shared" si="40"/>
        <v>352.35294117647061</v>
      </c>
      <c r="P193">
        <v>596.29999999999995</v>
      </c>
      <c r="R193">
        <v>15.351751202201047</v>
      </c>
      <c r="S193">
        <f t="shared" si="49"/>
        <v>596.29999999999995</v>
      </c>
      <c r="T193" s="3">
        <f t="shared" si="35"/>
        <v>169.23372287145239</v>
      </c>
      <c r="U193" s="2">
        <v>60.539078740692602</v>
      </c>
      <c r="V193">
        <v>61.026430366364799</v>
      </c>
      <c r="W193">
        <v>60.782754553528697</v>
      </c>
      <c r="X193">
        <v>27.806369370428001</v>
      </c>
      <c r="Y193" s="6">
        <f t="shared" si="42"/>
        <v>617.92746113989631</v>
      </c>
      <c r="Z193" s="6">
        <f t="shared" si="43"/>
        <v>329.56131260794467</v>
      </c>
      <c r="AA193" s="6">
        <f t="shared" si="44"/>
        <v>174.54645479944986</v>
      </c>
      <c r="AB193" s="3">
        <f t="shared" si="45"/>
        <v>36.374770198355094</v>
      </c>
      <c r="AC193" s="3">
        <f t="shared" si="47"/>
        <v>13.720623529411766</v>
      </c>
      <c r="AD193" s="3">
        <f t="shared" si="46"/>
        <v>0</v>
      </c>
      <c r="AE193" s="2">
        <v>108.49177461238401</v>
      </c>
      <c r="AF193" s="2">
        <v>126.63425297773</v>
      </c>
      <c r="AG193" s="2"/>
      <c r="AH193" s="2">
        <v>123.709367362208</v>
      </c>
      <c r="AI193" s="2">
        <v>141.818361261842</v>
      </c>
      <c r="AJ193" s="2"/>
      <c r="AK193" s="2"/>
      <c r="AL193" s="2"/>
      <c r="AM193" s="2"/>
      <c r="AN193" s="2"/>
      <c r="AO193" s="2"/>
      <c r="AP193" s="2"/>
      <c r="AR193" s="2">
        <v>7.0556552962297903E-2</v>
      </c>
      <c r="AS193" s="2">
        <v>7.7582152411826005E-2</v>
      </c>
      <c r="AT193" s="2">
        <v>3.6432160804020002E-2</v>
      </c>
      <c r="AU193" s="2">
        <v>5.2937558178768503E-2</v>
      </c>
    </row>
    <row r="194" spans="1:56" x14ac:dyDescent="0.25">
      <c r="A194">
        <v>1971</v>
      </c>
      <c r="B194">
        <v>40.51</v>
      </c>
      <c r="C194" s="3">
        <f t="shared" si="37"/>
        <v>140.07607192254494</v>
      </c>
      <c r="D194">
        <v>41.25</v>
      </c>
      <c r="E194" s="3">
        <f t="shared" si="38"/>
        <v>199.56458635703916</v>
      </c>
      <c r="F194" s="3">
        <f t="shared" si="36"/>
        <v>242.57485029940122</v>
      </c>
      <c r="G194">
        <v>255.4</v>
      </c>
      <c r="I194" s="3">
        <f t="shared" si="33"/>
        <v>127.97861818181819</v>
      </c>
      <c r="K194">
        <v>40.799999999999997</v>
      </c>
      <c r="L194">
        <v>2.44</v>
      </c>
      <c r="M194" s="5">
        <f t="shared" si="50"/>
        <v>16.721311475409834</v>
      </c>
      <c r="N194" s="6">
        <f t="shared" si="51"/>
        <v>16.721311475409834</v>
      </c>
      <c r="O194" s="3">
        <f t="shared" si="40"/>
        <v>393.44262295081961</v>
      </c>
      <c r="P194">
        <v>650</v>
      </c>
      <c r="R194">
        <v>16.712032954294813</v>
      </c>
      <c r="S194">
        <f t="shared" si="49"/>
        <v>650</v>
      </c>
      <c r="T194" s="3">
        <f t="shared" si="35"/>
        <v>165.20833333333337</v>
      </c>
      <c r="U194" s="2">
        <v>48.706472416422798</v>
      </c>
      <c r="V194">
        <v>57.382476882586801</v>
      </c>
      <c r="W194">
        <v>53.044474649504799</v>
      </c>
      <c r="X194">
        <v>19.8893597559642</v>
      </c>
      <c r="Y194" s="6">
        <f t="shared" si="42"/>
        <v>673.57512953367871</v>
      </c>
      <c r="Z194" s="6">
        <f t="shared" si="43"/>
        <v>365.22740356937243</v>
      </c>
      <c r="AA194" s="6">
        <f t="shared" si="44"/>
        <v>170.39469673879918</v>
      </c>
      <c r="AB194" s="3">
        <f t="shared" si="45"/>
        <v>41.210087082728585</v>
      </c>
      <c r="AC194" s="3">
        <f t="shared" si="47"/>
        <v>15.320655737704918</v>
      </c>
      <c r="AD194" s="3">
        <f t="shared" si="46"/>
        <v>0</v>
      </c>
      <c r="AE194" s="2">
        <v>100.854049552505</v>
      </c>
      <c r="AF194" s="2">
        <v>118.227908901587</v>
      </c>
      <c r="AG194" s="2"/>
      <c r="AH194" s="2">
        <v>112.322801882211</v>
      </c>
      <c r="AI194" s="2">
        <v>130.616605835332</v>
      </c>
      <c r="AJ194" s="2"/>
      <c r="AK194" s="2"/>
      <c r="AL194" s="2"/>
      <c r="AM194" s="2"/>
      <c r="AN194" s="2"/>
      <c r="AO194" s="2"/>
      <c r="AP194" s="2"/>
      <c r="AR194" s="2">
        <v>9.0055341271172304E-2</v>
      </c>
      <c r="AS194" s="2">
        <v>9.04973233836706E-2</v>
      </c>
      <c r="AT194" s="2">
        <v>3.1919191919191903E-2</v>
      </c>
      <c r="AU194" s="2">
        <v>6.2337886751712902E-2</v>
      </c>
    </row>
    <row r="195" spans="1:56" x14ac:dyDescent="0.25">
      <c r="A195">
        <v>1972</v>
      </c>
      <c r="B195">
        <v>41.85</v>
      </c>
      <c r="C195" s="3">
        <f t="shared" si="37"/>
        <v>144.70954356846471</v>
      </c>
      <c r="D195">
        <v>58.6</v>
      </c>
      <c r="E195" s="3">
        <f t="shared" si="38"/>
        <v>283.50266086115141</v>
      </c>
      <c r="F195" s="3">
        <f t="shared" si="36"/>
        <v>250.59880239520959</v>
      </c>
      <c r="G195">
        <v>267</v>
      </c>
      <c r="I195" s="3">
        <f t="shared" ref="I195:I233" si="52">G195*100/E195</f>
        <v>94.17901023890785</v>
      </c>
      <c r="K195">
        <v>58.16</v>
      </c>
      <c r="L195">
        <v>2.5</v>
      </c>
      <c r="M195" s="5">
        <f t="shared" si="50"/>
        <v>23.263999999999999</v>
      </c>
      <c r="N195" s="6">
        <f t="shared" si="51"/>
        <v>23.263999999999999</v>
      </c>
      <c r="O195" s="3">
        <f t="shared" si="40"/>
        <v>547.38823529411764</v>
      </c>
      <c r="P195">
        <v>684.6</v>
      </c>
      <c r="R195">
        <v>17.618887455690651</v>
      </c>
      <c r="S195">
        <f t="shared" si="49"/>
        <v>684.6</v>
      </c>
      <c r="T195" s="3">
        <f t="shared" ref="T195:T233" si="53">S195*100/O195</f>
        <v>125.0666265474553</v>
      </c>
      <c r="U195" s="2">
        <v>15.627040804247001</v>
      </c>
      <c r="V195">
        <v>17.6673300087432</v>
      </c>
      <c r="W195">
        <v>16.647185406495101</v>
      </c>
      <c r="X195">
        <v>10.943762590420601</v>
      </c>
      <c r="Y195" s="6">
        <f t="shared" si="42"/>
        <v>709.43005181347155</v>
      </c>
      <c r="Z195" s="6">
        <f t="shared" si="43"/>
        <v>394.12780656303977</v>
      </c>
      <c r="AA195" s="6">
        <f t="shared" si="44"/>
        <v>128.99282664937178</v>
      </c>
      <c r="AB195" s="3">
        <f t="shared" si="45"/>
        <v>58.543299467827765</v>
      </c>
      <c r="AC195" s="3">
        <f t="shared" si="47"/>
        <v>21.315297882352944</v>
      </c>
      <c r="AD195" s="3">
        <f t="shared" si="46"/>
        <v>0</v>
      </c>
      <c r="AE195" s="2">
        <v>92.267411334120894</v>
      </c>
      <c r="AF195" s="2">
        <v>108.752329740099</v>
      </c>
      <c r="AG195" s="2"/>
      <c r="AH195" s="2">
        <v>94.330606417069902</v>
      </c>
      <c r="AI195" s="2">
        <v>109.917309939322</v>
      </c>
      <c r="AJ195" s="2"/>
      <c r="AK195" s="2"/>
      <c r="AL195" s="2"/>
      <c r="AM195" s="2"/>
      <c r="AN195" s="2"/>
      <c r="AO195" s="2"/>
      <c r="AP195" s="2"/>
      <c r="AR195" s="2">
        <v>5.32307692307692E-2</v>
      </c>
      <c r="AS195" s="2">
        <v>0.103214454127868</v>
      </c>
      <c r="AT195" s="2">
        <v>4.5418950665622501E-2</v>
      </c>
      <c r="AU195" s="2">
        <v>7.1422426752433404E-2</v>
      </c>
    </row>
    <row r="196" spans="1:56" x14ac:dyDescent="0.25">
      <c r="A196">
        <v>1973</v>
      </c>
      <c r="B196">
        <v>44.45</v>
      </c>
      <c r="C196" s="3">
        <f t="shared" si="37"/>
        <v>153.69986168741355</v>
      </c>
      <c r="D196">
        <v>97.81</v>
      </c>
      <c r="E196" s="3">
        <f t="shared" si="38"/>
        <v>473.19787131107881</v>
      </c>
      <c r="F196" s="3">
        <f t="shared" ref="F196:F233" si="54">B196*100/$B$153</f>
        <v>266.16766467065867</v>
      </c>
      <c r="G196">
        <v>302</v>
      </c>
      <c r="I196" s="3">
        <f t="shared" si="52"/>
        <v>63.821081688988862</v>
      </c>
      <c r="K196">
        <v>97.32</v>
      </c>
      <c r="L196">
        <v>2.4500000000000002</v>
      </c>
      <c r="M196" s="5">
        <f t="shared" si="50"/>
        <v>39.722448979591832</v>
      </c>
      <c r="N196" s="6">
        <f t="shared" si="51"/>
        <v>39.722448979591832</v>
      </c>
      <c r="O196" s="3">
        <f t="shared" si="40"/>
        <v>934.64585834333718</v>
      </c>
      <c r="P196">
        <v>734.7</v>
      </c>
      <c r="R196">
        <v>18.914393886256139</v>
      </c>
      <c r="S196">
        <f t="shared" si="49"/>
        <v>734.7</v>
      </c>
      <c r="T196" s="3">
        <f t="shared" si="53"/>
        <v>78.607313501849575</v>
      </c>
      <c r="U196" s="2">
        <v>-13.9889338017973</v>
      </c>
      <c r="V196">
        <v>-28.317394294845101</v>
      </c>
      <c r="W196">
        <v>-21.153164048321202</v>
      </c>
      <c r="X196">
        <v>1.61576815411056</v>
      </c>
      <c r="Y196" s="6">
        <f t="shared" si="42"/>
        <v>761.34715025906735</v>
      </c>
      <c r="Z196" s="6">
        <f t="shared" si="43"/>
        <v>414.51122625215896</v>
      </c>
      <c r="AA196" s="6">
        <f t="shared" si="44"/>
        <v>81.075022520651942</v>
      </c>
      <c r="AB196" s="3">
        <f t="shared" si="45"/>
        <v>97.715360425737757</v>
      </c>
      <c r="AC196" s="3">
        <f t="shared" si="47"/>
        <v>36.395109723889547</v>
      </c>
      <c r="AD196" s="3">
        <f t="shared" si="46"/>
        <v>0</v>
      </c>
      <c r="AE196" s="2">
        <v>83.320856550513895</v>
      </c>
      <c r="AF196" s="2">
        <v>98.932483302540902</v>
      </c>
      <c r="AG196" s="2"/>
      <c r="AH196" s="2">
        <v>75.727588848134999</v>
      </c>
      <c r="AI196" s="2">
        <v>87.975092222777207</v>
      </c>
      <c r="AJ196" s="2"/>
      <c r="AK196" s="2"/>
      <c r="AL196" s="2"/>
      <c r="AM196" s="2"/>
      <c r="AN196" s="2"/>
      <c r="AO196" s="2"/>
      <c r="AP196" s="2"/>
      <c r="AR196" s="2">
        <v>7.3181419807186704E-2</v>
      </c>
      <c r="AS196" s="2">
        <v>0.11505350178282001</v>
      </c>
      <c r="AT196" s="2">
        <v>0.131086142322097</v>
      </c>
      <c r="AU196" s="2">
        <v>7.9375516340106006E-2</v>
      </c>
    </row>
    <row r="197" spans="1:56" x14ac:dyDescent="0.25">
      <c r="A197">
        <v>1974</v>
      </c>
      <c r="B197">
        <v>49.33</v>
      </c>
      <c r="C197" s="3">
        <f t="shared" si="37"/>
        <v>170.57399723374826</v>
      </c>
      <c r="D197">
        <v>159.74</v>
      </c>
      <c r="E197" s="3">
        <f t="shared" si="38"/>
        <v>772.8108369617803</v>
      </c>
      <c r="F197" s="3">
        <f t="shared" si="54"/>
        <v>295.38922155688624</v>
      </c>
      <c r="G197">
        <v>359</v>
      </c>
      <c r="I197" s="3">
        <f t="shared" si="52"/>
        <v>46.453799924877927</v>
      </c>
      <c r="K197">
        <v>159.26</v>
      </c>
      <c r="L197">
        <v>2.34</v>
      </c>
      <c r="M197" s="5">
        <f t="shared" si="50"/>
        <v>68.059829059829056</v>
      </c>
      <c r="N197" s="6">
        <f t="shared" si="51"/>
        <v>68.059829059829056</v>
      </c>
      <c r="O197" s="3">
        <f t="shared" si="40"/>
        <v>1601.4077425842131</v>
      </c>
      <c r="P197">
        <v>906.4</v>
      </c>
      <c r="R197">
        <v>23.448666393235357</v>
      </c>
      <c r="S197">
        <f t="shared" si="49"/>
        <v>906.4</v>
      </c>
      <c r="T197" s="3">
        <f t="shared" si="53"/>
        <v>56.600200929298005</v>
      </c>
      <c r="U197" s="2">
        <v>-30.5911691076724</v>
      </c>
      <c r="V197">
        <v>-49.800060907336302</v>
      </c>
      <c r="W197">
        <v>-40.195615007504301</v>
      </c>
      <c r="X197">
        <v>-7.3913990444913997</v>
      </c>
      <c r="Y197" s="6">
        <f t="shared" si="42"/>
        <v>939.27461139896377</v>
      </c>
      <c r="Z197" s="6">
        <f t="shared" si="43"/>
        <v>488.4227979274612</v>
      </c>
      <c r="AA197" s="6">
        <f t="shared" si="44"/>
        <v>58.377043567432025</v>
      </c>
      <c r="AB197" s="3">
        <f t="shared" si="45"/>
        <v>159.58543783260762</v>
      </c>
      <c r="AC197" s="3">
        <f t="shared" si="47"/>
        <v>62.358817496229257</v>
      </c>
      <c r="AD197" s="3">
        <f t="shared" si="46"/>
        <v>0</v>
      </c>
      <c r="AE197" s="2">
        <v>74.622807681626199</v>
      </c>
      <c r="AF197" s="2">
        <v>89.504714100785606</v>
      </c>
      <c r="AG197" s="2"/>
      <c r="AH197" s="2">
        <v>62.468354917734501</v>
      </c>
      <c r="AI197" s="2">
        <v>73.035468021554493</v>
      </c>
      <c r="AJ197" s="2"/>
      <c r="AK197" s="2"/>
      <c r="AL197" s="2"/>
      <c r="AM197" s="2"/>
      <c r="AN197" s="2"/>
      <c r="AO197" s="2"/>
      <c r="AP197" s="2"/>
      <c r="AR197" s="2">
        <v>0.233700830270858</v>
      </c>
      <c r="AS197" s="2">
        <v>0.124834586637957</v>
      </c>
      <c r="AT197" s="2">
        <v>0.18874172185430399</v>
      </c>
      <c r="AU197" s="2">
        <v>8.5121458913038198E-2</v>
      </c>
    </row>
    <row r="198" spans="1:56" x14ac:dyDescent="0.25">
      <c r="A198">
        <v>1975</v>
      </c>
      <c r="B198">
        <v>53.84</v>
      </c>
      <c r="C198" s="3">
        <f t="shared" si="37"/>
        <v>186.16874135546334</v>
      </c>
      <c r="D198">
        <v>161.49</v>
      </c>
      <c r="E198" s="3">
        <f t="shared" si="38"/>
        <v>781.27721335268495</v>
      </c>
      <c r="F198" s="3">
        <f t="shared" si="54"/>
        <v>322.39520958083835</v>
      </c>
      <c r="G198">
        <v>392.2</v>
      </c>
      <c r="I198" s="3">
        <f t="shared" si="52"/>
        <v>50.199851383986633</v>
      </c>
      <c r="K198">
        <v>161.02000000000001</v>
      </c>
      <c r="L198">
        <v>2.2200000000000002</v>
      </c>
      <c r="M198" s="5">
        <f t="shared" si="50"/>
        <v>72.531531531531527</v>
      </c>
      <c r="N198" s="6">
        <f t="shared" si="51"/>
        <v>72.531531531531527</v>
      </c>
      <c r="O198" s="3">
        <f t="shared" si="40"/>
        <v>1706.6242713301535</v>
      </c>
      <c r="P198">
        <v>1125.3</v>
      </c>
      <c r="R198">
        <v>28.825018080082131</v>
      </c>
      <c r="S198">
        <f t="shared" si="49"/>
        <v>1125.3</v>
      </c>
      <c r="T198" s="3">
        <f t="shared" si="53"/>
        <v>65.937184821761278</v>
      </c>
      <c r="U198" s="2">
        <v>-26.0493828193406</v>
      </c>
      <c r="V198">
        <v>-39.879015547363402</v>
      </c>
      <c r="W198">
        <v>-32.964199183352001</v>
      </c>
      <c r="X198">
        <v>-15.602203818935299</v>
      </c>
      <c r="Y198" s="6">
        <f t="shared" si="42"/>
        <v>1166.1139896373056</v>
      </c>
      <c r="Z198" s="6">
        <f t="shared" si="43"/>
        <v>575.28290155440413</v>
      </c>
      <c r="AA198" s="6">
        <f t="shared" si="44"/>
        <v>68.007142163011338</v>
      </c>
      <c r="AB198" s="3">
        <f t="shared" si="45"/>
        <v>161.33374455732942</v>
      </c>
      <c r="AC198" s="3">
        <f t="shared" si="47"/>
        <v>66.455949125596177</v>
      </c>
      <c r="AD198" s="3">
        <f t="shared" si="46"/>
        <v>0</v>
      </c>
      <c r="AE198" s="2">
        <v>66.586678641894494</v>
      </c>
      <c r="AF198" s="2">
        <v>80.923341813681304</v>
      </c>
      <c r="AG198" s="2"/>
      <c r="AH198" s="2">
        <v>56.538314085484899</v>
      </c>
      <c r="AI198" s="2">
        <v>67.595588597251407</v>
      </c>
      <c r="AJ198" s="2"/>
      <c r="AK198" s="2"/>
      <c r="AL198" s="2"/>
      <c r="AM198" s="2"/>
      <c r="AN198" s="2"/>
      <c r="AO198" s="2"/>
      <c r="AP198" s="2"/>
      <c r="AR198" s="2">
        <v>0.24150485436893199</v>
      </c>
      <c r="AS198" s="2">
        <v>0.130959108162954</v>
      </c>
      <c r="AT198" s="2">
        <v>9.2479108635097396E-2</v>
      </c>
      <c r="AU198" s="2">
        <v>8.8101664129357896E-2</v>
      </c>
    </row>
    <row r="199" spans="1:56" x14ac:dyDescent="0.25">
      <c r="A199">
        <v>1976</v>
      </c>
      <c r="B199">
        <v>56.94</v>
      </c>
      <c r="C199" s="3">
        <f t="shared" si="37"/>
        <v>196.88796680497924</v>
      </c>
      <c r="D199">
        <v>125.32</v>
      </c>
      <c r="E199" s="3">
        <f t="shared" si="38"/>
        <v>606.28930817610058</v>
      </c>
      <c r="F199" s="3">
        <f t="shared" si="54"/>
        <v>340.95808383233532</v>
      </c>
      <c r="G199">
        <v>410.2</v>
      </c>
      <c r="H199">
        <v>61.1</v>
      </c>
      <c r="I199" s="3">
        <f t="shared" si="52"/>
        <v>67.657468879668059</v>
      </c>
      <c r="K199">
        <v>124.84</v>
      </c>
      <c r="L199">
        <v>1.8</v>
      </c>
      <c r="M199" s="5">
        <f t="shared" si="50"/>
        <v>69.355555555555554</v>
      </c>
      <c r="N199" s="6">
        <f t="shared" si="51"/>
        <v>69.355555555555554</v>
      </c>
      <c r="O199" s="3">
        <f t="shared" si="40"/>
        <v>1631.8954248366013</v>
      </c>
      <c r="P199">
        <v>1248.4000000000001</v>
      </c>
      <c r="R199">
        <v>33.424065908589625</v>
      </c>
      <c r="S199">
        <f t="shared" si="49"/>
        <v>1248.4000000000001</v>
      </c>
      <c r="T199" s="3">
        <f t="shared" si="53"/>
        <v>76.500000000000014</v>
      </c>
      <c r="U199" s="2">
        <v>-7.7732926427644902</v>
      </c>
      <c r="V199">
        <v>-28.682584773037899</v>
      </c>
      <c r="W199">
        <v>-18.227938707901199</v>
      </c>
      <c r="X199">
        <v>-22.869153142401299</v>
      </c>
      <c r="Y199" s="6">
        <f t="shared" si="42"/>
        <v>1293.6787564766842</v>
      </c>
      <c r="Z199" s="6">
        <f t="shared" si="43"/>
        <v>517.47150259067371</v>
      </c>
      <c r="AA199" s="6">
        <f t="shared" si="44"/>
        <v>78.901554404145102</v>
      </c>
      <c r="AB199" s="7">
        <v>124.71</v>
      </c>
      <c r="AC199" s="2">
        <v>73.255402259999997</v>
      </c>
      <c r="AD199" s="3">
        <f t="shared" si="46"/>
        <v>0</v>
      </c>
      <c r="AE199" s="2">
        <v>59.344255268939499</v>
      </c>
      <c r="AF199" s="2">
        <v>73.293638979068206</v>
      </c>
      <c r="AG199" s="2"/>
      <c r="AH199" s="2">
        <v>54.586757505090901</v>
      </c>
      <c r="AI199" s="2">
        <v>68.007449204280803</v>
      </c>
      <c r="AJ199" s="2"/>
      <c r="AK199" s="2"/>
      <c r="AL199" s="2"/>
      <c r="AM199" s="2"/>
      <c r="AN199" s="2"/>
      <c r="AO199" s="2"/>
      <c r="AP199" s="2"/>
      <c r="AR199" s="2">
        <v>0.109393050742024</v>
      </c>
      <c r="AS199" s="2">
        <v>0.13291712826381499</v>
      </c>
      <c r="AT199" s="2">
        <v>4.5894951555328897E-2</v>
      </c>
      <c r="AU199" s="2">
        <v>8.8793744276605302E-2</v>
      </c>
    </row>
    <row r="200" spans="1:56" x14ac:dyDescent="0.25">
      <c r="A200">
        <v>1977</v>
      </c>
      <c r="B200">
        <v>60.61</v>
      </c>
      <c r="C200" s="3">
        <f t="shared" si="37"/>
        <v>209.57814661134162</v>
      </c>
      <c r="D200">
        <v>148.31</v>
      </c>
      <c r="E200" s="3">
        <f t="shared" si="38"/>
        <v>717.51330430575706</v>
      </c>
      <c r="F200" s="3">
        <f t="shared" si="54"/>
        <v>362.93413173652698</v>
      </c>
      <c r="G200">
        <v>435.71162029459907</v>
      </c>
      <c r="H200">
        <v>64.900000000000006</v>
      </c>
      <c r="I200" s="3">
        <f t="shared" si="52"/>
        <v>60.725232226345916</v>
      </c>
      <c r="K200">
        <v>147.71</v>
      </c>
      <c r="L200">
        <v>1.75</v>
      </c>
      <c r="M200" s="5">
        <f t="shared" si="50"/>
        <v>84.405714285714296</v>
      </c>
      <c r="N200" s="6">
        <f t="shared" si="51"/>
        <v>84.405714285714296</v>
      </c>
      <c r="O200" s="3">
        <f t="shared" si="40"/>
        <v>1986.0168067226894</v>
      </c>
      <c r="R200">
        <v>39.512946132247421</v>
      </c>
      <c r="S200">
        <f>S199*(R200/R199)</f>
        <v>1475.8217054263566</v>
      </c>
      <c r="T200" s="3">
        <f t="shared" si="53"/>
        <v>74.310635259011079</v>
      </c>
      <c r="U200" s="2">
        <v>-13.862616283906201</v>
      </c>
      <c r="V200">
        <v>-30.1790759819478</v>
      </c>
      <c r="W200">
        <v>-22.020846132927002</v>
      </c>
      <c r="X200">
        <v>-29.218373941713502</v>
      </c>
      <c r="Y200" s="6">
        <f t="shared" si="42"/>
        <v>1529.348917540266</v>
      </c>
      <c r="Z200" s="6">
        <f t="shared" si="43"/>
        <v>594.74680126565897</v>
      </c>
      <c r="AA200" s="6">
        <f t="shared" si="44"/>
        <v>76.643459224777061</v>
      </c>
      <c r="AB200" s="7">
        <v>147.78</v>
      </c>
      <c r="AC200" s="2">
        <v>77.534107019999993</v>
      </c>
      <c r="AD200" s="3">
        <f t="shared" si="46"/>
        <v>0</v>
      </c>
      <c r="AE200" s="2">
        <v>52.863356613962601</v>
      </c>
      <c r="AF200" s="2">
        <v>66.515444716649895</v>
      </c>
      <c r="AG200" s="2"/>
      <c r="AH200" s="2">
        <v>51.1468716350957</v>
      </c>
      <c r="AI200" s="2">
        <v>68.217848897971706</v>
      </c>
      <c r="AJ200" s="2"/>
      <c r="AK200" s="2"/>
      <c r="AL200" s="2"/>
      <c r="AM200" s="2"/>
      <c r="AN200" s="2"/>
      <c r="AO200" s="2"/>
      <c r="AP200" s="2"/>
      <c r="AR200" s="2">
        <v>0.182169176545978</v>
      </c>
      <c r="AS200" s="2">
        <v>0.131304166308602</v>
      </c>
      <c r="AT200" s="2">
        <v>6.21891760117015E-2</v>
      </c>
      <c r="AU200" s="2">
        <v>8.7719086087378106E-2</v>
      </c>
    </row>
    <row r="201" spans="1:56" x14ac:dyDescent="0.25">
      <c r="A201">
        <v>1978</v>
      </c>
      <c r="B201">
        <v>65.22</v>
      </c>
      <c r="C201" s="3">
        <f t="shared" si="37"/>
        <v>225.51867219917011</v>
      </c>
      <c r="D201">
        <v>193.55</v>
      </c>
      <c r="E201" s="3">
        <f t="shared" si="38"/>
        <v>936.3812288340589</v>
      </c>
      <c r="F201" s="3">
        <f t="shared" si="54"/>
        <v>390.53892215568862</v>
      </c>
      <c r="G201">
        <v>469.27954173486097</v>
      </c>
      <c r="H201">
        <v>69.900000000000006</v>
      </c>
      <c r="I201" s="3">
        <f t="shared" si="52"/>
        <v>50.116291023815954</v>
      </c>
      <c r="K201">
        <v>193.22</v>
      </c>
      <c r="L201">
        <v>1.92</v>
      </c>
      <c r="M201" s="5">
        <f t="shared" si="50"/>
        <v>100.63541666666667</v>
      </c>
      <c r="N201" s="6">
        <f t="shared" si="51"/>
        <v>100.63541666666667</v>
      </c>
      <c r="O201" s="3">
        <f t="shared" si="40"/>
        <v>2367.8921568627452</v>
      </c>
      <c r="R201">
        <v>43.399465423943887</v>
      </c>
      <c r="S201">
        <f t="shared" ref="S201:T233" si="55">S200*(R201/R200)</f>
        <v>1620.9844961240308</v>
      </c>
      <c r="T201" s="3">
        <f t="shared" si="53"/>
        <v>68.456854820267523</v>
      </c>
      <c r="U201" s="2">
        <v>-23.607071448728298</v>
      </c>
      <c r="V201">
        <v>-35.276777411157397</v>
      </c>
      <c r="W201">
        <v>-29.441924429942802</v>
      </c>
      <c r="X201">
        <v>-34.629580999351397</v>
      </c>
      <c r="Y201" s="6">
        <f t="shared" si="42"/>
        <v>1679.7766799212754</v>
      </c>
      <c r="Z201" s="6">
        <f t="shared" si="43"/>
        <v>716.7047167664108</v>
      </c>
      <c r="AA201" s="6">
        <f t="shared" si="44"/>
        <v>70.605911829254907</v>
      </c>
      <c r="AB201" s="7">
        <v>193.39</v>
      </c>
      <c r="AC201" s="2">
        <v>95.055246189999991</v>
      </c>
      <c r="AD201" s="3">
        <f t="shared" si="46"/>
        <v>0</v>
      </c>
      <c r="AE201" s="2">
        <v>47.188259175476297</v>
      </c>
      <c r="AF201" s="2">
        <v>60.491061756339001</v>
      </c>
      <c r="AG201" s="2"/>
      <c r="AH201" s="2">
        <v>44.886257099012099</v>
      </c>
      <c r="AI201" s="2">
        <v>64.017770332226306</v>
      </c>
      <c r="AJ201" s="2"/>
      <c r="AK201" s="2"/>
      <c r="AL201" s="2"/>
      <c r="AM201" s="2"/>
      <c r="AN201" s="2"/>
      <c r="AO201" s="2"/>
      <c r="AP201" s="2"/>
      <c r="AR201" s="2">
        <v>9.8358878454012005E-2</v>
      </c>
      <c r="AS201" s="2">
        <v>0.126480500890161</v>
      </c>
      <c r="AT201" s="2">
        <v>7.7046659475338994E-2</v>
      </c>
      <c r="AU201" s="2">
        <v>8.4970088367061505E-2</v>
      </c>
    </row>
    <row r="202" spans="1:56" x14ac:dyDescent="0.25">
      <c r="A202">
        <v>1979</v>
      </c>
      <c r="B202">
        <v>72.569999999999993</v>
      </c>
      <c r="C202" s="3">
        <f t="shared" ref="C202:C233" si="56">B202*100/$B$181</f>
        <v>250.93360995850617</v>
      </c>
      <c r="D202">
        <v>307.5</v>
      </c>
      <c r="E202" s="3">
        <f t="shared" ref="E202:E233" si="57">D202*100/$D$153</f>
        <v>1487.6632801161102</v>
      </c>
      <c r="F202" s="3">
        <f t="shared" si="54"/>
        <v>434.55089820359279</v>
      </c>
      <c r="G202">
        <v>528.3590834697219</v>
      </c>
      <c r="H202">
        <v>78.7</v>
      </c>
      <c r="I202" s="3">
        <f t="shared" si="52"/>
        <v>35.51603985469643</v>
      </c>
      <c r="K202">
        <v>306.68</v>
      </c>
      <c r="L202">
        <v>2.12</v>
      </c>
      <c r="M202" s="5">
        <f t="shared" si="50"/>
        <v>144.66037735849056</v>
      </c>
      <c r="N202" s="6">
        <f t="shared" si="51"/>
        <v>144.66037735849056</v>
      </c>
      <c r="O202" s="3">
        <f t="shared" ref="O202:O233" si="58">N202*100/$N$153</f>
        <v>3403.7735849056603</v>
      </c>
      <c r="R202">
        <v>48.128063895507921</v>
      </c>
      <c r="S202">
        <f>S201*(R202/R201)</f>
        <v>1797.5992248062014</v>
      </c>
      <c r="T202" s="3">
        <f t="shared" si="53"/>
        <v>52.811950617920559</v>
      </c>
      <c r="U202" s="2">
        <v>-37.3163758431932</v>
      </c>
      <c r="V202">
        <v>-50.113958137210098</v>
      </c>
      <c r="W202">
        <v>-43.715166990201702</v>
      </c>
      <c r="X202">
        <v>-39.010513819706397</v>
      </c>
      <c r="Y202" s="6">
        <f t="shared" si="42"/>
        <v>1862.7971241515042</v>
      </c>
      <c r="Z202" s="6">
        <f t="shared" si="43"/>
        <v>877.58442293359758</v>
      </c>
      <c r="AA202" s="6">
        <f t="shared" si="44"/>
        <v>54.469869213972324</v>
      </c>
      <c r="AB202" s="7">
        <v>304.83</v>
      </c>
      <c r="AC202" s="2">
        <v>137.06376119999999</v>
      </c>
      <c r="AD202" s="3">
        <f t="shared" si="46"/>
        <v>0</v>
      </c>
      <c r="AE202" s="2">
        <v>42.434605885853003</v>
      </c>
      <c r="AF202" s="2">
        <v>55.279038380881801</v>
      </c>
      <c r="AG202" s="2"/>
      <c r="AH202" s="2">
        <v>37.423557308654303</v>
      </c>
      <c r="AI202" s="2">
        <v>55.838913194956099</v>
      </c>
      <c r="AJ202" s="2"/>
      <c r="AK202" s="2"/>
      <c r="AL202" s="2"/>
      <c r="AM202" s="2"/>
      <c r="AN202" s="2"/>
      <c r="AO202" s="2"/>
      <c r="AP202" s="2"/>
      <c r="AR202" s="2">
        <v>0.108958778023171</v>
      </c>
      <c r="AS202" s="2">
        <v>0.11931506070371201</v>
      </c>
      <c r="AT202" s="2">
        <v>0.125894988066825</v>
      </c>
      <c r="AU202" s="2">
        <v>8.0383850820283695E-2</v>
      </c>
    </row>
    <row r="203" spans="1:56" x14ac:dyDescent="0.25">
      <c r="A203">
        <v>1980</v>
      </c>
      <c r="B203">
        <v>82.38</v>
      </c>
      <c r="C203" s="3">
        <f t="shared" si="56"/>
        <v>284.85477178423236</v>
      </c>
      <c r="D203">
        <v>612.55999999999995</v>
      </c>
      <c r="E203" s="3">
        <f t="shared" si="57"/>
        <v>2963.5220125786159</v>
      </c>
      <c r="F203" s="3">
        <f t="shared" si="54"/>
        <v>493.29341317365271</v>
      </c>
      <c r="G203">
        <v>602.87986906710319</v>
      </c>
      <c r="H203">
        <v>89.8</v>
      </c>
      <c r="I203" s="3">
        <f t="shared" si="52"/>
        <v>20.343357211729504</v>
      </c>
      <c r="K203">
        <v>612.55999999999995</v>
      </c>
      <c r="L203">
        <v>2.33</v>
      </c>
      <c r="M203" s="5">
        <f t="shared" si="50"/>
        <v>262.90128755364805</v>
      </c>
      <c r="N203" s="6">
        <f t="shared" si="51"/>
        <v>262.90128755364805</v>
      </c>
      <c r="O203" s="3">
        <f t="shared" si="58"/>
        <v>6185.9126483211303</v>
      </c>
      <c r="R203">
        <v>54.864697334448479</v>
      </c>
      <c r="S203">
        <f t="shared" si="55"/>
        <v>2049.214728682171</v>
      </c>
      <c r="T203" s="3">
        <f t="shared" si="53"/>
        <v>33.127120364984982</v>
      </c>
      <c r="U203" s="2">
        <v>-51.580247173262897</v>
      </c>
      <c r="V203">
        <v>-68.9188680761238</v>
      </c>
      <c r="W203">
        <v>-60.249557624693303</v>
      </c>
      <c r="X203">
        <v>-42.217035341475601</v>
      </c>
      <c r="Y203" s="6">
        <f t="shared" si="42"/>
        <v>2123.5385789452548</v>
      </c>
      <c r="Z203" s="6">
        <f t="shared" si="43"/>
        <v>1099.5210864316541</v>
      </c>
      <c r="AA203" s="6">
        <f t="shared" si="44"/>
        <v>34.167075682751964</v>
      </c>
      <c r="AB203" s="7">
        <v>614.61</v>
      </c>
      <c r="AC203" s="2">
        <v>257.69798307000002</v>
      </c>
      <c r="AD203" s="3">
        <f t="shared" si="46"/>
        <v>0</v>
      </c>
      <c r="AE203" s="2">
        <v>38.740257085710802</v>
      </c>
      <c r="AF203" s="2">
        <v>51.068912255461001</v>
      </c>
      <c r="AG203" s="2"/>
      <c r="AH203" s="2">
        <v>31.885329976165998</v>
      </c>
      <c r="AI203" s="2">
        <v>47.3037203966635</v>
      </c>
      <c r="AJ203" s="2"/>
      <c r="AK203" s="2"/>
      <c r="AL203" s="2"/>
      <c r="AM203" s="2"/>
      <c r="AN203" s="2"/>
      <c r="AO203" s="2"/>
      <c r="AP203" s="2"/>
      <c r="AR203" s="2">
        <v>0.139969959946595</v>
      </c>
      <c r="AS203" s="2">
        <v>0.110395558220111</v>
      </c>
      <c r="AT203" s="2">
        <v>0.14104019986372901</v>
      </c>
      <c r="AU203" s="2">
        <v>7.3718238862755706E-2</v>
      </c>
    </row>
    <row r="204" spans="1:56" x14ac:dyDescent="0.25">
      <c r="A204">
        <v>1981</v>
      </c>
      <c r="B204">
        <v>90.93</v>
      </c>
      <c r="C204" s="3">
        <f t="shared" si="56"/>
        <v>314.41908713692942</v>
      </c>
      <c r="D204">
        <v>459.64</v>
      </c>
      <c r="E204" s="3">
        <f t="shared" si="57"/>
        <v>2223.705853894533</v>
      </c>
      <c r="F204" s="3">
        <f t="shared" si="54"/>
        <v>544.49101796407183</v>
      </c>
      <c r="G204">
        <v>657.93126022913259</v>
      </c>
      <c r="H204">
        <v>98</v>
      </c>
      <c r="I204" s="3">
        <f t="shared" si="52"/>
        <v>29.587153313323846</v>
      </c>
      <c r="K204">
        <v>460.03</v>
      </c>
      <c r="L204">
        <v>2.02</v>
      </c>
      <c r="M204" s="5">
        <f t="shared" si="50"/>
        <v>227.73762376237622</v>
      </c>
      <c r="N204" s="6">
        <f t="shared" si="51"/>
        <v>227.73762376237622</v>
      </c>
      <c r="O204" s="3">
        <f t="shared" si="58"/>
        <v>5358.5323238206165</v>
      </c>
      <c r="R204">
        <v>60.111498378238707</v>
      </c>
      <c r="S204">
        <f t="shared" si="55"/>
        <v>2245.1844961240313</v>
      </c>
      <c r="T204" s="3">
        <f t="shared" si="53"/>
        <v>41.899243308533812</v>
      </c>
      <c r="U204" s="2">
        <v>-41.388403144900202</v>
      </c>
      <c r="V204">
        <v>-59.209737983394703</v>
      </c>
      <c r="W204">
        <v>-50.299070564147499</v>
      </c>
      <c r="X204">
        <v>-44.152055035061501</v>
      </c>
      <c r="Y204" s="6">
        <f t="shared" si="42"/>
        <v>2326.6160581596178</v>
      </c>
      <c r="Z204" s="6">
        <f t="shared" si="43"/>
        <v>1044.3920972183173</v>
      </c>
      <c r="AA204" s="6">
        <f t="shared" si="44"/>
        <v>43.214580724193368</v>
      </c>
      <c r="AB204" s="7">
        <v>459.26</v>
      </c>
      <c r="AC204" s="2">
        <v>240.70229934000002</v>
      </c>
      <c r="AD204" s="3">
        <f t="shared" si="46"/>
        <v>0</v>
      </c>
      <c r="AE204" s="2">
        <v>36.171627056809001</v>
      </c>
      <c r="AF204" s="2">
        <v>48.063430661450901</v>
      </c>
      <c r="AG204" s="2"/>
      <c r="AH204" s="2">
        <v>30.686947044139298</v>
      </c>
      <c r="AI204" s="2">
        <v>42.288330449532801</v>
      </c>
      <c r="AJ204" s="2">
        <v>45</v>
      </c>
      <c r="AK204" s="2">
        <v>30</v>
      </c>
      <c r="AL204" s="2"/>
      <c r="AM204" s="2"/>
      <c r="AN204" s="2"/>
      <c r="AO204" s="2"/>
      <c r="AP204" s="2"/>
      <c r="AR204" s="2">
        <v>9.5631975248997997E-2</v>
      </c>
      <c r="AS204" s="2">
        <v>0.100206143083412</v>
      </c>
      <c r="AT204" s="2">
        <v>9.1311703821655904E-2</v>
      </c>
      <c r="AU204" s="2">
        <v>6.5186229282653801E-2</v>
      </c>
    </row>
    <row r="205" spans="1:56" x14ac:dyDescent="0.25">
      <c r="A205">
        <v>1982</v>
      </c>
      <c r="B205">
        <v>96.5</v>
      </c>
      <c r="C205" s="3">
        <f t="shared" si="56"/>
        <v>333.67911479944672</v>
      </c>
      <c r="D205">
        <v>375.91</v>
      </c>
      <c r="E205" s="3">
        <f t="shared" si="57"/>
        <v>1818.6260280599902</v>
      </c>
      <c r="F205" s="3">
        <f t="shared" si="54"/>
        <v>577.8443113772455</v>
      </c>
      <c r="G205">
        <v>671.35842880523739</v>
      </c>
      <c r="H205">
        <v>100</v>
      </c>
      <c r="I205" s="3">
        <f t="shared" si="52"/>
        <v>36.915694510399447</v>
      </c>
      <c r="K205">
        <v>375.67</v>
      </c>
      <c r="L205">
        <v>1.75</v>
      </c>
      <c r="M205" s="5">
        <f t="shared" si="50"/>
        <v>214.66857142857143</v>
      </c>
      <c r="N205" s="6">
        <f t="shared" si="51"/>
        <v>214.66857142857143</v>
      </c>
      <c r="O205" s="3">
        <f t="shared" si="58"/>
        <v>5051.0252100840335</v>
      </c>
      <c r="R205">
        <v>64.775321528274461</v>
      </c>
      <c r="S205">
        <f t="shared" si="55"/>
        <v>2419.3798449612405</v>
      </c>
      <c r="T205" s="3">
        <f t="shared" si="53"/>
        <v>47.898787757604346</v>
      </c>
      <c r="U205" s="2">
        <v>-33.090561464067399</v>
      </c>
      <c r="V205">
        <v>-52.204779453995798</v>
      </c>
      <c r="W205">
        <v>-42.647670459031602</v>
      </c>
      <c r="X205">
        <v>-44.8988075936984</v>
      </c>
      <c r="Y205" s="6">
        <f t="shared" si="42"/>
        <v>2507.1293730168295</v>
      </c>
      <c r="Z205" s="6">
        <f t="shared" si="43"/>
        <v>974.9947561732115</v>
      </c>
      <c r="AA205" s="6">
        <f t="shared" si="44"/>
        <v>49.402468080381944</v>
      </c>
      <c r="AB205" s="7">
        <v>375.28</v>
      </c>
      <c r="AC205" s="2">
        <v>232.44355335999998</v>
      </c>
      <c r="AD205" s="3">
        <f t="shared" si="46"/>
        <v>0</v>
      </c>
      <c r="AE205" s="2">
        <v>34.607427510049803</v>
      </c>
      <c r="AF205" s="2">
        <v>46.2978517576706</v>
      </c>
      <c r="AG205" s="2"/>
      <c r="AH205" s="2">
        <v>32.272003796444103</v>
      </c>
      <c r="AI205" s="2">
        <v>40.340975066859798</v>
      </c>
      <c r="AJ205" s="2"/>
      <c r="AK205" s="2"/>
      <c r="AL205" s="2"/>
      <c r="AM205" s="2"/>
      <c r="AN205" s="2"/>
      <c r="AO205" s="2"/>
      <c r="AP205" s="2"/>
      <c r="AR205" s="2">
        <v>7.7588433889487995E-2</v>
      </c>
      <c r="AS205" s="2">
        <v>8.9526708954931103E-2</v>
      </c>
      <c r="AT205" s="2">
        <v>2.04125058896844E-2</v>
      </c>
      <c r="AU205" s="2">
        <v>5.5674018478164E-2</v>
      </c>
    </row>
    <row r="206" spans="1:56" x14ac:dyDescent="0.25">
      <c r="A206">
        <v>1983</v>
      </c>
      <c r="B206">
        <v>99.6</v>
      </c>
      <c r="C206" s="3">
        <f t="shared" si="56"/>
        <v>344.39834024896265</v>
      </c>
      <c r="D206">
        <v>424</v>
      </c>
      <c r="E206" s="3">
        <f t="shared" si="57"/>
        <v>2051.2820512820513</v>
      </c>
      <c r="F206" s="3">
        <f t="shared" si="54"/>
        <v>596.40718562874258</v>
      </c>
      <c r="G206">
        <v>680.08608837970542</v>
      </c>
      <c r="H206">
        <v>101.3</v>
      </c>
      <c r="I206" s="3">
        <f t="shared" si="52"/>
        <v>33.15419680851064</v>
      </c>
      <c r="K206">
        <v>424.35</v>
      </c>
      <c r="L206">
        <v>1.52</v>
      </c>
      <c r="M206" s="5">
        <f t="shared" si="50"/>
        <v>279.1776315789474</v>
      </c>
      <c r="N206" s="6">
        <f t="shared" si="51"/>
        <v>279.1776315789474</v>
      </c>
      <c r="O206" s="3">
        <f t="shared" si="58"/>
        <v>6568.8854489164096</v>
      </c>
      <c r="R206">
        <v>68.273188890801279</v>
      </c>
      <c r="S206">
        <f t="shared" si="55"/>
        <v>2550.0263565891473</v>
      </c>
      <c r="T206" s="3">
        <f t="shared" si="53"/>
        <v>38.819772036210416</v>
      </c>
      <c r="U206" s="2">
        <v>-35.866439836726698</v>
      </c>
      <c r="V206">
        <v>-60.212184922377197</v>
      </c>
      <c r="W206">
        <v>-48.039312379551902</v>
      </c>
      <c r="X206">
        <v>-44.601997865911699</v>
      </c>
      <c r="Y206" s="6">
        <f t="shared" si="42"/>
        <v>2642.5143591597384</v>
      </c>
      <c r="Z206" s="6">
        <f t="shared" si="43"/>
        <v>892.582627982845</v>
      </c>
      <c r="AA206" s="6">
        <f t="shared" si="44"/>
        <v>40.038436016621787</v>
      </c>
      <c r="AB206" s="7">
        <v>423.61</v>
      </c>
      <c r="AC206" s="2">
        <v>292.02402570000004</v>
      </c>
      <c r="AD206" s="3">
        <f t="shared" si="46"/>
        <v>0</v>
      </c>
      <c r="AE206" s="2">
        <v>33.856353885767298</v>
      </c>
      <c r="AF206" s="2">
        <v>45.729299396325203</v>
      </c>
      <c r="AG206" s="2"/>
      <c r="AH206" s="2">
        <v>34.578446502237597</v>
      </c>
      <c r="AI206" s="2">
        <v>40.330442478763203</v>
      </c>
      <c r="AJ206" s="2"/>
      <c r="AK206" s="2"/>
      <c r="AL206" s="2">
        <v>58.455073345137201</v>
      </c>
      <c r="AM206" s="2">
        <v>67.227217851334203</v>
      </c>
      <c r="AN206" s="2">
        <v>57.875283902554202</v>
      </c>
      <c r="AO206" s="2">
        <v>58.054655878055399</v>
      </c>
      <c r="AP206" s="3">
        <f>(AVERAGE(AL206:AO206))*AVERAGE($AN$250:$AO$250)/AVERAGE($AL$206:$AO$206)</f>
        <v>39.792826641046247</v>
      </c>
      <c r="AQ206" s="3">
        <f>0.75*AP213</f>
        <v>37.560753773439671</v>
      </c>
      <c r="AR206" s="2">
        <v>5.4001438385040797E-2</v>
      </c>
      <c r="AS206" s="2">
        <v>7.9091407817640902E-2</v>
      </c>
      <c r="AT206" s="2">
        <v>1.3003455672068599E-2</v>
      </c>
      <c r="AU206" s="2">
        <v>4.6329057592862703E-2</v>
      </c>
      <c r="AX206" s="2"/>
      <c r="AY206" s="2"/>
      <c r="AZ206" s="2"/>
      <c r="BA206" s="2"/>
      <c r="BB206" s="2"/>
      <c r="BC206" s="2"/>
      <c r="BD206" s="2"/>
    </row>
    <row r="207" spans="1:56" x14ac:dyDescent="0.25">
      <c r="A207">
        <v>1984</v>
      </c>
      <c r="B207">
        <v>103.9</v>
      </c>
      <c r="C207" s="3">
        <f t="shared" si="56"/>
        <v>359.26694329183954</v>
      </c>
      <c r="D207">
        <v>360.66</v>
      </c>
      <c r="E207" s="3">
        <f t="shared" si="57"/>
        <v>1744.8476052249637</v>
      </c>
      <c r="F207" s="3">
        <f t="shared" si="54"/>
        <v>622.1556886227545</v>
      </c>
      <c r="G207">
        <v>696.19869067103116</v>
      </c>
      <c r="H207">
        <v>103.7</v>
      </c>
      <c r="I207" s="3">
        <f t="shared" si="52"/>
        <v>39.90025768360843</v>
      </c>
      <c r="K207">
        <v>360.48</v>
      </c>
      <c r="L207">
        <v>1.34</v>
      </c>
      <c r="M207" s="5">
        <f t="shared" si="50"/>
        <v>269.0149253731343</v>
      </c>
      <c r="N207" s="6">
        <f t="shared" si="51"/>
        <v>269.0149253731343</v>
      </c>
      <c r="O207" s="3">
        <f t="shared" si="58"/>
        <v>6329.7629499561017</v>
      </c>
      <c r="R207">
        <v>71.606617207339184</v>
      </c>
      <c r="S207">
        <f t="shared" si="55"/>
        <v>2674.5310150513146</v>
      </c>
      <c r="T207" s="3">
        <f t="shared" si="53"/>
        <v>42.25325713137272</v>
      </c>
      <c r="U207" s="2">
        <v>-28.0957559688405</v>
      </c>
      <c r="V207">
        <v>-55.640127662465098</v>
      </c>
      <c r="W207">
        <v>-41.867941815652799</v>
      </c>
      <c r="X207">
        <v>-43.383819328880001</v>
      </c>
      <c r="Y207" s="6">
        <f t="shared" si="42"/>
        <v>2771.5347306231238</v>
      </c>
      <c r="Z207" s="6">
        <f t="shared" si="43"/>
        <v>825.30145311888577</v>
      </c>
      <c r="AA207" s="6">
        <f t="shared" si="44"/>
        <v>43.579708056252755</v>
      </c>
      <c r="AB207" s="7">
        <v>360.5</v>
      </c>
      <c r="AC207" s="2">
        <v>311.71641899999997</v>
      </c>
      <c r="AD207" s="3">
        <f t="shared" si="46"/>
        <v>0</v>
      </c>
      <c r="AE207" s="2">
        <v>33.7451273491953</v>
      </c>
      <c r="AF207" s="2">
        <v>46.301118912042803</v>
      </c>
      <c r="AG207" s="2"/>
      <c r="AH207" s="2">
        <v>36.923553498528598</v>
      </c>
      <c r="AI207" s="2">
        <v>42.651862559741502</v>
      </c>
      <c r="AJ207" s="2"/>
      <c r="AK207" s="2"/>
      <c r="AL207" s="2">
        <v>59.110655517275497</v>
      </c>
      <c r="AM207" s="2">
        <v>67.580950196856307</v>
      </c>
      <c r="AN207" s="2">
        <v>59.440096557530502</v>
      </c>
      <c r="AO207" s="2">
        <v>59.650045496190998</v>
      </c>
      <c r="AP207" s="3">
        <f>(AVERAGE(AL207:AO207))*AVERAGE($AN$250:$AO$250)/AVERAGE($AL$206:$AO$206)</f>
        <v>40.479533841924138</v>
      </c>
      <c r="AQ207" s="3">
        <f t="shared" ref="AQ207:AQ243" si="59">0.75*AP214</f>
        <v>39.165764868189186</v>
      </c>
      <c r="AR207" s="2">
        <v>4.8822955024058499E-2</v>
      </c>
      <c r="AS207" s="2">
        <v>6.9515008903860406E-2</v>
      </c>
      <c r="AT207" s="2">
        <v>2.36880412886529E-2</v>
      </c>
      <c r="AU207" s="2">
        <v>3.79461826444411E-2</v>
      </c>
      <c r="AX207" s="2"/>
      <c r="AY207" s="2"/>
      <c r="AZ207" s="2"/>
      <c r="BA207" s="2"/>
      <c r="BB207" s="2"/>
      <c r="BC207" s="2"/>
      <c r="BD207" s="2"/>
    </row>
    <row r="208" spans="1:56" x14ac:dyDescent="0.25">
      <c r="A208">
        <v>1985</v>
      </c>
      <c r="B208">
        <v>107.6</v>
      </c>
      <c r="C208" s="3">
        <f t="shared" si="56"/>
        <v>372.06085753803592</v>
      </c>
      <c r="D208">
        <v>317.66000000000003</v>
      </c>
      <c r="E208" s="3">
        <f t="shared" si="57"/>
        <v>1536.81664247702</v>
      </c>
      <c r="F208" s="3">
        <f t="shared" si="54"/>
        <v>644.31137724550899</v>
      </c>
      <c r="G208">
        <v>692.84189852700501</v>
      </c>
      <c r="H208">
        <v>103.2</v>
      </c>
      <c r="I208" s="3">
        <f t="shared" si="52"/>
        <v>45.082925274045181</v>
      </c>
      <c r="K208">
        <v>317.27999999999997</v>
      </c>
      <c r="L208">
        <v>1.3</v>
      </c>
      <c r="M208" s="5">
        <f t="shared" si="50"/>
        <v>244.06153846153842</v>
      </c>
      <c r="N208" s="6">
        <f t="shared" si="51"/>
        <v>244.06153846153842</v>
      </c>
      <c r="O208" s="3">
        <f t="shared" si="58"/>
        <v>5742.6244343891385</v>
      </c>
      <c r="R208">
        <v>76.046227474194211</v>
      </c>
      <c r="S208">
        <f t="shared" si="55"/>
        <v>2840.3519379844961</v>
      </c>
      <c r="T208" s="3">
        <f t="shared" si="53"/>
        <v>49.460868814184145</v>
      </c>
      <c r="U208" s="2">
        <v>-21.8682275663712</v>
      </c>
      <c r="V208">
        <v>-47.216761787664403</v>
      </c>
      <c r="W208">
        <v>-34.5424946770178</v>
      </c>
      <c r="X208">
        <v>-41.400838604918498</v>
      </c>
      <c r="Y208" s="6">
        <f t="shared" si="42"/>
        <v>2943.3698839217573</v>
      </c>
      <c r="Z208" s="6">
        <f t="shared" si="43"/>
        <v>850.30685535517443</v>
      </c>
      <c r="AA208" s="6">
        <f t="shared" si="44"/>
        <v>51.013587341420042</v>
      </c>
      <c r="AB208" s="7">
        <v>317.18</v>
      </c>
      <c r="AC208" s="2">
        <v>219.57768758</v>
      </c>
      <c r="AD208" s="3">
        <f t="shared" si="46"/>
        <v>0</v>
      </c>
      <c r="AE208" s="2">
        <v>34.0886055267096</v>
      </c>
      <c r="AF208" s="2">
        <v>47.8761626454883</v>
      </c>
      <c r="AG208" s="2"/>
      <c r="AH208" s="2">
        <v>37.9884542882468</v>
      </c>
      <c r="AI208" s="2">
        <v>46.816884358038898</v>
      </c>
      <c r="AJ208" s="2"/>
      <c r="AK208" s="2"/>
      <c r="AL208" s="2">
        <v>60.083114050416803</v>
      </c>
      <c r="AM208" s="2">
        <v>68.104413927526906</v>
      </c>
      <c r="AN208" s="2">
        <v>62.072744156425998</v>
      </c>
      <c r="AO208" s="2">
        <v>61.922117983375799</v>
      </c>
      <c r="AP208" s="3">
        <f t="shared" ref="AP208:AP250" si="60">(AVERAGE(AL208:AO208))*AVERAGE($AN$250:$AO$250)/AVERAGE($AL$206:$AO$206)</f>
        <v>41.533700886326621</v>
      </c>
      <c r="AQ208" s="3">
        <f t="shared" si="59"/>
        <v>40.836519180227938</v>
      </c>
      <c r="AR208" s="2">
        <v>6.1999678448175798E-2</v>
      </c>
      <c r="AS208" s="2">
        <v>6.1161381751581902E-2</v>
      </c>
      <c r="AT208" s="2">
        <v>-4.8261993679977197E-3</v>
      </c>
      <c r="AU208" s="2">
        <v>3.0986973631382701E-2</v>
      </c>
      <c r="AX208" s="2"/>
      <c r="AY208" s="2"/>
      <c r="AZ208" s="2"/>
      <c r="BA208" s="2"/>
      <c r="BB208" s="2"/>
      <c r="BC208" s="2"/>
      <c r="BD208" s="2"/>
    </row>
    <row r="209" spans="1:56" x14ac:dyDescent="0.25">
      <c r="A209">
        <v>1986</v>
      </c>
      <c r="B209">
        <v>109.6</v>
      </c>
      <c r="C209" s="3">
        <f t="shared" si="56"/>
        <v>378.97648686030425</v>
      </c>
      <c r="D209">
        <v>368.24</v>
      </c>
      <c r="E209" s="3">
        <f t="shared" si="57"/>
        <v>1781.5191098209964</v>
      </c>
      <c r="F209" s="3">
        <f t="shared" si="54"/>
        <v>656.28742514970065</v>
      </c>
      <c r="G209">
        <v>672.70114566284781</v>
      </c>
      <c r="H209">
        <v>100.2</v>
      </c>
      <c r="I209" s="3">
        <f t="shared" si="52"/>
        <v>37.759973606482369</v>
      </c>
      <c r="K209">
        <v>367.51</v>
      </c>
      <c r="L209">
        <v>1.47</v>
      </c>
      <c r="M209" s="5">
        <f t="shared" si="50"/>
        <v>250.00680272108843</v>
      </c>
      <c r="N209" s="6">
        <f t="shared" si="51"/>
        <v>250.00680272108843</v>
      </c>
      <c r="O209" s="3">
        <f t="shared" si="58"/>
        <v>5882.5130052020804</v>
      </c>
      <c r="R209">
        <v>77.110874658832941</v>
      </c>
      <c r="S209">
        <f t="shared" si="55"/>
        <v>2880.1168651162798</v>
      </c>
      <c r="T209" s="3">
        <f t="shared" si="53"/>
        <v>48.960654444270794</v>
      </c>
      <c r="U209" s="2">
        <v>-28.1135723352814</v>
      </c>
      <c r="V209">
        <v>-46.430222250855202</v>
      </c>
      <c r="W209">
        <v>-37.271897293068299</v>
      </c>
      <c r="X209">
        <v>-38.794463541209801</v>
      </c>
      <c r="Y209" s="6">
        <f t="shared" si="42"/>
        <v>2984.5770622966629</v>
      </c>
      <c r="Z209" s="6">
        <f t="shared" si="43"/>
        <v>974.96184035024316</v>
      </c>
      <c r="AA209" s="6">
        <f t="shared" si="44"/>
        <v>50.497669807806275</v>
      </c>
      <c r="AB209" s="7">
        <v>367.72</v>
      </c>
      <c r="AC209" s="2">
        <v>249.38623312000001</v>
      </c>
      <c r="AD209" s="3">
        <f t="shared" si="46"/>
        <v>0</v>
      </c>
      <c r="AE209" s="2">
        <v>34.757194771194399</v>
      </c>
      <c r="AF209" s="2">
        <v>50.224571748206202</v>
      </c>
      <c r="AG209" s="2"/>
      <c r="AH209" s="2">
        <v>37.246427208145803</v>
      </c>
      <c r="AI209" s="2">
        <v>50.463202735318802</v>
      </c>
      <c r="AJ209" s="2"/>
      <c r="AK209" s="2"/>
      <c r="AL209" s="2">
        <v>61.279654955661897</v>
      </c>
      <c r="AM209" s="2">
        <v>68.7166422721602</v>
      </c>
      <c r="AN209" s="2">
        <v>65.628953775101394</v>
      </c>
      <c r="AO209" s="2">
        <v>64.707855070818695</v>
      </c>
      <c r="AP209" s="3">
        <f t="shared" si="60"/>
        <v>42.876099926829461</v>
      </c>
      <c r="AQ209" s="3">
        <f t="shared" si="59"/>
        <v>42.561494802927172</v>
      </c>
      <c r="AR209" s="2">
        <v>1.40017955533649E-2</v>
      </c>
      <c r="AS209" s="2">
        <v>5.4187475360000001E-2</v>
      </c>
      <c r="AT209" s="2">
        <v>-2.9068760464176401E-2</v>
      </c>
      <c r="AU209" s="2">
        <v>2.5770429138613E-2</v>
      </c>
      <c r="AX209" s="2"/>
      <c r="AY209" s="2"/>
      <c r="AZ209" s="2"/>
      <c r="BA209" s="2"/>
      <c r="BB209" s="2"/>
      <c r="BC209" s="2"/>
      <c r="BD209" s="2"/>
    </row>
    <row r="210" spans="1:56" x14ac:dyDescent="0.25">
      <c r="A210">
        <v>1987</v>
      </c>
      <c r="B210">
        <v>113.6</v>
      </c>
      <c r="C210" s="3">
        <f t="shared" si="56"/>
        <v>392.80774550484091</v>
      </c>
      <c r="D210">
        <v>447.95</v>
      </c>
      <c r="E210" s="3">
        <f t="shared" si="57"/>
        <v>2167.1504596032896</v>
      </c>
      <c r="F210" s="3">
        <f t="shared" si="54"/>
        <v>680.23952095808386</v>
      </c>
      <c r="G210">
        <v>690.15646481178396</v>
      </c>
      <c r="H210">
        <v>102.8</v>
      </c>
      <c r="I210" s="3">
        <f t="shared" si="52"/>
        <v>31.846264376960768</v>
      </c>
      <c r="K210">
        <v>446.47</v>
      </c>
      <c r="L210">
        <v>1.64</v>
      </c>
      <c r="M210" s="5">
        <f t="shared" si="50"/>
        <v>272.23780487804879</v>
      </c>
      <c r="N210" s="6">
        <f t="shared" si="51"/>
        <v>272.23780487804879</v>
      </c>
      <c r="O210" s="3">
        <f t="shared" si="58"/>
        <v>6405.5954088952649</v>
      </c>
      <c r="R210">
        <v>79.732644397233258</v>
      </c>
      <c r="S210">
        <f t="shared" si="55"/>
        <v>2978.0408385302335</v>
      </c>
      <c r="T210" s="3">
        <f t="shared" si="53"/>
        <v>46.491241616582819</v>
      </c>
      <c r="U210" s="2">
        <v>-32.921507981533097</v>
      </c>
      <c r="V210">
        <v>-47.538624844396097</v>
      </c>
      <c r="W210">
        <v>-40.230066412964597</v>
      </c>
      <c r="X210">
        <v>-35.637518545657798</v>
      </c>
      <c r="Y210" s="6">
        <f t="shared" si="42"/>
        <v>3086.0526824147501</v>
      </c>
      <c r="Z210" s="6">
        <f t="shared" si="43"/>
        <v>1124.6947553689311</v>
      </c>
      <c r="AA210" s="6">
        <f t="shared" si="44"/>
        <v>47.950735029111947</v>
      </c>
      <c r="AB210" s="7">
        <v>446.28</v>
      </c>
      <c r="AC210" s="2">
        <v>238.46123867999998</v>
      </c>
      <c r="AD210" s="3">
        <f t="shared" si="46"/>
        <v>0</v>
      </c>
      <c r="AE210" s="2">
        <v>35.724715380266503</v>
      </c>
      <c r="AF210" s="2">
        <v>53.195925745286203</v>
      </c>
      <c r="AG210" s="2"/>
      <c r="AH210" s="2">
        <v>36.317932498896802</v>
      </c>
      <c r="AI210" s="2">
        <v>54.229551100565303</v>
      </c>
      <c r="AJ210" s="2"/>
      <c r="AK210" s="2"/>
      <c r="AL210" s="2">
        <v>62.6096531036074</v>
      </c>
      <c r="AM210" s="2">
        <v>69.358024320295399</v>
      </c>
      <c r="AN210" s="2">
        <v>69.940925047853497</v>
      </c>
      <c r="AO210" s="2">
        <v>67.887417309895298</v>
      </c>
      <c r="AP210" s="3">
        <f t="shared" si="60"/>
        <v>44.434614093000704</v>
      </c>
      <c r="AQ210" s="3">
        <f t="shared" si="59"/>
        <v>44.356296631695798</v>
      </c>
      <c r="AR210" s="2">
        <v>3.3998583392358603E-2</v>
      </c>
      <c r="AS210" s="2">
        <v>4.8758621695275103E-2</v>
      </c>
      <c r="AT210" s="2">
        <v>2.59551062880926E-2</v>
      </c>
      <c r="AU210" s="2">
        <v>2.2257416021063701E-2</v>
      </c>
      <c r="AX210" s="2"/>
      <c r="AY210" s="2"/>
      <c r="AZ210" s="2"/>
      <c r="BA210" s="2"/>
      <c r="BB210" s="2"/>
      <c r="BC210" s="2"/>
      <c r="BD210" s="2"/>
    </row>
    <row r="211" spans="1:56" x14ac:dyDescent="0.25">
      <c r="A211">
        <v>1988</v>
      </c>
      <c r="B211">
        <v>118.3</v>
      </c>
      <c r="C211" s="3">
        <f t="shared" si="56"/>
        <v>409.05947441217148</v>
      </c>
      <c r="D211">
        <v>438.31</v>
      </c>
      <c r="E211" s="3">
        <f t="shared" si="57"/>
        <v>2120.5128205128203</v>
      </c>
      <c r="F211" s="3">
        <f t="shared" si="54"/>
        <v>708.38323353293413</v>
      </c>
      <c r="G211">
        <v>717.68216039279878</v>
      </c>
      <c r="H211">
        <v>106.9</v>
      </c>
      <c r="I211" s="3">
        <f t="shared" si="52"/>
        <v>33.8447451696725</v>
      </c>
      <c r="K211">
        <v>437.05</v>
      </c>
      <c r="L211">
        <v>1.78</v>
      </c>
      <c r="M211" s="5">
        <f t="shared" si="50"/>
        <v>245.53370786516854</v>
      </c>
      <c r="N211" s="6">
        <f t="shared" si="51"/>
        <v>245.53370786516854</v>
      </c>
      <c r="O211" s="3">
        <f t="shared" si="58"/>
        <v>5777.263714474554</v>
      </c>
      <c r="R211">
        <v>82.682752239930892</v>
      </c>
      <c r="S211">
        <f t="shared" si="55"/>
        <v>3088.2283495558527</v>
      </c>
      <c r="T211" s="3">
        <f t="shared" si="53"/>
        <v>53.454862062441421</v>
      </c>
      <c r="U211" s="2">
        <v>-29.801752211088999</v>
      </c>
      <c r="V211">
        <v>-39.140066200121296</v>
      </c>
      <c r="W211">
        <v>-34.470909205605203</v>
      </c>
      <c r="X211">
        <v>-31.9876023636848</v>
      </c>
      <c r="Y211" s="6">
        <f t="shared" ref="Y211:Y233" si="61">100*S211/$S$13</f>
        <v>3200.236631664096</v>
      </c>
      <c r="Z211" s="6">
        <f t="shared" ref="Z211:Z233" si="62">Y211*(L211/$L$13)</f>
        <v>1265.8713787471313</v>
      </c>
      <c r="AA211" s="6">
        <f t="shared" ref="AA211:AA233" si="63">Y211/(O211/$O$13)</f>
        <v>55.132963492624746</v>
      </c>
      <c r="AB211" s="7">
        <v>436.79</v>
      </c>
      <c r="AC211" s="2">
        <v>241.38718881</v>
      </c>
      <c r="AD211" s="3">
        <f t="shared" si="46"/>
        <v>0</v>
      </c>
      <c r="AE211" s="2">
        <v>36.9896157038309</v>
      </c>
      <c r="AF211" s="2">
        <v>56.635958444335799</v>
      </c>
      <c r="AG211" s="2"/>
      <c r="AH211" s="2">
        <v>36.814621331788999</v>
      </c>
      <c r="AI211" s="2">
        <v>58.546928617656</v>
      </c>
      <c r="AJ211" s="2"/>
      <c r="AK211" s="2"/>
      <c r="AL211" s="2">
        <v>64.017686815293004</v>
      </c>
      <c r="AM211" s="2">
        <v>70.055582738749806</v>
      </c>
      <c r="AN211" s="2">
        <v>74.858568071227793</v>
      </c>
      <c r="AO211" s="2">
        <v>71.400586701272701</v>
      </c>
      <c r="AP211" s="3">
        <f t="shared" si="60"/>
        <v>46.169929055241084</v>
      </c>
      <c r="AQ211" s="3">
        <f t="shared" si="59"/>
        <v>46.25375621452406</v>
      </c>
      <c r="AR211" s="2">
        <v>3.7000846194141103E-2</v>
      </c>
      <c r="AS211" s="2">
        <v>4.4638295925501302E-2</v>
      </c>
      <c r="AT211" s="2">
        <v>3.9874811637881001E-2</v>
      </c>
      <c r="AU211" s="2">
        <v>1.98604092376388E-2</v>
      </c>
      <c r="AX211" s="2"/>
      <c r="AY211" s="2"/>
      <c r="AZ211" s="2"/>
      <c r="BA211" s="2"/>
      <c r="BB211" s="2"/>
      <c r="BC211" s="2"/>
      <c r="BD211" s="2"/>
    </row>
    <row r="212" spans="1:56" x14ac:dyDescent="0.25">
      <c r="A212">
        <v>1989</v>
      </c>
      <c r="B212">
        <v>124</v>
      </c>
      <c r="C212" s="3">
        <f t="shared" si="56"/>
        <v>428.76901798063619</v>
      </c>
      <c r="D212">
        <v>382.58</v>
      </c>
      <c r="E212" s="3">
        <f t="shared" si="57"/>
        <v>1850.8950169327527</v>
      </c>
      <c r="F212" s="3">
        <f t="shared" si="54"/>
        <v>742.51497005988028</v>
      </c>
      <c r="G212">
        <v>753.26415711947629</v>
      </c>
      <c r="H212">
        <v>112.2</v>
      </c>
      <c r="I212" s="3">
        <f t="shared" si="52"/>
        <v>40.697292403313227</v>
      </c>
      <c r="K212">
        <v>381.43</v>
      </c>
      <c r="L212">
        <v>1.64</v>
      </c>
      <c r="M212" s="5">
        <f t="shared" si="50"/>
        <v>232.57926829268294</v>
      </c>
      <c r="N212" s="6">
        <f t="shared" si="51"/>
        <v>232.57926829268294</v>
      </c>
      <c r="O212" s="3">
        <f t="shared" si="58"/>
        <v>5472.45337159254</v>
      </c>
      <c r="R212">
        <v>86.651524347447577</v>
      </c>
      <c r="S212">
        <f t="shared" si="55"/>
        <v>3236.4633103345336</v>
      </c>
      <c r="T212" s="3">
        <f t="shared" si="53"/>
        <v>59.140993820705489</v>
      </c>
      <c r="U212" s="2">
        <v>-21.7840227299112</v>
      </c>
      <c r="V212">
        <v>-31.932623789342902</v>
      </c>
      <c r="W212">
        <v>-26.858323259626999</v>
      </c>
      <c r="X212">
        <v>-27.948239219386402</v>
      </c>
      <c r="Y212" s="6">
        <f t="shared" si="61"/>
        <v>3353.8479899839726</v>
      </c>
      <c r="Z212" s="6">
        <f t="shared" si="62"/>
        <v>1222.2912674608253</v>
      </c>
      <c r="AA212" s="6">
        <f t="shared" si="63"/>
        <v>60.997599234766049</v>
      </c>
      <c r="AB212" s="7">
        <v>380.74</v>
      </c>
      <c r="AC212" s="2">
        <v>237.14733566000004</v>
      </c>
      <c r="AD212" s="3">
        <f t="shared" si="46"/>
        <v>0</v>
      </c>
      <c r="AE212" s="2">
        <v>38.507896937990097</v>
      </c>
      <c r="AF212" s="2">
        <v>60.397344395509698</v>
      </c>
      <c r="AG212" s="2"/>
      <c r="AH212" s="2">
        <v>38.735500711812797</v>
      </c>
      <c r="AI212" s="2">
        <v>63.733150750280203</v>
      </c>
      <c r="AJ212" s="2"/>
      <c r="AK212" s="2"/>
      <c r="AL212" s="2">
        <v>65.461237880722706</v>
      </c>
      <c r="AM212" s="2">
        <v>70.866159951137803</v>
      </c>
      <c r="AN212" s="2">
        <v>80.242383691291394</v>
      </c>
      <c r="AO212" s="2">
        <v>75.226171072519193</v>
      </c>
      <c r="AP212" s="3">
        <f t="shared" si="60"/>
        <v>48.057938578862462</v>
      </c>
      <c r="AQ212" s="3">
        <f t="shared" si="59"/>
        <v>48.256115919959953</v>
      </c>
      <c r="AR212" s="2">
        <v>4.7998367997202203E-2</v>
      </c>
      <c r="AS212" s="2">
        <v>4.1442372835743597E-2</v>
      </c>
      <c r="AT212" s="2">
        <v>4.9576412885965898E-2</v>
      </c>
      <c r="AU212" s="2">
        <v>1.8028860649912399E-2</v>
      </c>
      <c r="AX212" s="2"/>
      <c r="AY212" s="2"/>
      <c r="AZ212" s="2"/>
      <c r="BA212" s="2"/>
      <c r="BB212" s="2"/>
      <c r="BC212" s="2"/>
      <c r="BD212" s="2"/>
    </row>
    <row r="213" spans="1:56" x14ac:dyDescent="0.25">
      <c r="A213">
        <v>1990</v>
      </c>
      <c r="B213">
        <v>130.69999999999999</v>
      </c>
      <c r="C213" s="3">
        <f t="shared" si="56"/>
        <v>451.93637621023504</v>
      </c>
      <c r="D213">
        <v>384.93</v>
      </c>
      <c r="E213" s="3">
        <f t="shared" si="57"/>
        <v>1862.2641509433961</v>
      </c>
      <c r="F213" s="3">
        <f t="shared" si="54"/>
        <v>782.6347305389221</v>
      </c>
      <c r="G213">
        <v>780.78985270049088</v>
      </c>
      <c r="H213">
        <v>116.3</v>
      </c>
      <c r="I213" s="3">
        <f t="shared" si="52"/>
        <v>41.926912049773073</v>
      </c>
      <c r="K213">
        <v>383.47</v>
      </c>
      <c r="L213">
        <v>1.78</v>
      </c>
      <c r="M213" s="5">
        <f t="shared" si="50"/>
        <v>215.43258426966293</v>
      </c>
      <c r="N213" s="6">
        <f t="shared" si="51"/>
        <v>215.43258426966293</v>
      </c>
      <c r="O213" s="3">
        <f t="shared" si="58"/>
        <v>5069.0019828155982</v>
      </c>
      <c r="R213">
        <v>92.023918856989312</v>
      </c>
      <c r="S213">
        <f t="shared" si="55"/>
        <v>3437.1240355752743</v>
      </c>
      <c r="T213" s="3">
        <f t="shared" si="53"/>
        <v>67.80672107107975</v>
      </c>
      <c r="U213" s="2">
        <v>-19.368037243962402</v>
      </c>
      <c r="V213">
        <v>-21.664355922849602</v>
      </c>
      <c r="W213">
        <v>-20.516196583406</v>
      </c>
      <c r="X213">
        <v>-23.647786405276999</v>
      </c>
      <c r="Y213" s="6">
        <f t="shared" si="61"/>
        <v>3561.7865653629788</v>
      </c>
      <c r="Z213" s="6">
        <f t="shared" si="62"/>
        <v>1408.884463632467</v>
      </c>
      <c r="AA213" s="6">
        <f t="shared" si="63"/>
        <v>69.935368517078302</v>
      </c>
      <c r="AB213" s="7">
        <v>383.32</v>
      </c>
      <c r="AC213" s="2">
        <v>198.81735104000001</v>
      </c>
      <c r="AD213" s="3">
        <f t="shared" si="46"/>
        <v>0</v>
      </c>
      <c r="AE213" s="2">
        <v>40.200064121807898</v>
      </c>
      <c r="AF213" s="2">
        <v>64.318498564519302</v>
      </c>
      <c r="AG213" s="2"/>
      <c r="AH213" s="2">
        <v>40.954703866695397</v>
      </c>
      <c r="AI213" s="2">
        <v>68.993723422908502</v>
      </c>
      <c r="AJ213" s="2"/>
      <c r="AK213" s="2"/>
      <c r="AL213" s="2">
        <v>66.939611221747398</v>
      </c>
      <c r="AM213" s="2">
        <v>71.857742553686506</v>
      </c>
      <c r="AN213" s="2">
        <v>85.914287073399294</v>
      </c>
      <c r="AO213" s="2">
        <v>79.367872384190207</v>
      </c>
      <c r="AP213" s="3">
        <f t="shared" si="60"/>
        <v>50.081005031252893</v>
      </c>
      <c r="AQ213" s="3">
        <f t="shared" si="59"/>
        <v>50.384757724243471</v>
      </c>
      <c r="AR213" s="2">
        <v>6.1999839330626597E-2</v>
      </c>
      <c r="AS213" s="2">
        <v>3.8710352713753303E-2</v>
      </c>
      <c r="AT213" s="2">
        <v>3.6547805538592201E-2</v>
      </c>
      <c r="AU213" s="2">
        <v>1.6412366143461001E-2</v>
      </c>
      <c r="AX213" s="2"/>
      <c r="AY213" s="2"/>
      <c r="AZ213" s="2"/>
      <c r="BA213" s="2"/>
      <c r="BB213" s="2"/>
      <c r="BC213" s="2"/>
      <c r="BD213" s="2"/>
    </row>
    <row r="214" spans="1:56" x14ac:dyDescent="0.25">
      <c r="A214">
        <v>1991</v>
      </c>
      <c r="B214">
        <v>136.19999999999999</v>
      </c>
      <c r="C214" s="3">
        <f t="shared" si="56"/>
        <v>470.95435684647293</v>
      </c>
      <c r="D214">
        <v>363.29</v>
      </c>
      <c r="E214" s="3">
        <f t="shared" si="57"/>
        <v>1757.5713594581518</v>
      </c>
      <c r="F214" s="3">
        <f t="shared" si="54"/>
        <v>815.56886227544908</v>
      </c>
      <c r="G214">
        <v>782.1325695581013</v>
      </c>
      <c r="H214">
        <v>116.5</v>
      </c>
      <c r="I214" s="3">
        <f t="shared" si="52"/>
        <v>44.500757556679105</v>
      </c>
      <c r="K214">
        <v>362.18</v>
      </c>
      <c r="L214">
        <v>1.77</v>
      </c>
      <c r="M214" s="5">
        <f t="shared" si="50"/>
        <v>204.62146892655366</v>
      </c>
      <c r="N214" s="6">
        <f t="shared" si="51"/>
        <v>204.62146892655366</v>
      </c>
      <c r="O214" s="3">
        <f t="shared" si="58"/>
        <v>4814.6227982718501</v>
      </c>
      <c r="R214">
        <v>96.99321047526675</v>
      </c>
      <c r="S214">
        <f t="shared" si="55"/>
        <v>3622.7287334963403</v>
      </c>
      <c r="T214" s="3">
        <f t="shared" si="53"/>
        <v>75.244289849594736</v>
      </c>
      <c r="U214" s="2">
        <v>-15.583513459204701</v>
      </c>
      <c r="V214">
        <v>-12.553301750907201</v>
      </c>
      <c r="W214">
        <v>-14.068407605055899</v>
      </c>
      <c r="X214">
        <v>-19.203702054273901</v>
      </c>
      <c r="Y214" s="6">
        <f t="shared" si="61"/>
        <v>3754.1230398925804</v>
      </c>
      <c r="Z214" s="6">
        <f t="shared" si="62"/>
        <v>1476.6217290244149</v>
      </c>
      <c r="AA214" s="6">
        <f t="shared" si="63"/>
        <v>77.606423910706695</v>
      </c>
      <c r="AB214" s="7">
        <v>362.1</v>
      </c>
      <c r="AC214" s="2">
        <v>193.56381390000001</v>
      </c>
      <c r="AD214" s="3">
        <f t="shared" si="46"/>
        <v>0</v>
      </c>
      <c r="AE214" s="2">
        <v>42.004243324968499</v>
      </c>
      <c r="AF214" s="2">
        <v>68.222862473120699</v>
      </c>
      <c r="AG214" s="2"/>
      <c r="AH214" s="2">
        <v>42.857863786893198</v>
      </c>
      <c r="AI214" s="2">
        <v>71.923102309917894</v>
      </c>
      <c r="AJ214" s="2"/>
      <c r="AK214" s="2"/>
      <c r="AL214" s="2">
        <v>68.488499381410804</v>
      </c>
      <c r="AM214" s="2">
        <v>73.132155543111494</v>
      </c>
      <c r="AN214" s="2">
        <v>91.616769545993193</v>
      </c>
      <c r="AO214" s="2">
        <v>83.835730886115996</v>
      </c>
      <c r="AP214" s="3">
        <f t="shared" si="60"/>
        <v>52.221019824252245</v>
      </c>
      <c r="AQ214" s="3">
        <f t="shared" si="59"/>
        <v>52.668640926248919</v>
      </c>
      <c r="AR214" s="2">
        <v>5.4001605995717301E-2</v>
      </c>
      <c r="AS214" s="2">
        <v>3.6047295798896303E-2</v>
      </c>
      <c r="AT214" s="2">
        <v>1.7162105047452299E-3</v>
      </c>
      <c r="AU214" s="2">
        <v>1.49759971262218E-2</v>
      </c>
      <c r="AX214" s="2"/>
      <c r="AY214" s="2"/>
      <c r="AZ214" s="2"/>
      <c r="BA214" s="2"/>
      <c r="BB214" s="2"/>
      <c r="BC214" s="2"/>
      <c r="BD214" s="2"/>
    </row>
    <row r="215" spans="1:56" x14ac:dyDescent="0.25">
      <c r="A215">
        <v>1992</v>
      </c>
      <c r="B215">
        <v>140.30000000000001</v>
      </c>
      <c r="C215" s="3">
        <f t="shared" si="56"/>
        <v>485.13139695712312</v>
      </c>
      <c r="D215">
        <v>344.97</v>
      </c>
      <c r="E215" s="3">
        <f t="shared" si="57"/>
        <v>1668.9404934687952</v>
      </c>
      <c r="F215" s="3">
        <f t="shared" si="54"/>
        <v>840.11976047904204</v>
      </c>
      <c r="G215">
        <v>786.83207855973797</v>
      </c>
      <c r="H215">
        <v>117.2</v>
      </c>
      <c r="I215" s="3">
        <f t="shared" si="52"/>
        <v>47.145604150592185</v>
      </c>
      <c r="K215">
        <v>343.73</v>
      </c>
      <c r="L215">
        <v>1.77</v>
      </c>
      <c r="M215" s="5">
        <f t="shared" si="50"/>
        <v>194.19774011299435</v>
      </c>
      <c r="N215" s="6">
        <f t="shared" si="51"/>
        <v>194.19774011299435</v>
      </c>
      <c r="O215" s="3">
        <f t="shared" si="58"/>
        <v>4569.3585908939849</v>
      </c>
      <c r="R215">
        <v>100</v>
      </c>
      <c r="S215">
        <f t="shared" si="55"/>
        <v>3735.0333242347256</v>
      </c>
      <c r="T215" s="3">
        <f t="shared" si="53"/>
        <v>81.740866905872991</v>
      </c>
      <c r="U215" s="2">
        <v>-11.6901690816005</v>
      </c>
      <c r="V215">
        <v>-4.28748126325877</v>
      </c>
      <c r="W215">
        <v>-7.9888251724296397</v>
      </c>
      <c r="X215">
        <v>-14.702128401075401</v>
      </c>
      <c r="Y215" s="6">
        <f t="shared" si="61"/>
        <v>3870.5008541292491</v>
      </c>
      <c r="Z215" s="6">
        <f t="shared" si="62"/>
        <v>1522.3970026241711</v>
      </c>
      <c r="AA215" s="6">
        <f t="shared" si="63"/>
        <v>84.306947153146666</v>
      </c>
      <c r="AB215" s="7">
        <v>343.86</v>
      </c>
      <c r="AC215" s="2">
        <v>227.42075136</v>
      </c>
      <c r="AD215" s="3">
        <f t="shared" si="46"/>
        <v>0</v>
      </c>
      <c r="AE215" s="2">
        <v>43.871159975937999</v>
      </c>
      <c r="AF215" s="2">
        <v>72.036792657424996</v>
      </c>
      <c r="AG215" s="2"/>
      <c r="AH215" s="2">
        <v>43.999045507297403</v>
      </c>
      <c r="AI215" s="2">
        <v>71.987835278049502</v>
      </c>
      <c r="AJ215" s="2"/>
      <c r="AK215" s="2"/>
      <c r="AL215" s="2">
        <v>70.165198790539094</v>
      </c>
      <c r="AM215" s="2">
        <v>74.795346490591399</v>
      </c>
      <c r="AN215" s="2">
        <v>97.058379566781198</v>
      </c>
      <c r="AO215" s="2">
        <v>88.580108104285202</v>
      </c>
      <c r="AP215" s="3">
        <f t="shared" si="60"/>
        <v>54.448692240303913</v>
      </c>
      <c r="AQ215" s="3">
        <f t="shared" si="59"/>
        <v>55.115999634239472</v>
      </c>
      <c r="AR215" s="2">
        <v>3.0998721958302201E-2</v>
      </c>
      <c r="AS215" s="2">
        <v>3.3291157196707298E-2</v>
      </c>
      <c r="AT215" s="2">
        <v>6.0092312019741504E-3</v>
      </c>
      <c r="AU215" s="2">
        <v>1.3886179400083101E-2</v>
      </c>
      <c r="AX215" s="2"/>
      <c r="AY215" s="2"/>
      <c r="AZ215" s="2"/>
      <c r="BA215" s="2"/>
      <c r="BB215" s="2"/>
      <c r="BC215" s="2"/>
      <c r="BD215" s="2"/>
    </row>
    <row r="216" spans="1:56" x14ac:dyDescent="0.25">
      <c r="A216">
        <v>1993</v>
      </c>
      <c r="B216">
        <v>144.5</v>
      </c>
      <c r="C216" s="3">
        <f t="shared" si="56"/>
        <v>499.65421853388654</v>
      </c>
      <c r="D216">
        <v>360.91</v>
      </c>
      <c r="E216" s="3">
        <f t="shared" si="57"/>
        <v>1746.0570875665214</v>
      </c>
      <c r="F216" s="3">
        <f t="shared" si="54"/>
        <v>865.26946107784431</v>
      </c>
      <c r="G216">
        <v>798.24517184942704</v>
      </c>
      <c r="H216">
        <v>118.9</v>
      </c>
      <c r="I216" s="3">
        <f t="shared" si="52"/>
        <v>45.717014497042634</v>
      </c>
      <c r="K216">
        <v>359.77</v>
      </c>
      <c r="L216">
        <v>1.5</v>
      </c>
      <c r="M216" s="5">
        <f t="shared" si="50"/>
        <v>239.84666666666666</v>
      </c>
      <c r="N216" s="6">
        <f t="shared" si="51"/>
        <v>239.84666666666666</v>
      </c>
      <c r="O216" s="3">
        <f t="shared" si="58"/>
        <v>5643.4509803921574</v>
      </c>
      <c r="R216">
        <v>103.96341463414633</v>
      </c>
      <c r="S216">
        <f t="shared" si="55"/>
        <v>3883.0681815976868</v>
      </c>
      <c r="T216" s="3">
        <f t="shared" si="53"/>
        <v>68.806625504309011</v>
      </c>
      <c r="U216" s="2">
        <v>-11.8477218171123</v>
      </c>
      <c r="V216">
        <v>-15.364895289123799</v>
      </c>
      <c r="W216">
        <v>-13.606308553118</v>
      </c>
      <c r="X216">
        <v>-10.177854735887699</v>
      </c>
      <c r="Y216" s="6">
        <f t="shared" si="61"/>
        <v>4023.9048513965668</v>
      </c>
      <c r="Z216" s="6">
        <f t="shared" si="62"/>
        <v>1341.3016171321888</v>
      </c>
      <c r="AA216" s="6">
        <f t="shared" si="63"/>
        <v>70.966662818220584</v>
      </c>
      <c r="AB216" s="7">
        <v>360</v>
      </c>
      <c r="AC216" s="2">
        <v>243.04607999999999</v>
      </c>
      <c r="AD216" s="3">
        <f t="shared" ref="AD216:AD232" si="64">(I216*E216/100)-G216</f>
        <v>0</v>
      </c>
      <c r="AE216" s="2">
        <v>45.771097069932601</v>
      </c>
      <c r="AF216" s="2">
        <v>75.812117028811997</v>
      </c>
      <c r="AG216" s="2"/>
      <c r="AH216" s="2">
        <v>44.299692800501397</v>
      </c>
      <c r="AI216" s="2">
        <v>71.603436090738199</v>
      </c>
      <c r="AJ216" s="2"/>
      <c r="AK216" s="2"/>
      <c r="AL216" s="2">
        <v>72.037120886144393</v>
      </c>
      <c r="AM216" s="2">
        <v>76.965441411873996</v>
      </c>
      <c r="AN216" s="2">
        <v>102.044497898011</v>
      </c>
      <c r="AO216" s="2">
        <v>93.516808255824799</v>
      </c>
      <c r="AP216" s="3">
        <f t="shared" si="60"/>
        <v>56.748659737236231</v>
      </c>
      <c r="AQ216" s="3">
        <f t="shared" si="59"/>
        <v>57.705066737603026</v>
      </c>
      <c r="AR216" s="2">
        <v>3.9635558482796603E-2</v>
      </c>
      <c r="AS216" s="2">
        <v>3.0459435114689098E-2</v>
      </c>
      <c r="AT216" s="2">
        <v>1.4513935665899799E-2</v>
      </c>
      <c r="AU216" s="2">
        <v>1.31767409007186E-2</v>
      </c>
      <c r="AX216" s="2"/>
      <c r="AY216" s="2"/>
      <c r="AZ216" s="2"/>
      <c r="BA216" s="2"/>
      <c r="BB216" s="2"/>
      <c r="BC216" s="2"/>
      <c r="BD216" s="2"/>
    </row>
    <row r="217" spans="1:56" x14ac:dyDescent="0.25">
      <c r="A217">
        <v>1994</v>
      </c>
      <c r="B217">
        <v>148.19999999999999</v>
      </c>
      <c r="C217" s="3">
        <f t="shared" si="56"/>
        <v>512.44813278008291</v>
      </c>
      <c r="D217">
        <v>385.42</v>
      </c>
      <c r="E217" s="3">
        <f t="shared" si="57"/>
        <v>1864.6347363328493</v>
      </c>
      <c r="F217" s="3">
        <f t="shared" si="54"/>
        <v>887.42514970059869</v>
      </c>
      <c r="G217">
        <v>808.31554828150558</v>
      </c>
      <c r="H217">
        <v>120.4</v>
      </c>
      <c r="I217" s="3">
        <f t="shared" si="52"/>
        <v>43.349806400754304</v>
      </c>
      <c r="K217">
        <v>384.01</v>
      </c>
      <c r="L217">
        <v>1.53</v>
      </c>
      <c r="M217" s="5">
        <f t="shared" si="50"/>
        <v>250.98692810457516</v>
      </c>
      <c r="N217" s="6">
        <f t="shared" si="51"/>
        <v>250.98692810457516</v>
      </c>
      <c r="O217" s="3">
        <f t="shared" si="58"/>
        <v>5905.5747789311799</v>
      </c>
      <c r="R217">
        <v>106.56873614190687</v>
      </c>
      <c r="S217">
        <f t="shared" si="55"/>
        <v>3980.3778081159976</v>
      </c>
      <c r="T217" s="3">
        <f t="shared" si="53"/>
        <v>67.400345556819545</v>
      </c>
      <c r="U217" s="2">
        <v>-12.915889371702299</v>
      </c>
      <c r="V217">
        <v>-14.8335254971994</v>
      </c>
      <c r="W217">
        <v>-13.874707434450899</v>
      </c>
      <c r="X217">
        <v>-5.5985373166304999</v>
      </c>
      <c r="Y217" s="6">
        <f t="shared" si="61"/>
        <v>4124.7438426072513</v>
      </c>
      <c r="Z217" s="6">
        <f t="shared" si="62"/>
        <v>1402.4129064864655</v>
      </c>
      <c r="AA217" s="6">
        <f t="shared" si="63"/>
        <v>69.516235709929106</v>
      </c>
      <c r="AB217" s="7">
        <v>384.12</v>
      </c>
      <c r="AC217" s="2">
        <v>245.83680000000001</v>
      </c>
      <c r="AD217" s="3">
        <f t="shared" si="64"/>
        <v>0</v>
      </c>
      <c r="AE217" s="2">
        <v>47.701326002409402</v>
      </c>
      <c r="AF217" s="2">
        <v>79.589095572087402</v>
      </c>
      <c r="AG217" s="2"/>
      <c r="AH217" s="2">
        <v>44.538234269999599</v>
      </c>
      <c r="AI217" s="2">
        <v>72.816140085402395</v>
      </c>
      <c r="AJ217" s="2"/>
      <c r="AK217" s="2"/>
      <c r="AL217" s="2">
        <v>74.185025117333694</v>
      </c>
      <c r="AM217" s="2">
        <v>79.807412857800898</v>
      </c>
      <c r="AN217" s="2">
        <v>106.506821506264</v>
      </c>
      <c r="AO217" s="2">
        <v>98.594734476819298</v>
      </c>
      <c r="AP217" s="3">
        <f t="shared" si="60"/>
        <v>59.14172884226106</v>
      </c>
      <c r="AQ217" s="3">
        <f t="shared" si="59"/>
        <v>60.365307073265029</v>
      </c>
      <c r="AR217" s="2">
        <v>2.5060068450993601E-2</v>
      </c>
      <c r="AS217" s="2">
        <v>2.7546703407960799E-2</v>
      </c>
      <c r="AT217" s="2">
        <v>1.26150955214532E-2</v>
      </c>
      <c r="AU217" s="2">
        <v>1.28027400818208E-2</v>
      </c>
      <c r="AX217" s="2"/>
      <c r="AY217" s="2"/>
      <c r="AZ217" s="2"/>
      <c r="BA217" s="2"/>
      <c r="BB217" s="2"/>
      <c r="BC217" s="2"/>
      <c r="BD217" s="2"/>
    </row>
    <row r="218" spans="1:56" x14ac:dyDescent="0.25">
      <c r="A218">
        <v>1995</v>
      </c>
      <c r="B218">
        <v>152.4</v>
      </c>
      <c r="C218" s="3">
        <f t="shared" si="56"/>
        <v>526.97095435684639</v>
      </c>
      <c r="D218">
        <v>385.5</v>
      </c>
      <c r="E218" s="3">
        <f t="shared" si="57"/>
        <v>1865.0217706821479</v>
      </c>
      <c r="F218" s="3">
        <f t="shared" si="54"/>
        <v>912.57485029940119</v>
      </c>
      <c r="G218">
        <v>837.1839607201307</v>
      </c>
      <c r="H218">
        <v>124.7</v>
      </c>
      <c r="I218" s="3">
        <f t="shared" si="52"/>
        <v>44.888696415266153</v>
      </c>
      <c r="K218">
        <v>384.16</v>
      </c>
      <c r="L218">
        <v>1.58</v>
      </c>
      <c r="M218" s="5">
        <f t="shared" si="50"/>
        <v>243.13924050632912</v>
      </c>
      <c r="N218" s="6">
        <f t="shared" si="51"/>
        <v>243.13924050632912</v>
      </c>
      <c r="O218" s="3">
        <f t="shared" si="58"/>
        <v>5720.9233060312736</v>
      </c>
      <c r="R218">
        <v>110.86474501108647</v>
      </c>
      <c r="S218">
        <f t="shared" si="55"/>
        <v>4140.8351709919352</v>
      </c>
      <c r="T218" s="3">
        <f t="shared" si="53"/>
        <v>72.380539809482627</v>
      </c>
      <c r="U218" s="2">
        <v>-10.0443894513331</v>
      </c>
      <c r="V218">
        <v>-7.8213343956590498</v>
      </c>
      <c r="W218">
        <v>-8.9328619234960893</v>
      </c>
      <c r="X218">
        <v>-0.96611693939590304</v>
      </c>
      <c r="Y218" s="6">
        <f t="shared" si="61"/>
        <v>4291.020902582316</v>
      </c>
      <c r="Z218" s="6">
        <f t="shared" si="62"/>
        <v>1506.62511690668</v>
      </c>
      <c r="AA218" s="6">
        <f t="shared" si="63"/>
        <v>74.65277254352003</v>
      </c>
      <c r="AB218" s="7">
        <v>384.05</v>
      </c>
      <c r="AC218" s="2">
        <v>247.77408205</v>
      </c>
      <c r="AD218" s="3">
        <f t="shared" si="64"/>
        <v>0</v>
      </c>
      <c r="AE218" s="2">
        <v>49.652707198126102</v>
      </c>
      <c r="AF218" s="2">
        <v>83.339367101768701</v>
      </c>
      <c r="AG218" s="2"/>
      <c r="AH218" s="2">
        <v>45.769867585785803</v>
      </c>
      <c r="AI218" s="2">
        <v>76.787703902547804</v>
      </c>
      <c r="AJ218" s="2"/>
      <c r="AK218" s="2"/>
      <c r="AL218" s="2">
        <v>76.722299724352197</v>
      </c>
      <c r="AM218" s="2">
        <v>83.542378965095097</v>
      </c>
      <c r="AN218" s="2">
        <v>110.399102379138</v>
      </c>
      <c r="AO218" s="2">
        <v>103.79142182079499</v>
      </c>
      <c r="AP218" s="3">
        <f t="shared" si="60"/>
        <v>61.671674952698751</v>
      </c>
      <c r="AQ218" s="3">
        <f t="shared" si="59"/>
        <v>62.960259816819772</v>
      </c>
      <c r="AR218" s="2">
        <v>4.03127339600741E-2</v>
      </c>
      <c r="AS218" s="2">
        <v>2.4639297165322101E-2</v>
      </c>
      <c r="AT218" s="2">
        <v>3.5703681710213597E-2</v>
      </c>
      <c r="AU218" s="2">
        <v>1.2732607344734199E-2</v>
      </c>
      <c r="AX218" s="2"/>
      <c r="AY218" s="2"/>
      <c r="AZ218" s="2"/>
      <c r="BA218" s="2"/>
      <c r="BB218" s="2"/>
      <c r="BC218" s="2"/>
      <c r="BD218" s="2"/>
    </row>
    <row r="219" spans="1:56" x14ac:dyDescent="0.25">
      <c r="A219">
        <v>1996</v>
      </c>
      <c r="B219">
        <v>156.9</v>
      </c>
      <c r="C219" s="3">
        <f t="shared" si="56"/>
        <v>542.53112033195021</v>
      </c>
      <c r="D219">
        <v>389.09</v>
      </c>
      <c r="E219" s="3">
        <f t="shared" si="57"/>
        <v>1882.3899371069181</v>
      </c>
      <c r="F219" s="3">
        <f t="shared" si="54"/>
        <v>939.5209580838324</v>
      </c>
      <c r="G219">
        <v>857.32471358428779</v>
      </c>
      <c r="H219">
        <v>127.7</v>
      </c>
      <c r="I219" s="3">
        <f t="shared" si="52"/>
        <v>45.544480273939783</v>
      </c>
      <c r="K219">
        <v>387.69</v>
      </c>
      <c r="L219">
        <v>1.56</v>
      </c>
      <c r="M219" s="5">
        <f t="shared" si="50"/>
        <v>248.51923076923075</v>
      </c>
      <c r="N219" s="6">
        <f t="shared" si="51"/>
        <v>248.51923076923075</v>
      </c>
      <c r="O219" s="3">
        <f t="shared" si="58"/>
        <v>5847.5113122171942</v>
      </c>
      <c r="R219">
        <v>113.75609756097562</v>
      </c>
      <c r="S219">
        <f t="shared" si="55"/>
        <v>4248.8281522514053</v>
      </c>
      <c r="T219" s="3">
        <f t="shared" si="53"/>
        <v>72.660452034942395</v>
      </c>
      <c r="U219" s="2">
        <v>-8.0329397619670395</v>
      </c>
      <c r="V219">
        <v>-5.4162653321543504</v>
      </c>
      <c r="W219">
        <v>-6.7246025470606998</v>
      </c>
      <c r="X219">
        <v>3.63470389854584</v>
      </c>
      <c r="Y219" s="6">
        <f t="shared" si="61"/>
        <v>4402.930727721664</v>
      </c>
      <c r="Z219" s="6">
        <f t="shared" si="62"/>
        <v>1526.3493189435103</v>
      </c>
      <c r="AA219" s="6">
        <f t="shared" si="63"/>
        <v>74.941472016533112</v>
      </c>
      <c r="AB219" s="7">
        <v>387.82</v>
      </c>
      <c r="AC219" s="2">
        <v>228.39805695999999</v>
      </c>
      <c r="AD219" s="3">
        <f t="shared" si="64"/>
        <v>0</v>
      </c>
      <c r="AE219" s="2">
        <v>51.567387821815998</v>
      </c>
      <c r="AF219" s="2">
        <v>86.937379476652694</v>
      </c>
      <c r="AG219" s="2"/>
      <c r="AH219" s="2">
        <v>48.480378994520599</v>
      </c>
      <c r="AI219" s="2">
        <v>83.697837487546096</v>
      </c>
      <c r="AJ219" s="2"/>
      <c r="AK219" s="2"/>
      <c r="AL219" s="2">
        <v>79.749482696271897</v>
      </c>
      <c r="AM219" s="2">
        <v>88.347183741901603</v>
      </c>
      <c r="AN219" s="2">
        <v>113.693324289172</v>
      </c>
      <c r="AO219" s="2">
        <v>108.87565799650901</v>
      </c>
      <c r="AP219" s="3">
        <f t="shared" si="60"/>
        <v>64.341487893279933</v>
      </c>
      <c r="AQ219" s="3">
        <f t="shared" si="59"/>
        <v>65.301698604123004</v>
      </c>
      <c r="AR219" s="2">
        <v>2.6079249620849801E-2</v>
      </c>
      <c r="AS219" s="2">
        <v>2.17986851260034E-2</v>
      </c>
      <c r="AT219" s="2">
        <v>2.40569531044698E-2</v>
      </c>
      <c r="AU219" s="2">
        <v>1.2932896645199501E-2</v>
      </c>
      <c r="AX219" s="2"/>
      <c r="AY219" s="2"/>
      <c r="AZ219" s="2"/>
      <c r="BA219" s="2"/>
      <c r="BB219" s="2"/>
      <c r="BC219" s="2"/>
      <c r="BD219" s="2"/>
    </row>
    <row r="220" spans="1:56" x14ac:dyDescent="0.25">
      <c r="A220">
        <v>1997</v>
      </c>
      <c r="B220">
        <v>160.5</v>
      </c>
      <c r="C220" s="3">
        <f t="shared" si="56"/>
        <v>554.97925311203312</v>
      </c>
      <c r="D220">
        <v>332.39</v>
      </c>
      <c r="E220" s="3">
        <f t="shared" si="57"/>
        <v>1608.079342041606</v>
      </c>
      <c r="F220" s="3">
        <f t="shared" si="54"/>
        <v>961.07784431137725</v>
      </c>
      <c r="G220">
        <v>856.65335515548247</v>
      </c>
      <c r="H220">
        <v>127.6</v>
      </c>
      <c r="I220" s="3">
        <f t="shared" si="52"/>
        <v>53.271833842967069</v>
      </c>
      <c r="K220">
        <v>331.1</v>
      </c>
      <c r="L220">
        <v>1.64</v>
      </c>
      <c r="M220" s="5">
        <f t="shared" si="50"/>
        <v>201.89024390243904</v>
      </c>
      <c r="N220" s="6">
        <f t="shared" si="51"/>
        <v>201.89024390243904</v>
      </c>
      <c r="O220" s="3">
        <f t="shared" si="58"/>
        <v>4750.3586800573894</v>
      </c>
      <c r="R220">
        <v>114.77272727272727</v>
      </c>
      <c r="S220">
        <f t="shared" si="55"/>
        <v>4286.7996107694007</v>
      </c>
      <c r="T220" s="3">
        <f t="shared" si="53"/>
        <v>90.241598571617999</v>
      </c>
      <c r="U220" s="2">
        <v>1.0887419904336799</v>
      </c>
      <c r="V220">
        <v>14.383757506189101</v>
      </c>
      <c r="W220">
        <v>7.7362497483113897</v>
      </c>
      <c r="X220">
        <v>8.0395552500834704</v>
      </c>
      <c r="Y220" s="6">
        <f t="shared" si="61"/>
        <v>4442.2793893983426</v>
      </c>
      <c r="Z220" s="6">
        <f t="shared" si="62"/>
        <v>1618.9640441362847</v>
      </c>
      <c r="AA220" s="6">
        <f t="shared" si="63"/>
        <v>93.074541166216207</v>
      </c>
      <c r="AB220" s="7">
        <v>330.98</v>
      </c>
      <c r="AC220" s="2">
        <v>200.13301464</v>
      </c>
      <c r="AD220" s="3">
        <f t="shared" si="64"/>
        <v>0</v>
      </c>
      <c r="AE220" s="2">
        <v>53.334687966231698</v>
      </c>
      <c r="AF220" s="2">
        <v>90.145386884518203</v>
      </c>
      <c r="AG220" s="2"/>
      <c r="AH220" s="2">
        <v>52.6889322142694</v>
      </c>
      <c r="AI220" s="2">
        <v>92.170349484919399</v>
      </c>
      <c r="AJ220" s="2"/>
      <c r="AK220" s="2"/>
      <c r="AL220" s="2">
        <v>83.382889024921496</v>
      </c>
      <c r="AM220" s="2">
        <v>94.327047406714399</v>
      </c>
      <c r="AN220" s="2">
        <v>116.464179985112</v>
      </c>
      <c r="AO220" s="2">
        <v>113.724316494513</v>
      </c>
      <c r="AP220" s="3">
        <f t="shared" si="60"/>
        <v>67.179676965657961</v>
      </c>
      <c r="AQ220" s="3">
        <f t="shared" si="59"/>
        <v>67.185295177935387</v>
      </c>
      <c r="AR220" s="2">
        <v>8.9365778343685805E-3</v>
      </c>
      <c r="AS220" s="2">
        <v>1.92430703971825E-2</v>
      </c>
      <c r="AT220" s="2">
        <v>-7.8150515560126001E-4</v>
      </c>
      <c r="AU220" s="2">
        <v>1.3599872682612099E-2</v>
      </c>
      <c r="AX220" s="2"/>
      <c r="AY220" s="2"/>
      <c r="AZ220" s="2"/>
      <c r="BA220" s="2"/>
      <c r="BB220" s="2"/>
      <c r="BC220" s="2"/>
      <c r="BD220" s="2"/>
    </row>
    <row r="221" spans="1:56" x14ac:dyDescent="0.25">
      <c r="A221">
        <v>1998</v>
      </c>
      <c r="B221">
        <v>163</v>
      </c>
      <c r="C221" s="3">
        <f t="shared" si="56"/>
        <v>563.62378976486855</v>
      </c>
      <c r="D221">
        <v>295.24</v>
      </c>
      <c r="E221" s="3">
        <f t="shared" si="57"/>
        <v>1428.350266086115</v>
      </c>
      <c r="F221" s="3">
        <f t="shared" si="54"/>
        <v>976.04790419161679</v>
      </c>
      <c r="G221">
        <v>835.16988543371497</v>
      </c>
      <c r="H221">
        <v>124.4</v>
      </c>
      <c r="I221" s="3">
        <f t="shared" si="52"/>
        <v>58.470944085878912</v>
      </c>
      <c r="K221">
        <v>294.16000000000003</v>
      </c>
      <c r="L221">
        <v>1.66</v>
      </c>
      <c r="M221" s="5">
        <f t="shared" si="50"/>
        <v>177.20481927710847</v>
      </c>
      <c r="N221" s="6">
        <f t="shared" si="51"/>
        <v>177.20481927710847</v>
      </c>
      <c r="O221" s="3">
        <f t="shared" si="58"/>
        <v>4169.5251594613756</v>
      </c>
      <c r="R221">
        <v>115.42904656319291</v>
      </c>
      <c r="S221">
        <f t="shared" si="55"/>
        <v>4311.3133549816739</v>
      </c>
      <c r="T221" s="3">
        <f t="shared" si="53"/>
        <v>103.40058376188368</v>
      </c>
      <c r="U221" s="2">
        <v>7.7109380999065102</v>
      </c>
      <c r="V221">
        <v>29.860829092764099</v>
      </c>
      <c r="W221">
        <v>18.785883596335299</v>
      </c>
      <c r="X221">
        <v>11.9804741036497</v>
      </c>
      <c r="Y221" s="6">
        <f t="shared" si="61"/>
        <v>4467.6822331416306</v>
      </c>
      <c r="Z221" s="6">
        <f t="shared" si="62"/>
        <v>1648.0783348922459</v>
      </c>
      <c r="AA221" s="6">
        <f t="shared" si="63"/>
        <v>106.64662464194284</v>
      </c>
      <c r="AB221" s="7">
        <v>294.12</v>
      </c>
      <c r="AC221" s="2">
        <v>176.80788504</v>
      </c>
      <c r="AD221" s="3">
        <f t="shared" si="64"/>
        <v>0</v>
      </c>
      <c r="AE221" s="2">
        <v>54.778153845907198</v>
      </c>
      <c r="AF221" s="2">
        <v>92.659069718377793</v>
      </c>
      <c r="AG221" s="2"/>
      <c r="AH221" s="2">
        <v>57.251231298257103</v>
      </c>
      <c r="AI221" s="2">
        <v>99.689769376674505</v>
      </c>
      <c r="AJ221" s="2"/>
      <c r="AK221" s="2"/>
      <c r="AL221" s="2">
        <v>87.755338875166601</v>
      </c>
      <c r="AM221" s="2">
        <v>101.50851834060801</v>
      </c>
      <c r="AN221" s="2">
        <v>118.823128972812</v>
      </c>
      <c r="AO221" s="2">
        <v>118.30101422539001</v>
      </c>
      <c r="AP221" s="3">
        <f t="shared" si="60"/>
        <v>70.224854568331892</v>
      </c>
      <c r="AQ221" s="3">
        <f t="shared" si="59"/>
        <v>68.468629573494795</v>
      </c>
      <c r="AR221" s="2">
        <v>5.7175515536064701E-3</v>
      </c>
      <c r="AS221" s="2">
        <v>1.72334617309856E-2</v>
      </c>
      <c r="AT221" s="2">
        <v>-2.5074417790229401E-2</v>
      </c>
      <c r="AU221" s="2">
        <v>1.5041040720960399E-2</v>
      </c>
      <c r="AX221" s="2"/>
      <c r="AY221" s="2"/>
      <c r="AZ221" s="2"/>
      <c r="BA221" s="2"/>
      <c r="BB221" s="2"/>
      <c r="BC221" s="2"/>
      <c r="BD221" s="2"/>
    </row>
    <row r="222" spans="1:56" x14ac:dyDescent="0.25">
      <c r="A222">
        <v>1999</v>
      </c>
      <c r="B222">
        <v>166.6</v>
      </c>
      <c r="C222" s="3">
        <f t="shared" si="56"/>
        <v>576.07192254495158</v>
      </c>
      <c r="D222">
        <v>279.91000000000003</v>
      </c>
      <c r="E222" s="3">
        <f t="shared" si="57"/>
        <v>1354.1848089017901</v>
      </c>
      <c r="F222" s="3">
        <f t="shared" si="54"/>
        <v>997.60479041916176</v>
      </c>
      <c r="G222">
        <v>842.55482815057258</v>
      </c>
      <c r="H222">
        <v>125.5</v>
      </c>
      <c r="I222" s="3">
        <f t="shared" si="52"/>
        <v>62.218599899511752</v>
      </c>
      <c r="K222">
        <v>278.64</v>
      </c>
      <c r="L222">
        <v>1.62</v>
      </c>
      <c r="M222" s="5">
        <f t="shared" si="50"/>
        <v>171.99999999999997</v>
      </c>
      <c r="N222" s="6">
        <f t="shared" si="51"/>
        <v>171.99999999999997</v>
      </c>
      <c r="O222" s="3">
        <f t="shared" si="58"/>
        <v>4047.0588235294108</v>
      </c>
      <c r="R222">
        <v>116.74057649667405</v>
      </c>
      <c r="S222">
        <f t="shared" si="55"/>
        <v>4360.2994350545077</v>
      </c>
      <c r="T222" s="3">
        <f t="shared" si="53"/>
        <v>107.73995697082363</v>
      </c>
      <c r="U222" s="2">
        <v>12.9139308604892</v>
      </c>
      <c r="V222">
        <v>36.617063561491001</v>
      </c>
      <c r="W222">
        <v>24.765497210990102</v>
      </c>
      <c r="X222">
        <v>15.186464392659399</v>
      </c>
      <c r="Y222" s="6">
        <f t="shared" si="61"/>
        <v>4518.4450104191792</v>
      </c>
      <c r="Z222" s="6">
        <f t="shared" si="62"/>
        <v>1626.6402037509047</v>
      </c>
      <c r="AA222" s="6">
        <f t="shared" si="63"/>
        <v>111.12222322135544</v>
      </c>
      <c r="AB222" s="7">
        <v>278.55</v>
      </c>
      <c r="AC222" s="2">
        <v>172.32746445000001</v>
      </c>
      <c r="AD222" s="3">
        <f t="shared" si="64"/>
        <v>0</v>
      </c>
      <c r="AE222" s="2">
        <v>55.714784795714202</v>
      </c>
      <c r="AF222" s="2">
        <v>94.1970545023988</v>
      </c>
      <c r="AG222" s="2"/>
      <c r="AH222" s="2">
        <v>61.020002894952498</v>
      </c>
      <c r="AI222" s="2">
        <v>103.830510149845</v>
      </c>
      <c r="AJ222" s="2"/>
      <c r="AK222" s="2"/>
      <c r="AL222" s="2">
        <v>92.916823521623897</v>
      </c>
      <c r="AM222" s="2">
        <v>109.800674450591</v>
      </c>
      <c r="AN222" s="2">
        <v>120.874688958275</v>
      </c>
      <c r="AO222" s="2">
        <v>122.60882493478</v>
      </c>
      <c r="AP222" s="3">
        <f t="shared" si="60"/>
        <v>73.487999512319291</v>
      </c>
      <c r="AQ222" s="3">
        <f t="shared" si="59"/>
        <v>69.09067092623215</v>
      </c>
      <c r="AR222" s="2">
        <v>1.13631355666838E-2</v>
      </c>
      <c r="AS222" s="2">
        <v>1.59278029539109E-2</v>
      </c>
      <c r="AT222" s="2">
        <v>8.8365243004418208E-3</v>
      </c>
      <c r="AU222" s="2">
        <v>1.7420092245850199E-2</v>
      </c>
      <c r="AX222" s="2"/>
      <c r="AY222" s="2"/>
      <c r="AZ222" s="2"/>
      <c r="BA222" s="2"/>
      <c r="BB222" s="2"/>
      <c r="BC222" s="2"/>
      <c r="BD222" s="2"/>
    </row>
    <row r="223" spans="1:56" x14ac:dyDescent="0.25">
      <c r="A223">
        <v>2000</v>
      </c>
      <c r="B223">
        <v>172.2</v>
      </c>
      <c r="C223" s="3">
        <f t="shared" si="56"/>
        <v>595.43568464730288</v>
      </c>
      <c r="D223">
        <v>280.10000000000002</v>
      </c>
      <c r="E223" s="3">
        <f t="shared" si="57"/>
        <v>1355.1040154813741</v>
      </c>
      <c r="F223" s="3">
        <f t="shared" si="54"/>
        <v>1031.1377245508982</v>
      </c>
      <c r="G223">
        <v>890.89263502454969</v>
      </c>
      <c r="H223">
        <v>132.69999999999999</v>
      </c>
      <c r="I223" s="3">
        <f t="shared" si="52"/>
        <v>65.743487204417846</v>
      </c>
      <c r="K223">
        <v>279.02999999999997</v>
      </c>
      <c r="L223">
        <v>1.52</v>
      </c>
      <c r="M223" s="5">
        <f t="shared" si="50"/>
        <v>183.5723684210526</v>
      </c>
      <c r="N223" s="6">
        <f t="shared" si="51"/>
        <v>183.5723684210526</v>
      </c>
      <c r="O223" s="3">
        <f t="shared" si="58"/>
        <v>4319.3498452012373</v>
      </c>
      <c r="R223">
        <v>119.69733924611974</v>
      </c>
      <c r="S223">
        <f t="shared" si="55"/>
        <v>4470.7355090648634</v>
      </c>
      <c r="T223" s="3">
        <f t="shared" si="53"/>
        <v>103.50482524660082</v>
      </c>
      <c r="U223" s="2">
        <v>17.9180025662193</v>
      </c>
      <c r="V223">
        <v>34.894594206810297</v>
      </c>
      <c r="W223">
        <v>26.406298386514798</v>
      </c>
      <c r="X223">
        <v>17.454584145454401</v>
      </c>
      <c r="Y223" s="6">
        <f t="shared" si="61"/>
        <v>4632.8865378910505</v>
      </c>
      <c r="Z223" s="6">
        <f t="shared" si="62"/>
        <v>1564.8861194654216</v>
      </c>
      <c r="AA223" s="6">
        <f t="shared" si="63"/>
        <v>106.75413856583273</v>
      </c>
      <c r="AB223" s="7">
        <v>279.10000000000002</v>
      </c>
      <c r="AC223" s="2">
        <v>187.03914410000002</v>
      </c>
      <c r="AD223" s="3">
        <f t="shared" si="64"/>
        <v>0</v>
      </c>
      <c r="AE223" s="2">
        <v>55.991698612065598</v>
      </c>
      <c r="AF223" s="2">
        <v>94.603677063564703</v>
      </c>
      <c r="AG223" s="2"/>
      <c r="AH223" s="2">
        <v>63.027563220071599</v>
      </c>
      <c r="AI223" s="2">
        <v>104.013728332573</v>
      </c>
      <c r="AJ223" s="2"/>
      <c r="AK223" s="2"/>
      <c r="AL223" s="2">
        <v>98.839780850158206</v>
      </c>
      <c r="AM223" s="2">
        <v>118.974408460265</v>
      </c>
      <c r="AN223" s="2">
        <v>122.695246357776</v>
      </c>
      <c r="AO223" s="2">
        <v>126.65181222607001</v>
      </c>
      <c r="AP223" s="3">
        <f t="shared" si="60"/>
        <v>76.940088983470702</v>
      </c>
      <c r="AQ223" s="3">
        <f t="shared" si="59"/>
        <v>69.076780820551804</v>
      </c>
      <c r="AR223" s="2">
        <v>2.5328532440428299E-2</v>
      </c>
      <c r="AS223" s="2">
        <v>1.5368878790682701E-2</v>
      </c>
      <c r="AT223" s="2">
        <v>5.7373449646905203E-2</v>
      </c>
      <c r="AU223" s="2">
        <v>2.0499564157775901E-2</v>
      </c>
      <c r="AX223" s="2"/>
      <c r="AY223" s="2"/>
      <c r="AZ223" s="2"/>
      <c r="BA223" s="2"/>
      <c r="BB223" s="2"/>
      <c r="BC223" s="2"/>
      <c r="BD223" s="2"/>
    </row>
    <row r="224" spans="1:56" x14ac:dyDescent="0.25">
      <c r="A224">
        <v>2001</v>
      </c>
      <c r="B224">
        <v>177.1</v>
      </c>
      <c r="C224" s="3">
        <f t="shared" si="56"/>
        <v>612.37897648686032</v>
      </c>
      <c r="D224">
        <v>272.22000000000003</v>
      </c>
      <c r="E224" s="3">
        <f t="shared" si="57"/>
        <v>1316.9811320754718</v>
      </c>
      <c r="F224" s="3">
        <f t="shared" si="54"/>
        <v>1060.4790419161677</v>
      </c>
      <c r="G224">
        <v>900.96301145662824</v>
      </c>
      <c r="H224">
        <v>134.19999999999999</v>
      </c>
      <c r="I224" s="3">
        <f t="shared" si="52"/>
        <v>68.411231528941684</v>
      </c>
      <c r="K224">
        <v>271.04000000000002</v>
      </c>
      <c r="L224">
        <v>1.44</v>
      </c>
      <c r="M224" s="5">
        <f t="shared" si="50"/>
        <v>188.22222222222226</v>
      </c>
      <c r="N224" s="6">
        <f t="shared" si="51"/>
        <v>188.22222222222226</v>
      </c>
      <c r="O224" s="3">
        <f t="shared" si="58"/>
        <v>4428.758169934641</v>
      </c>
      <c r="R224">
        <v>119.95565410199556</v>
      </c>
      <c r="S224">
        <f t="shared" si="55"/>
        <v>4480.3836550132746</v>
      </c>
      <c r="T224" s="3">
        <f t="shared" si="53"/>
        <v>101.1656876058192</v>
      </c>
      <c r="U224" s="2">
        <v>22.103435511134599</v>
      </c>
      <c r="V224">
        <v>35.185573483685197</v>
      </c>
      <c r="W224">
        <v>28.644504497409901</v>
      </c>
      <c r="X224">
        <v>18.6776817185598</v>
      </c>
      <c r="Y224" s="6">
        <f t="shared" si="61"/>
        <v>4642.8846165940668</v>
      </c>
      <c r="Z224" s="6">
        <f t="shared" si="62"/>
        <v>1485.7230773101014</v>
      </c>
      <c r="AA224" s="6">
        <f t="shared" si="63"/>
        <v>104.34156868579464</v>
      </c>
      <c r="AB224" s="7">
        <v>272.67</v>
      </c>
      <c r="AC224" s="2">
        <v>187.99642155000001</v>
      </c>
      <c r="AD224" s="3">
        <f t="shared" si="64"/>
        <v>0</v>
      </c>
      <c r="AE224" s="2">
        <v>55.5144652434169</v>
      </c>
      <c r="AF224" s="2">
        <v>93.873202683835103</v>
      </c>
      <c r="AG224" s="2"/>
      <c r="AH224" s="2">
        <v>62.486227524346603</v>
      </c>
      <c r="AI224" s="2">
        <v>101.44707706972</v>
      </c>
      <c r="AJ224" s="2"/>
      <c r="AK224" s="2"/>
      <c r="AL224" s="2">
        <v>105.374480511418</v>
      </c>
      <c r="AM224" s="2">
        <v>128.579506348725</v>
      </c>
      <c r="AN224" s="2">
        <v>124.315440698008</v>
      </c>
      <c r="AO224" s="2">
        <v>130.42825145329601</v>
      </c>
      <c r="AP224" s="3">
        <f t="shared" si="60"/>
        <v>80.48707609768671</v>
      </c>
      <c r="AQ224" s="3">
        <f t="shared" si="59"/>
        <v>68.552034183720735</v>
      </c>
      <c r="AR224" s="2">
        <v>2.1562425907121199E-3</v>
      </c>
      <c r="AS224" s="2">
        <v>1.55538272921529E-2</v>
      </c>
      <c r="AT224" s="2">
        <v>1.1303303438134901E-2</v>
      </c>
      <c r="AU224" s="2">
        <v>2.39561576777775E-2</v>
      </c>
      <c r="AX224" s="2"/>
      <c r="AY224" s="2"/>
      <c r="AZ224" s="2"/>
      <c r="BA224" s="2"/>
      <c r="BB224" s="2"/>
      <c r="BC224" s="2"/>
      <c r="BD224" s="2"/>
    </row>
    <row r="225" spans="1:56" x14ac:dyDescent="0.25">
      <c r="A225">
        <v>2002</v>
      </c>
      <c r="B225">
        <v>179.9</v>
      </c>
      <c r="C225" s="3">
        <f t="shared" si="56"/>
        <v>622.06085753803598</v>
      </c>
      <c r="D225">
        <v>311.33</v>
      </c>
      <c r="E225" s="3">
        <f t="shared" si="57"/>
        <v>1506.1925495887758</v>
      </c>
      <c r="F225" s="3">
        <f t="shared" si="54"/>
        <v>1077.245508982036</v>
      </c>
      <c r="G225">
        <v>880.15090016366594</v>
      </c>
      <c r="H225">
        <v>131.1</v>
      </c>
      <c r="I225" s="3">
        <f t="shared" si="52"/>
        <v>58.435483590990195</v>
      </c>
      <c r="K225">
        <v>309.68</v>
      </c>
      <c r="L225">
        <v>1.5</v>
      </c>
      <c r="M225" s="5">
        <f t="shared" si="50"/>
        <v>206.45333333333335</v>
      </c>
      <c r="N225" s="6">
        <f t="shared" si="51"/>
        <v>206.45333333333335</v>
      </c>
      <c r="O225" s="3">
        <f t="shared" si="58"/>
        <v>4857.7254901960787</v>
      </c>
      <c r="R225">
        <v>120.33481152993349</v>
      </c>
      <c r="S225">
        <f t="shared" si="55"/>
        <v>4494.5453112980676</v>
      </c>
      <c r="T225" s="3">
        <f t="shared" si="53"/>
        <v>92.523657838818067</v>
      </c>
      <c r="U225" s="2">
        <v>13.6805119892724</v>
      </c>
      <c r="V225">
        <v>29.262173007605298</v>
      </c>
      <c r="W225">
        <v>21.471342498438801</v>
      </c>
      <c r="X225">
        <v>18.838122610911402</v>
      </c>
      <c r="Y225" s="6">
        <f t="shared" si="61"/>
        <v>4657.5599080808988</v>
      </c>
      <c r="Z225" s="6">
        <f t="shared" si="62"/>
        <v>1552.5199693602995</v>
      </c>
      <c r="AA225" s="6">
        <f t="shared" si="63"/>
        <v>95.428240818823639</v>
      </c>
      <c r="AB225" s="7">
        <v>309.66000000000003</v>
      </c>
      <c r="AC225" s="2">
        <v>209.67</v>
      </c>
      <c r="AD225" s="3">
        <f t="shared" si="64"/>
        <v>0</v>
      </c>
      <c r="AE225" s="2">
        <v>54.278437652103101</v>
      </c>
      <c r="AF225" s="2">
        <v>92.085359874534007</v>
      </c>
      <c r="AG225" s="2"/>
      <c r="AH225" s="2">
        <v>59.255789985152198</v>
      </c>
      <c r="AI225" s="2">
        <v>97.050300061953394</v>
      </c>
      <c r="AJ225" s="2"/>
      <c r="AK225" s="2"/>
      <c r="AL225" s="2">
        <v>112.169794347551</v>
      </c>
      <c r="AM225" s="2">
        <v>137.85291001046599</v>
      </c>
      <c r="AN225" s="2">
        <v>125.740359042085</v>
      </c>
      <c r="AO225" s="2">
        <v>133.94249984823699</v>
      </c>
      <c r="AP225" s="3">
        <f t="shared" si="60"/>
        <v>83.947013089093033</v>
      </c>
      <c r="AQ225" s="3">
        <f t="shared" si="59"/>
        <v>67.578295734840395</v>
      </c>
      <c r="AR225" s="2">
        <v>3.16267816569131E-3</v>
      </c>
      <c r="AS225" s="2">
        <v>1.6579383045671098E-2</v>
      </c>
      <c r="AT225" s="2">
        <v>-2.3097584798437199E-2</v>
      </c>
      <c r="AU225" s="2">
        <v>2.7835312881786201E-2</v>
      </c>
      <c r="AX225" s="2"/>
      <c r="AY225" s="2"/>
      <c r="AZ225" s="2"/>
      <c r="BA225" s="2"/>
      <c r="BB225" s="2"/>
      <c r="BC225" s="2"/>
      <c r="BD225" s="2"/>
    </row>
    <row r="226" spans="1:56" x14ac:dyDescent="0.25">
      <c r="A226">
        <v>2003</v>
      </c>
      <c r="B226">
        <v>184</v>
      </c>
      <c r="C226" s="3">
        <f t="shared" si="56"/>
        <v>636.23789764868604</v>
      </c>
      <c r="D226">
        <v>364.8</v>
      </c>
      <c r="E226" s="3">
        <f t="shared" si="57"/>
        <v>1764.8766328011609</v>
      </c>
      <c r="F226" s="3">
        <f t="shared" si="54"/>
        <v>1101.7964071856288</v>
      </c>
      <c r="G226">
        <v>927.14599018003264</v>
      </c>
      <c r="H226">
        <v>138.1</v>
      </c>
      <c r="I226" s="3">
        <f t="shared" si="52"/>
        <v>52.533189739641664</v>
      </c>
      <c r="K226">
        <v>363.32</v>
      </c>
      <c r="L226">
        <v>1.64</v>
      </c>
      <c r="M226" s="5">
        <f t="shared" si="50"/>
        <v>221.53658536585365</v>
      </c>
      <c r="N226" s="6">
        <f t="shared" si="51"/>
        <v>221.53658536585365</v>
      </c>
      <c r="O226" s="3">
        <f t="shared" si="58"/>
        <v>5212.6255380200855</v>
      </c>
      <c r="R226" s="6">
        <f>R225*(101.3/99.8)</f>
        <v>122.14345098178619</v>
      </c>
      <c r="S226">
        <f t="shared" si="55"/>
        <v>4562.0985975400226</v>
      </c>
      <c r="T226" s="3">
        <f t="shared" si="53"/>
        <v>87.520167413998564</v>
      </c>
      <c r="U226" s="2">
        <v>9.3495142946706</v>
      </c>
      <c r="V226">
        <v>27.096583554579201</v>
      </c>
      <c r="W226">
        <v>18.223048924624901</v>
      </c>
      <c r="X226">
        <v>18.017940549233401</v>
      </c>
      <c r="Y226" s="6">
        <f t="shared" si="61"/>
        <v>4727.5633135129765</v>
      </c>
      <c r="Z226" s="6">
        <f t="shared" si="62"/>
        <v>1722.9341853691735</v>
      </c>
      <c r="AA226" s="6">
        <f t="shared" si="63"/>
        <v>90.267676479418228</v>
      </c>
      <c r="AB226" s="7">
        <v>362.90983935742963</v>
      </c>
      <c r="AC226" s="2">
        <v>222.19794128535273</v>
      </c>
      <c r="AD226" s="3">
        <f t="shared" si="64"/>
        <v>0</v>
      </c>
      <c r="AE226" s="2">
        <v>52.396324148024902</v>
      </c>
      <c r="AF226" s="2">
        <v>89.409645120147005</v>
      </c>
      <c r="AG226" s="2"/>
      <c r="AH226" s="2">
        <v>54.783968938414503</v>
      </c>
      <c r="AI226" s="2">
        <v>92.210781986703594</v>
      </c>
      <c r="AJ226" s="2"/>
      <c r="AK226" s="2"/>
      <c r="AL226" s="2">
        <v>118.625849395589</v>
      </c>
      <c r="AM226" s="2">
        <v>145.859866276491</v>
      </c>
      <c r="AN226" s="2">
        <v>126.967634046142</v>
      </c>
      <c r="AO226" s="2">
        <v>137.207732128137</v>
      </c>
      <c r="AP226" s="3">
        <f t="shared" si="60"/>
        <v>87.068931472163996</v>
      </c>
      <c r="AQ226" s="3">
        <f t="shared" si="59"/>
        <v>66.159492155776235</v>
      </c>
      <c r="AR226" s="2">
        <v>1.5029313279416199E-2</v>
      </c>
      <c r="AS226" s="2">
        <v>1.8408304791572499E-2</v>
      </c>
      <c r="AT226" s="2">
        <v>5.33999886383002E-2</v>
      </c>
      <c r="AU226" s="2">
        <v>3.20559413033372E-2</v>
      </c>
      <c r="AX226" s="2"/>
      <c r="AY226" s="2"/>
      <c r="AZ226" s="2"/>
      <c r="BA226" s="2"/>
      <c r="BB226" s="2"/>
      <c r="BC226" s="2"/>
      <c r="BD226" s="2"/>
    </row>
    <row r="227" spans="1:56" x14ac:dyDescent="0.25">
      <c r="A227">
        <v>2004</v>
      </c>
      <c r="B227">
        <v>188.9</v>
      </c>
      <c r="C227" s="3">
        <f t="shared" si="56"/>
        <v>653.18118948824338</v>
      </c>
      <c r="D227">
        <v>410.52</v>
      </c>
      <c r="E227" s="3">
        <f t="shared" si="57"/>
        <v>1986.0667634252538</v>
      </c>
      <c r="F227" s="3">
        <f t="shared" si="54"/>
        <v>1131.1377245508982</v>
      </c>
      <c r="G227">
        <v>984.8828150572831</v>
      </c>
      <c r="H227">
        <v>146.69999999999999</v>
      </c>
      <c r="I227" s="3">
        <f t="shared" si="52"/>
        <v>49.589612655251983</v>
      </c>
      <c r="K227">
        <v>409.17</v>
      </c>
      <c r="L227">
        <v>1.83</v>
      </c>
      <c r="M227" s="5">
        <f t="shared" si="50"/>
        <v>223.59016393442624</v>
      </c>
      <c r="N227" s="6">
        <f t="shared" si="51"/>
        <v>223.59016393442624</v>
      </c>
      <c r="O227" s="3">
        <f t="shared" si="58"/>
        <v>5260.9450337512053</v>
      </c>
      <c r="R227" s="6">
        <f>R226*(103.8/101.3)</f>
        <v>125.15785006820735</v>
      </c>
      <c r="S227">
        <f t="shared" si="55"/>
        <v>4674.68740794328</v>
      </c>
      <c r="T227" s="3">
        <f t="shared" si="53"/>
        <v>88.856419862841506</v>
      </c>
      <c r="U227" s="2">
        <v>8.0207247213668307</v>
      </c>
      <c r="V227">
        <v>31.381015061140701</v>
      </c>
      <c r="W227">
        <v>19.700869891253799</v>
      </c>
      <c r="X227">
        <v>16.325501459125299</v>
      </c>
      <c r="Y227" s="6">
        <f t="shared" si="61"/>
        <v>4844.2356558997717</v>
      </c>
      <c r="Z227" s="6">
        <f t="shared" si="62"/>
        <v>1969.9891667325739</v>
      </c>
      <c r="AA227" s="6">
        <f t="shared" si="63"/>
        <v>91.645877725039838</v>
      </c>
      <c r="AB227" s="7">
        <v>409.17182539682551</v>
      </c>
      <c r="AC227" s="2">
        <v>223.36338465945246</v>
      </c>
      <c r="AD227" s="3">
        <f t="shared" si="64"/>
        <v>0</v>
      </c>
      <c r="AE227" s="2">
        <v>50.016548664562102</v>
      </c>
      <c r="AF227" s="2">
        <v>86.019801306414294</v>
      </c>
      <c r="AG227" s="2"/>
      <c r="AH227" s="2">
        <v>50.049886058341897</v>
      </c>
      <c r="AI227" s="2">
        <v>86.8024741674149</v>
      </c>
      <c r="AJ227" s="2"/>
      <c r="AK227" s="2"/>
      <c r="AL227" s="2">
        <v>124.010074749091</v>
      </c>
      <c r="AM227" s="2">
        <v>151.690492877704</v>
      </c>
      <c r="AN227" s="2">
        <v>127.990294775891</v>
      </c>
      <c r="AO227" s="2">
        <v>140.21919801175699</v>
      </c>
      <c r="AP227" s="3">
        <f t="shared" si="60"/>
        <v>89.580393570580512</v>
      </c>
      <c r="AQ227" s="3">
        <f t="shared" si="59"/>
        <v>64.271162533228377</v>
      </c>
      <c r="AR227" s="2">
        <v>2.4679423949496699E-2</v>
      </c>
      <c r="AS227" s="2">
        <v>2.0869184221392199E-2</v>
      </c>
      <c r="AT227" s="2">
        <v>6.2266084236639103E-2</v>
      </c>
      <c r="AU227" s="2">
        <v>3.6027625499163003E-2</v>
      </c>
      <c r="AX227" s="2"/>
      <c r="AY227" s="2"/>
      <c r="AZ227" s="2"/>
      <c r="BA227" s="2"/>
      <c r="BB227" s="2"/>
      <c r="BC227" s="2"/>
      <c r="BD227" s="2"/>
    </row>
    <row r="228" spans="1:56" x14ac:dyDescent="0.25">
      <c r="A228">
        <v>2005</v>
      </c>
      <c r="B228">
        <v>195.3</v>
      </c>
      <c r="C228" s="3">
        <f t="shared" si="56"/>
        <v>675.31120331950206</v>
      </c>
      <c r="D228">
        <v>446</v>
      </c>
      <c r="E228" s="3">
        <f t="shared" si="57"/>
        <v>2157.7164973391386</v>
      </c>
      <c r="F228" s="3">
        <f t="shared" si="54"/>
        <v>1169.4610778443114</v>
      </c>
      <c r="G228">
        <v>1056.7181669394438</v>
      </c>
      <c r="H228">
        <v>157.4</v>
      </c>
      <c r="I228" s="3">
        <f t="shared" si="52"/>
        <v>48.97391145883028</v>
      </c>
      <c r="K228">
        <v>444.45</v>
      </c>
      <c r="L228">
        <v>1.82</v>
      </c>
      <c r="M228" s="5">
        <f t="shared" si="50"/>
        <v>244.2032967032967</v>
      </c>
      <c r="N228" s="6">
        <f t="shared" si="51"/>
        <v>244.2032967032967</v>
      </c>
      <c r="O228" s="3">
        <f t="shared" si="58"/>
        <v>5745.9599224305102</v>
      </c>
      <c r="R228" s="6">
        <f>R227*(106.7/103.8)</f>
        <v>128.65455300845593</v>
      </c>
      <c r="S228">
        <f t="shared" si="55"/>
        <v>4805.2904280110606</v>
      </c>
      <c r="T228" s="3">
        <f t="shared" si="53"/>
        <v>83.629027923648451</v>
      </c>
      <c r="U228" s="2">
        <v>9.0444255633984803</v>
      </c>
      <c r="V228">
        <v>29.2076966243465</v>
      </c>
      <c r="W228">
        <v>19.126061093872501</v>
      </c>
      <c r="X228">
        <v>13.8712223499404</v>
      </c>
      <c r="Y228" s="6">
        <f t="shared" si="61"/>
        <v>4979.5755730684568</v>
      </c>
      <c r="Z228" s="6">
        <f t="shared" si="62"/>
        <v>2013.9616762187982</v>
      </c>
      <c r="AA228" s="6">
        <f t="shared" si="63"/>
        <v>86.254382960568861</v>
      </c>
      <c r="AB228" s="7">
        <v>444.47220000000021</v>
      </c>
      <c r="AC228" s="2">
        <v>244.85611243871273</v>
      </c>
      <c r="AD228" s="3">
        <f t="shared" si="64"/>
        <v>0</v>
      </c>
      <c r="AE228" s="2">
        <v>47.283571893614202</v>
      </c>
      <c r="AF228" s="2">
        <v>82.081474867875002</v>
      </c>
      <c r="AG228" s="2"/>
      <c r="AH228" s="2">
        <v>45.1046733730048</v>
      </c>
      <c r="AI228" s="2">
        <v>79.495733931964295</v>
      </c>
      <c r="AJ228" s="2"/>
      <c r="AK228" s="2"/>
      <c r="AL228" s="2">
        <v>127.762641007657</v>
      </c>
      <c r="AM228" s="2">
        <v>154.82310888224001</v>
      </c>
      <c r="AN228" s="2">
        <v>128.78749395658599</v>
      </c>
      <c r="AO228" s="2">
        <v>142.92626989657899</v>
      </c>
      <c r="AP228" s="3">
        <f t="shared" si="60"/>
        <v>91.291506097993064</v>
      </c>
      <c r="AQ228" s="3">
        <f t="shared" si="59"/>
        <v>61.887542175143004</v>
      </c>
      <c r="AR228" s="2">
        <v>2.7937681429142901E-2</v>
      </c>
      <c r="AS228" s="2">
        <v>2.37568231115441E-2</v>
      </c>
      <c r="AT228" s="2">
        <v>7.29428965965397E-2</v>
      </c>
      <c r="AU228" s="2">
        <v>3.9373388499345997E-2</v>
      </c>
      <c r="AX228" s="2"/>
      <c r="AY228" s="2"/>
      <c r="AZ228" s="2"/>
      <c r="BA228" s="2"/>
      <c r="BB228" s="2"/>
      <c r="BC228" s="2"/>
      <c r="BD228" s="2"/>
    </row>
    <row r="229" spans="1:56" x14ac:dyDescent="0.25">
      <c r="A229">
        <v>2006</v>
      </c>
      <c r="B229">
        <v>201.6</v>
      </c>
      <c r="C229" s="3">
        <f t="shared" si="56"/>
        <v>697.09543568464721</v>
      </c>
      <c r="D229">
        <v>606</v>
      </c>
      <c r="E229" s="3">
        <f t="shared" si="57"/>
        <v>2931.7851959361392</v>
      </c>
      <c r="F229" s="3">
        <f t="shared" si="54"/>
        <v>1207.1856287425151</v>
      </c>
      <c r="G229">
        <v>1105.7273322422261</v>
      </c>
      <c r="H229">
        <v>164.7</v>
      </c>
      <c r="I229" s="3">
        <f t="shared" si="52"/>
        <v>37.715155045291773</v>
      </c>
      <c r="K229">
        <v>603.77</v>
      </c>
      <c r="L229">
        <v>1.84</v>
      </c>
      <c r="M229" s="5">
        <f t="shared" si="50"/>
        <v>328.13586956521738</v>
      </c>
      <c r="N229" s="6">
        <f t="shared" si="51"/>
        <v>328.13586956521738</v>
      </c>
      <c r="O229" s="3">
        <f t="shared" si="58"/>
        <v>7720.8439897698199</v>
      </c>
      <c r="R229" s="6">
        <f>R228*(109.3/106.7)</f>
        <v>131.78952805833396</v>
      </c>
      <c r="S229">
        <f t="shared" si="55"/>
        <v>4922.3827908304484</v>
      </c>
      <c r="T229" s="3">
        <f t="shared" si="53"/>
        <v>63.754465151123959</v>
      </c>
      <c r="U229" s="2">
        <v>-0.52910088519672605</v>
      </c>
      <c r="V229">
        <v>12.498876501776101</v>
      </c>
      <c r="W229">
        <v>5.9848878082896704</v>
      </c>
      <c r="X229">
        <v>10.799273915353499</v>
      </c>
      <c r="Y229" s="6">
        <f t="shared" si="61"/>
        <v>5100.9148091507241</v>
      </c>
      <c r="Z229" s="6">
        <f t="shared" si="62"/>
        <v>2085.7073886305184</v>
      </c>
      <c r="AA229" s="6">
        <f t="shared" si="63"/>
        <v>65.755900661811495</v>
      </c>
      <c r="AB229" s="7">
        <v>603.91999999999996</v>
      </c>
      <c r="AC229" s="2">
        <v>327.60000000000002</v>
      </c>
      <c r="AD229" s="3">
        <f t="shared" si="64"/>
        <v>0</v>
      </c>
      <c r="AE229" s="2">
        <v>44.331289040435102</v>
      </c>
      <c r="AF229" s="2">
        <v>77.803314226003806</v>
      </c>
      <c r="AG229" s="2"/>
      <c r="AH229" s="2">
        <v>39.636167557692801</v>
      </c>
      <c r="AI229" s="2">
        <v>70.133427219090294</v>
      </c>
      <c r="AJ229" s="2"/>
      <c r="AK229" s="2"/>
      <c r="AL229" s="2">
        <v>129.60361802339801</v>
      </c>
      <c r="AM229" s="2">
        <v>155.200128429459</v>
      </c>
      <c r="AN229" s="2">
        <v>129.31428136572001</v>
      </c>
      <c r="AO229" s="2">
        <v>145.21732819996501</v>
      </c>
      <c r="AP229" s="3">
        <f t="shared" si="60"/>
        <v>92.120894568309524</v>
      </c>
      <c r="AQ229" s="3">
        <f t="shared" si="59"/>
        <v>59.024693433144165</v>
      </c>
      <c r="AR229" s="2">
        <v>2.43668956504186E-2</v>
      </c>
      <c r="AS229" s="2">
        <v>2.6904125635722798E-2</v>
      </c>
      <c r="AT229" s="2">
        <v>4.6379362555833102E-2</v>
      </c>
      <c r="AU229" s="2">
        <v>4.1978637921343299E-2</v>
      </c>
      <c r="AX229" s="2"/>
      <c r="AY229" s="2"/>
      <c r="AZ229" s="2"/>
      <c r="BA229" s="2"/>
      <c r="BB229" s="2"/>
      <c r="BC229" s="2"/>
      <c r="BD229" s="2"/>
    </row>
    <row r="230" spans="1:56" x14ac:dyDescent="0.25">
      <c r="A230">
        <v>2007</v>
      </c>
      <c r="B230">
        <v>207.34</v>
      </c>
      <c r="C230" s="3">
        <f t="shared" si="56"/>
        <v>716.94329183955733</v>
      </c>
      <c r="D230">
        <v>699</v>
      </c>
      <c r="E230" s="3">
        <f t="shared" si="57"/>
        <v>3381.7126269956457</v>
      </c>
      <c r="F230" s="3">
        <f t="shared" si="54"/>
        <v>1241.556886227545</v>
      </c>
      <c r="G230">
        <v>1158.7646481178399</v>
      </c>
      <c r="H230">
        <v>172.6</v>
      </c>
      <c r="I230" s="3">
        <f t="shared" si="52"/>
        <v>34.26561556022282</v>
      </c>
      <c r="K230">
        <v>695.39</v>
      </c>
      <c r="L230">
        <v>2</v>
      </c>
      <c r="M230" s="5">
        <f t="shared" si="50"/>
        <v>347.69499999999999</v>
      </c>
      <c r="N230" s="6">
        <f t="shared" si="51"/>
        <v>347.69499999999999</v>
      </c>
      <c r="O230" s="3">
        <f t="shared" si="58"/>
        <v>8181.0588235294117</v>
      </c>
      <c r="R230" s="6">
        <f>R229*(112.6/109.3)</f>
        <v>135.76853485240991</v>
      </c>
      <c r="S230">
        <f t="shared" si="55"/>
        <v>5071.0000205627493</v>
      </c>
      <c r="T230" s="3">
        <f t="shared" si="53"/>
        <v>61.984641963190967</v>
      </c>
      <c r="U230" s="2">
        <v>-2.26957233038104</v>
      </c>
      <c r="V230">
        <v>14.0168221115309</v>
      </c>
      <c r="W230">
        <v>5.8736248905749404</v>
      </c>
      <c r="X230">
        <v>7.3063752364785302</v>
      </c>
      <c r="Y230" s="6">
        <f t="shared" si="61"/>
        <v>5254.9223011012946</v>
      </c>
      <c r="Z230" s="6">
        <f t="shared" si="62"/>
        <v>2335.5210227116863</v>
      </c>
      <c r="AA230" s="6">
        <f t="shared" si="63"/>
        <v>63.930517648106758</v>
      </c>
      <c r="AB230" s="7">
        <v>695.39342629482087</v>
      </c>
      <c r="AC230" s="2">
        <v>347.11789501683484</v>
      </c>
      <c r="AD230" s="3">
        <f t="shared" si="64"/>
        <v>0</v>
      </c>
      <c r="AE230" s="2">
        <v>41.304659591342599</v>
      </c>
      <c r="AF230" s="2">
        <v>73.420053053596604</v>
      </c>
      <c r="AG230" s="2"/>
      <c r="AH230" s="2">
        <v>34.427314163360798</v>
      </c>
      <c r="AI230" s="2">
        <v>60.289841990209901</v>
      </c>
      <c r="AJ230" s="2"/>
      <c r="AK230" s="2"/>
      <c r="AL230" s="2">
        <v>129.57844923834901</v>
      </c>
      <c r="AM230" s="2">
        <v>153.21953456989601</v>
      </c>
      <c r="AN230" s="2">
        <v>129.49363184121901</v>
      </c>
      <c r="AO230" s="2">
        <v>146.93129064031299</v>
      </c>
      <c r="AP230" s="3">
        <f t="shared" si="60"/>
        <v>92.10237442740241</v>
      </c>
      <c r="AQ230" s="3">
        <f t="shared" si="59"/>
        <v>55.690895247520203</v>
      </c>
      <c r="AR230" s="2">
        <v>3.0192711655743699E-2</v>
      </c>
      <c r="AS230" s="2">
        <v>3.0185804550799201E-2</v>
      </c>
      <c r="AT230" s="2">
        <v>4.7959266728767297E-2</v>
      </c>
      <c r="AU230" s="2">
        <v>4.4064476463583899E-2</v>
      </c>
      <c r="AX230" s="2"/>
      <c r="AY230" s="2"/>
      <c r="AZ230" s="2"/>
      <c r="BA230" s="2"/>
      <c r="BB230" s="2"/>
      <c r="BC230" s="2"/>
      <c r="BD230" s="2"/>
    </row>
    <row r="231" spans="1:56" x14ac:dyDescent="0.25">
      <c r="A231">
        <v>2008</v>
      </c>
      <c r="B231">
        <v>215.3</v>
      </c>
      <c r="C231" s="3">
        <f t="shared" si="56"/>
        <v>744.46749654218524</v>
      </c>
      <c r="D231">
        <v>874</v>
      </c>
      <c r="E231" s="3">
        <f t="shared" si="57"/>
        <v>4228.350266086115</v>
      </c>
      <c r="F231" s="3">
        <f t="shared" si="54"/>
        <v>1289.2215568862275</v>
      </c>
      <c r="G231">
        <v>1272.8955810147302</v>
      </c>
      <c r="H231">
        <v>189.6</v>
      </c>
      <c r="I231" s="3">
        <f t="shared" si="52"/>
        <v>30.103834850771708</v>
      </c>
      <c r="K231">
        <v>871.96</v>
      </c>
      <c r="L231">
        <v>1.85</v>
      </c>
      <c r="M231" s="5">
        <f t="shared" si="50"/>
        <v>471.32972972972971</v>
      </c>
      <c r="N231" s="6">
        <f t="shared" si="51"/>
        <v>471.32972972972971</v>
      </c>
      <c r="O231" s="3">
        <f t="shared" si="58"/>
        <v>11090.111287758347</v>
      </c>
      <c r="R231" s="6">
        <f>R230*(111.4/104.4)</f>
        <v>144.87178910496613</v>
      </c>
      <c r="S231">
        <f t="shared" si="55"/>
        <v>5411.0096004855386</v>
      </c>
      <c r="T231" s="3">
        <f t="shared" si="53"/>
        <v>48.791301187918648</v>
      </c>
      <c r="U231" s="2">
        <v>-4.69670647811677</v>
      </c>
      <c r="V231">
        <v>4.2338200322378698</v>
      </c>
      <c r="W231">
        <v>-0.231443222939447</v>
      </c>
      <c r="X231">
        <v>3.54110153335894</v>
      </c>
      <c r="Y231" s="6">
        <f t="shared" si="61"/>
        <v>5607.2638347000402</v>
      </c>
      <c r="Z231" s="6">
        <f t="shared" si="62"/>
        <v>2305.2084653766833</v>
      </c>
      <c r="AA231" s="6">
        <f t="shared" si="63"/>
        <v>50.323000067027351</v>
      </c>
      <c r="AB231" s="7">
        <v>871.65251937984499</v>
      </c>
      <c r="AC231" s="2">
        <v>473.17235434529039</v>
      </c>
      <c r="AD231" s="3">
        <f t="shared" si="64"/>
        <v>0</v>
      </c>
      <c r="AE231" s="2"/>
      <c r="AF231" s="2"/>
      <c r="AG231" s="2"/>
      <c r="AH231" s="2">
        <v>29.472336221732501</v>
      </c>
      <c r="AI231" s="2">
        <v>49.774790467043303</v>
      </c>
      <c r="AJ231" s="2">
        <v>52</v>
      </c>
      <c r="AK231" s="2">
        <v>29</v>
      </c>
      <c r="AL231" s="2">
        <v>128.22354191430901</v>
      </c>
      <c r="AM231" s="2">
        <v>149.67460906979599</v>
      </c>
      <c r="AN231" s="2">
        <v>129.211177407354</v>
      </c>
      <c r="AO231" s="2">
        <v>147.86540165401999</v>
      </c>
      <c r="AP231" s="3">
        <f>(AVERAGE(AL231:AO231))*AVERAGE($AN$250:$AO$250)/AVERAGE($AL$206:$AO$206)</f>
        <v>91.402712244960981</v>
      </c>
      <c r="AQ231" s="3">
        <f t="shared" si="59"/>
        <v>51.907366175260215</v>
      </c>
      <c r="AR231" s="2">
        <v>6.7049891540130094E-2</v>
      </c>
      <c r="AS231" s="2">
        <v>3.3451200313791098E-2</v>
      </c>
      <c r="AT231" s="2">
        <v>9.8501846801753598E-2</v>
      </c>
      <c r="AU231" s="2">
        <v>4.5896014070841797E-2</v>
      </c>
      <c r="AX231" s="2"/>
      <c r="AY231" s="2"/>
      <c r="AZ231" s="2"/>
      <c r="BA231" s="2"/>
      <c r="BB231" s="2"/>
      <c r="BC231" s="2"/>
      <c r="BD231" s="2"/>
    </row>
    <row r="232" spans="1:56" x14ac:dyDescent="0.25">
      <c r="A232">
        <v>2009</v>
      </c>
      <c r="B232">
        <v>214.54</v>
      </c>
      <c r="C232" s="3">
        <f t="shared" si="56"/>
        <v>741.83955739972328</v>
      </c>
      <c r="D232">
        <v>975</v>
      </c>
      <c r="E232" s="3">
        <f t="shared" si="57"/>
        <v>4716.9811320754716</v>
      </c>
      <c r="F232" s="3">
        <f t="shared" si="54"/>
        <v>1284.6706586826349</v>
      </c>
      <c r="G232">
        <v>1160.7787234042555</v>
      </c>
      <c r="H232">
        <v>172.9</v>
      </c>
      <c r="I232" s="3">
        <f t="shared" si="52"/>
        <v>24.608508936170217</v>
      </c>
      <c r="K232">
        <v>972.35</v>
      </c>
      <c r="L232">
        <v>1.57</v>
      </c>
      <c r="M232" s="5">
        <f t="shared" si="50"/>
        <v>619.33121019108285</v>
      </c>
      <c r="N232" s="6">
        <f t="shared" si="51"/>
        <v>619.33121019108285</v>
      </c>
      <c r="O232" s="3">
        <f t="shared" si="58"/>
        <v>14572.499063319598</v>
      </c>
      <c r="R232" s="6">
        <f>R231*(113.2/111.4)</f>
        <v>147.2126259127663</v>
      </c>
      <c r="S232">
        <f t="shared" si="55"/>
        <v>5498.4406353228278</v>
      </c>
      <c r="T232" s="3">
        <f t="shared" si="53"/>
        <v>37.731624558226528</v>
      </c>
      <c r="U232" s="2">
        <v>-8.4102210343667103</v>
      </c>
      <c r="V232">
        <v>-3.2978239969552301</v>
      </c>
      <c r="W232">
        <v>-5.8540225156609704</v>
      </c>
      <c r="X232">
        <v>-0.36229947742095298</v>
      </c>
      <c r="Y232" s="6">
        <f t="shared" si="61"/>
        <v>5697.8659433397188</v>
      </c>
      <c r="Z232" s="6">
        <f t="shared" si="62"/>
        <v>1987.9221180096354</v>
      </c>
      <c r="AA232" s="6">
        <f t="shared" si="63"/>
        <v>38.916128468466503</v>
      </c>
      <c r="AB232" s="7">
        <v>950.71673437271261</v>
      </c>
      <c r="AC232" s="2">
        <v>610.09501850068102</v>
      </c>
      <c r="AD232" s="3">
        <f t="shared" si="64"/>
        <v>0</v>
      </c>
      <c r="AE232" s="2"/>
      <c r="AF232" s="2"/>
      <c r="AG232" s="2"/>
      <c r="AH232" s="2">
        <v>24.603018710078199</v>
      </c>
      <c r="AI232" s="2">
        <v>39.314804207907599</v>
      </c>
      <c r="AJ232" s="2"/>
      <c r="AK232" s="2"/>
      <c r="AL232" s="2">
        <v>125.909518820695</v>
      </c>
      <c r="AM232" s="2">
        <v>145.09573834969899</v>
      </c>
      <c r="AN232" s="2">
        <v>128.30921376998299</v>
      </c>
      <c r="AO232" s="2">
        <v>147.77719277108201</v>
      </c>
      <c r="AP232" s="3">
        <f>(AVERAGE(AL232:AO232))*AVERAGE($AN$250:$AO$250)/AVERAGE($AL$206:$AO$206)</f>
        <v>90.104394313120522</v>
      </c>
      <c r="AQ232" s="3">
        <f t="shared" si="59"/>
        <v>47.797891713183198</v>
      </c>
      <c r="AR232" s="2">
        <v>1.6157796788399799E-2</v>
      </c>
      <c r="AS232" s="2">
        <v>3.6549722452765498E-2</v>
      </c>
      <c r="AT232" s="2">
        <v>-8.8082331683557294E-2</v>
      </c>
      <c r="AU232" s="2">
        <v>4.7777308590542703E-2</v>
      </c>
      <c r="AX232" s="2"/>
      <c r="AY232" s="2"/>
      <c r="AZ232" s="2"/>
      <c r="BA232" s="2"/>
      <c r="BB232" s="2"/>
      <c r="BC232" s="2"/>
      <c r="BD232" s="2"/>
    </row>
    <row r="233" spans="1:56" x14ac:dyDescent="0.25">
      <c r="A233">
        <v>2010</v>
      </c>
      <c r="B233">
        <v>218.06</v>
      </c>
      <c r="C233" s="3">
        <f t="shared" si="56"/>
        <v>754.0110650069156</v>
      </c>
      <c r="D233">
        <v>1230</v>
      </c>
      <c r="E233" s="3">
        <f t="shared" si="57"/>
        <v>5950.6531204644407</v>
      </c>
      <c r="F233" s="3">
        <f t="shared" si="54"/>
        <v>1305.7485029940121</v>
      </c>
      <c r="G233">
        <v>1239.9990180032732</v>
      </c>
      <c r="H233">
        <v>184.7</v>
      </c>
      <c r="I233" s="3">
        <f t="shared" si="52"/>
        <v>20.838032278152568</v>
      </c>
      <c r="K233">
        <v>1224.53</v>
      </c>
      <c r="L233">
        <v>1.55</v>
      </c>
      <c r="M233" s="5">
        <f t="shared" si="50"/>
        <v>790.01935483870966</v>
      </c>
      <c r="N233" s="6">
        <f t="shared" si="51"/>
        <v>790.01935483870966</v>
      </c>
      <c r="O233" s="3">
        <f t="shared" si="58"/>
        <v>18588.690702087286</v>
      </c>
      <c r="R233" s="6">
        <f>R232*(117.9/113.2)</f>
        <v>153.3248109109112</v>
      </c>
      <c r="S233">
        <f t="shared" si="55"/>
        <v>5726.7327818424155</v>
      </c>
      <c r="T233" s="3">
        <f t="shared" si="53"/>
        <v>30.807617780198861</v>
      </c>
      <c r="U233" s="2">
        <v>-10.3698337050928</v>
      </c>
      <c r="V233">
        <v>-6.5657850763777796</v>
      </c>
      <c r="W233">
        <v>-8.4678093907352796</v>
      </c>
      <c r="X233">
        <v>-4.3073055268397997</v>
      </c>
      <c r="Y233" s="6">
        <f t="shared" si="61"/>
        <v>5934.4381158988754</v>
      </c>
      <c r="Z233" s="6">
        <f t="shared" si="62"/>
        <v>2044.0842399207238</v>
      </c>
      <c r="AA233" s="6">
        <f t="shared" si="63"/>
        <v>31.774757259430952</v>
      </c>
      <c r="AE233" s="2"/>
      <c r="AF233" s="2"/>
      <c r="AG233" s="2"/>
      <c r="AH233" s="2"/>
      <c r="AI233" s="2"/>
      <c r="AJ233" s="2"/>
      <c r="AK233" s="2"/>
      <c r="AL233" s="2">
        <v>122.84376730778099</v>
      </c>
      <c r="AM233" s="2">
        <v>139.74696273945301</v>
      </c>
      <c r="AN233" s="2">
        <v>126.59192486089</v>
      </c>
      <c r="AO233" s="2">
        <v>146.422841504952</v>
      </c>
      <c r="AP233" s="3">
        <f>(AVERAGE(AL233:AO233))*AVERAGE($AN$250:$AO$250)/AVERAGE($AL$206:$AO$206)</f>
        <v>88.212656207701656</v>
      </c>
      <c r="AQ233" s="3">
        <f t="shared" si="59"/>
        <v>43.606278326184579</v>
      </c>
      <c r="AR233" s="2">
        <v>4.1519049039363799E-2</v>
      </c>
      <c r="AS233" s="2">
        <v>3.9666767408053E-2</v>
      </c>
      <c r="AT233" s="2">
        <v>6.8247213080859404E-2</v>
      </c>
      <c r="AU233" s="2">
        <v>5.0538476197421502E-2</v>
      </c>
      <c r="AX233" s="2"/>
      <c r="AY233" s="2"/>
      <c r="AZ233" s="2"/>
      <c r="BA233" s="2"/>
      <c r="BB233" s="2"/>
      <c r="BC233" s="2"/>
      <c r="BD233" s="2"/>
    </row>
    <row r="234" spans="1:56" x14ac:dyDescent="0.25">
      <c r="A234">
        <v>2011</v>
      </c>
      <c r="G234">
        <v>1350.1018003273323</v>
      </c>
      <c r="H234">
        <v>201.1</v>
      </c>
      <c r="AE234" s="2"/>
      <c r="AF234" s="2"/>
      <c r="AG234" s="2"/>
      <c r="AH234" s="2"/>
      <c r="AI234" s="2"/>
      <c r="AJ234" s="2"/>
      <c r="AK234" s="2"/>
      <c r="AL234" s="2">
        <v>119.13857953763301</v>
      </c>
      <c r="AM234" s="2">
        <v>133.69376518540599</v>
      </c>
      <c r="AN234" s="2">
        <v>123.85980247416001</v>
      </c>
      <c r="AO234" s="2">
        <v>143.62605344137401</v>
      </c>
      <c r="AP234" s="3">
        <f t="shared" si="60"/>
        <v>85.694883377637836</v>
      </c>
      <c r="AQ234" s="3">
        <f t="shared" si="59"/>
        <v>39.59750920847312</v>
      </c>
      <c r="AR234" s="2"/>
      <c r="AS234" s="2"/>
      <c r="AT234" s="2">
        <v>8.8790322580644995E-2</v>
      </c>
      <c r="AU234" s="2">
        <v>5.3651036663471902E-2</v>
      </c>
      <c r="AX234" s="2"/>
      <c r="AY234" s="2"/>
      <c r="AZ234" s="2"/>
      <c r="BA234" s="2"/>
      <c r="BB234" s="2"/>
      <c r="BC234" s="2"/>
      <c r="BD234" s="2"/>
    </row>
    <row r="235" spans="1:56" x14ac:dyDescent="0.25">
      <c r="A235">
        <v>2012</v>
      </c>
      <c r="AE235" s="2"/>
      <c r="AF235" s="2"/>
      <c r="AG235" s="2"/>
      <c r="AH235" s="2"/>
      <c r="AI235" s="2"/>
      <c r="AJ235" s="2"/>
      <c r="AK235" s="2"/>
      <c r="AL235" s="2">
        <v>114.81280999924</v>
      </c>
      <c r="AM235" s="2">
        <v>126.90455900651099</v>
      </c>
      <c r="AN235" s="2">
        <v>119.969319155268</v>
      </c>
      <c r="AO235" s="2">
        <v>139.334505751042</v>
      </c>
      <c r="AP235" s="3">
        <f>(AVERAGE(AL235:AO235))*AVERAGE($AN$250:$AO$250)/AVERAGE($AL$206:$AO$206)</f>
        <v>82.516722900190672</v>
      </c>
      <c r="AQ235" s="3">
        <f t="shared" si="59"/>
        <v>35.968022166409582</v>
      </c>
      <c r="AR235" s="2"/>
      <c r="AS235" s="2"/>
      <c r="AT235" s="2"/>
      <c r="AU235" s="2"/>
      <c r="AX235" s="2"/>
      <c r="AY235" s="2"/>
      <c r="AZ235" s="2"/>
      <c r="BA235" s="2"/>
      <c r="BB235" s="2"/>
      <c r="BC235" s="2"/>
      <c r="BD235" s="2"/>
    </row>
    <row r="236" spans="1:56" x14ac:dyDescent="0.25">
      <c r="A236">
        <v>2013</v>
      </c>
      <c r="AE236" s="2"/>
      <c r="AF236" s="2"/>
      <c r="AG236" s="2"/>
      <c r="AH236" s="2"/>
      <c r="AI236" s="2"/>
      <c r="AJ236" s="2"/>
      <c r="AK236" s="2"/>
      <c r="AL236" s="2">
        <v>109.890927386214</v>
      </c>
      <c r="AM236" s="2">
        <v>119.422719869868</v>
      </c>
      <c r="AN236" s="2">
        <v>114.862649424949</v>
      </c>
      <c r="AO236" s="2">
        <v>133.66821507023801</v>
      </c>
      <c r="AP236" s="3">
        <f>(AVERAGE(AL236:AO236))*AVERAGE($AN$250:$AO$250)/AVERAGE($AL$206:$AO$206)</f>
        <v>78.69959124419222</v>
      </c>
      <c r="AQ236" s="3">
        <f t="shared" si="59"/>
        <v>32.809497274343833</v>
      </c>
      <c r="AR236" s="2"/>
      <c r="AS236" s="2"/>
      <c r="AT236" s="2"/>
      <c r="AU236" s="2"/>
      <c r="AX236" s="2"/>
      <c r="AY236" s="2"/>
      <c r="AZ236" s="2"/>
      <c r="BA236" s="2"/>
      <c r="BB236" s="2"/>
      <c r="BC236" s="2"/>
      <c r="BD236" s="2"/>
    </row>
    <row r="237" spans="1:56" x14ac:dyDescent="0.25">
      <c r="A237">
        <v>2014</v>
      </c>
      <c r="AE237" s="2"/>
      <c r="AF237" s="2"/>
      <c r="AG237" s="2"/>
      <c r="AH237" s="2"/>
      <c r="AI237" s="2"/>
      <c r="AJ237" s="2"/>
      <c r="AK237" s="2"/>
      <c r="AL237" s="2">
        <v>104.406272292175</v>
      </c>
      <c r="AM237" s="2">
        <v>111.32287785251199</v>
      </c>
      <c r="AN237" s="2">
        <v>108.49177461238401</v>
      </c>
      <c r="AO237" s="2">
        <v>126.63425297773</v>
      </c>
      <c r="AP237" s="3">
        <f>(AVERAGE(AL237:AO237))*AVERAGE($AN$250:$AO$250)/AVERAGE($AL$206:$AO$206)</f>
        <v>74.254526996693599</v>
      </c>
      <c r="AQ237" s="3">
        <f t="shared" si="59"/>
        <v>30.153081908980504</v>
      </c>
      <c r="AX237" s="2"/>
      <c r="AY237" s="2"/>
      <c r="AZ237" s="2"/>
      <c r="BA237" s="2"/>
      <c r="BB237" s="2"/>
      <c r="BC237" s="2"/>
      <c r="BD237" s="2"/>
    </row>
    <row r="238" spans="1:56" x14ac:dyDescent="0.25">
      <c r="A238">
        <v>2015</v>
      </c>
      <c r="AE238" s="2"/>
      <c r="AF238" s="2"/>
      <c r="AG238" s="2"/>
      <c r="AH238" s="2"/>
      <c r="AI238" s="2"/>
      <c r="AJ238" s="2"/>
      <c r="AK238" s="2"/>
      <c r="AL238" s="2">
        <v>98.398276036881796</v>
      </c>
      <c r="AM238" s="2">
        <v>102.74473583277801</v>
      </c>
      <c r="AN238" s="2">
        <v>100.854049552505</v>
      </c>
      <c r="AO238" s="2">
        <v>118.227908901587</v>
      </c>
      <c r="AP238" s="3">
        <f>(AVERAGE(AL238:AO238))*AVERAGE($AN$250:$AO$250)/AVERAGE($AL$206:$AO$206)</f>
        <v>69.20982156701362</v>
      </c>
      <c r="AQ238" s="3">
        <f t="shared" si="59"/>
        <v>28.002989419986655</v>
      </c>
      <c r="AX238" s="2"/>
      <c r="AY238" s="2"/>
      <c r="AZ238" s="2"/>
      <c r="BA238" s="2"/>
      <c r="BB238" s="2"/>
      <c r="BC238" s="2"/>
      <c r="BD238" s="2"/>
    </row>
    <row r="239" spans="1:56" x14ac:dyDescent="0.25">
      <c r="A239">
        <v>2016</v>
      </c>
      <c r="AE239" s="2"/>
      <c r="AF239" s="2"/>
      <c r="AG239" s="2"/>
      <c r="AH239" s="2"/>
      <c r="AI239" s="2"/>
      <c r="AJ239" s="2"/>
      <c r="AK239" s="2"/>
      <c r="AL239" s="2">
        <v>91.983307217169596</v>
      </c>
      <c r="AM239" s="2">
        <v>93.952967910478904</v>
      </c>
      <c r="AN239" s="2">
        <v>92.267411334120894</v>
      </c>
      <c r="AO239" s="2">
        <v>108.752329740099</v>
      </c>
      <c r="AP239" s="3">
        <f>(AVERAGE(AL239:AO239))*AVERAGE($AN$250:$AO$250)/AVERAGE($AL$206:$AO$206)</f>
        <v>63.730522284244266</v>
      </c>
      <c r="AQ239" s="3">
        <f t="shared" si="59"/>
        <v>26.369017082744172</v>
      </c>
      <c r="AX239" s="2"/>
      <c r="AY239" s="2"/>
      <c r="AZ239" s="2"/>
      <c r="BA239" s="2"/>
      <c r="BB239" s="2"/>
      <c r="BC239" s="2"/>
      <c r="BD239" s="2"/>
    </row>
    <row r="240" spans="1:56" x14ac:dyDescent="0.25">
      <c r="A240">
        <v>2017</v>
      </c>
      <c r="AE240" s="2"/>
      <c r="AF240" s="2"/>
      <c r="AG240" s="2"/>
      <c r="AH240" s="2"/>
      <c r="AI240" s="2"/>
      <c r="AJ240" s="2"/>
      <c r="AK240" s="2"/>
      <c r="AL240" s="2">
        <v>85.394751669505894</v>
      </c>
      <c r="AM240" s="2">
        <v>85.374000827096296</v>
      </c>
      <c r="AN240" s="2">
        <v>83.320856550513895</v>
      </c>
      <c r="AO240" s="2">
        <v>98.932483302540902</v>
      </c>
      <c r="AP240" s="3">
        <f>(AVERAGE(AL240:AO240))*AVERAGE($AN$250:$AO$250)/AVERAGE($AL$206:$AO$206)</f>
        <v>58.141704434912768</v>
      </c>
      <c r="AQ240" s="3">
        <f t="shared" si="59"/>
        <v>25.26976564841339</v>
      </c>
      <c r="AX240" s="2"/>
      <c r="AY240" s="2"/>
      <c r="AZ240" s="2"/>
      <c r="BA240" s="2"/>
      <c r="BB240" s="2"/>
      <c r="BC240" s="2"/>
      <c r="BD240" s="2"/>
    </row>
    <row r="241" spans="1:56" x14ac:dyDescent="0.25">
      <c r="A241">
        <v>2018</v>
      </c>
      <c r="AE241" s="2"/>
      <c r="AF241" s="2"/>
      <c r="AG241" s="2"/>
      <c r="AH241" s="2"/>
      <c r="AI241" s="2"/>
      <c r="AJ241" s="2"/>
      <c r="AK241" s="2"/>
      <c r="AL241" s="2">
        <v>78.946162158186297</v>
      </c>
      <c r="AM241" s="2">
        <v>77.494731645008997</v>
      </c>
      <c r="AN241" s="2">
        <v>74.622807681626199</v>
      </c>
      <c r="AO241" s="2">
        <v>89.504714100785606</v>
      </c>
      <c r="AP241" s="3">
        <f>(AVERAGE(AL241:AO241))*AVERAGE($AN$250:$AO$250)/AVERAGE($AL$206:$AO$206)</f>
        <v>52.796678944630827</v>
      </c>
      <c r="AQ241" s="3">
        <f t="shared" si="59"/>
        <v>24.724941529864637</v>
      </c>
      <c r="AX241" s="2"/>
      <c r="AY241" s="2"/>
      <c r="AZ241" s="2"/>
      <c r="BA241" s="2"/>
      <c r="BB241" s="2"/>
      <c r="BC241" s="2"/>
      <c r="BD241" s="2"/>
    </row>
    <row r="242" spans="1:56" x14ac:dyDescent="0.25">
      <c r="A242">
        <v>2019</v>
      </c>
      <c r="AE242" s="2"/>
      <c r="AF242" s="2"/>
      <c r="AG242" s="2"/>
      <c r="AH242" s="2"/>
      <c r="AI242" s="2"/>
      <c r="AJ242" s="2"/>
      <c r="AK242" s="2"/>
      <c r="AL242" s="2">
        <v>72.940143930811402</v>
      </c>
      <c r="AM242" s="2">
        <v>70.735117418324606</v>
      </c>
      <c r="AN242" s="2">
        <v>66.586678641894494</v>
      </c>
      <c r="AO242" s="2">
        <v>80.923341813681304</v>
      </c>
      <c r="AP242" s="3">
        <f t="shared" si="60"/>
        <v>47.957362888546108</v>
      </c>
      <c r="AQ242" s="3"/>
      <c r="AX242" s="2"/>
      <c r="AY242" s="2"/>
      <c r="AZ242" s="2"/>
      <c r="BA242" s="2"/>
      <c r="BB242" s="2"/>
      <c r="BC242" s="2"/>
      <c r="BD242" s="2"/>
    </row>
    <row r="243" spans="1:56" x14ac:dyDescent="0.25">
      <c r="A243">
        <v>2020</v>
      </c>
      <c r="AE243" s="2"/>
      <c r="AF243" s="2"/>
      <c r="AG243" s="2"/>
      <c r="AH243" s="2"/>
      <c r="AI243" s="2"/>
      <c r="AJ243" s="2"/>
      <c r="AK243" s="2"/>
      <c r="AL243" s="2">
        <v>67.642840613399798</v>
      </c>
      <c r="AM243" s="2">
        <v>65.334167884700307</v>
      </c>
      <c r="AN243" s="2">
        <v>59.344255268939499</v>
      </c>
      <c r="AO243" s="2">
        <v>73.293638979068206</v>
      </c>
      <c r="AP243" s="3">
        <f t="shared" si="60"/>
        <v>43.745996365791775</v>
      </c>
      <c r="AQ243" s="3"/>
      <c r="AX243" s="2"/>
      <c r="AY243" s="2"/>
      <c r="AZ243" s="2"/>
      <c r="BA243" s="2"/>
      <c r="BB243" s="2"/>
      <c r="BC243" s="2"/>
      <c r="BD243" s="2"/>
    </row>
    <row r="244" spans="1:56" x14ac:dyDescent="0.25">
      <c r="A244">
        <v>2021</v>
      </c>
      <c r="AE244" s="2"/>
      <c r="AF244" s="2"/>
      <c r="AG244" s="2"/>
      <c r="AH244" s="2"/>
      <c r="AI244" s="2"/>
      <c r="AJ244" s="2"/>
      <c r="AK244" s="2"/>
      <c r="AL244" s="2">
        <v>63.352994392662097</v>
      </c>
      <c r="AM244" s="2">
        <v>61.377641607610499</v>
      </c>
      <c r="AN244" s="2">
        <v>52.863356613962601</v>
      </c>
      <c r="AO244" s="2">
        <v>66.515444716649895</v>
      </c>
      <c r="AP244" s="3">
        <f t="shared" si="60"/>
        <v>40.204109211974007</v>
      </c>
      <c r="AQ244" s="3"/>
      <c r="AX244" s="2"/>
      <c r="AY244" s="2"/>
      <c r="AZ244" s="2"/>
      <c r="BA244" s="2"/>
      <c r="BB244" s="2"/>
      <c r="BC244" s="2"/>
      <c r="BD244" s="2"/>
    </row>
    <row r="245" spans="1:56" x14ac:dyDescent="0.25">
      <c r="A245">
        <v>2022</v>
      </c>
      <c r="AE245" s="2"/>
      <c r="AF245" s="2"/>
      <c r="AG245" s="2"/>
      <c r="AH245" s="2"/>
      <c r="AI245" s="2"/>
      <c r="AJ245" s="2"/>
      <c r="AK245" s="2"/>
      <c r="AL245" s="2">
        <v>60.203819049175003</v>
      </c>
      <c r="AM245" s="2">
        <v>58.819855471682203</v>
      </c>
      <c r="AN245" s="2">
        <v>47.188259175476297</v>
      </c>
      <c r="AO245" s="2">
        <v>60.491061756339001</v>
      </c>
      <c r="AP245" s="3">
        <f t="shared" si="60"/>
        <v>37.337319226648873</v>
      </c>
      <c r="AQ245" s="3"/>
      <c r="AX245" s="2"/>
      <c r="AY245" s="2"/>
      <c r="AZ245" s="2"/>
      <c r="BA245" s="2"/>
      <c r="BB245" s="2"/>
      <c r="BC245" s="2"/>
      <c r="BD245" s="2"/>
    </row>
    <row r="246" spans="1:56" x14ac:dyDescent="0.25">
      <c r="A246">
        <v>2023</v>
      </c>
      <c r="AE246" s="2"/>
      <c r="AF246" s="2"/>
      <c r="AG246" s="2"/>
      <c r="AH246" s="2"/>
      <c r="AI246" s="2"/>
      <c r="AJ246" s="2"/>
      <c r="AK246" s="2"/>
      <c r="AL246" s="2">
        <v>58.241998419588498</v>
      </c>
      <c r="AM246" s="2">
        <v>57.519249945466498</v>
      </c>
      <c r="AN246" s="2">
        <v>42.434605885853003</v>
      </c>
      <c r="AO246" s="2">
        <v>55.279038380881801</v>
      </c>
      <c r="AP246" s="3">
        <f t="shared" si="60"/>
        <v>35.158689443658893</v>
      </c>
      <c r="AQ246" s="3"/>
      <c r="AX246" s="2"/>
      <c r="AY246" s="2"/>
      <c r="AZ246" s="2"/>
      <c r="BA246" s="2"/>
      <c r="BB246" s="2"/>
      <c r="BC246" s="2"/>
      <c r="BD246" s="2"/>
    </row>
    <row r="247" spans="1:56" x14ac:dyDescent="0.25">
      <c r="A247">
        <v>2024</v>
      </c>
      <c r="AE247" s="2"/>
      <c r="AF247" s="2"/>
      <c r="AG247" s="2"/>
      <c r="AH247" s="2"/>
      <c r="AI247" s="2"/>
      <c r="AJ247" s="2"/>
      <c r="AK247" s="2"/>
      <c r="AL247" s="2">
        <v>57.464478150060799</v>
      </c>
      <c r="AM247" s="2">
        <v>57.302066942797701</v>
      </c>
      <c r="AN247" s="2">
        <v>38.740257085710802</v>
      </c>
      <c r="AO247" s="2">
        <v>51.068912255461001</v>
      </c>
      <c r="AP247" s="3">
        <f t="shared" si="60"/>
        <v>33.693020864551187</v>
      </c>
      <c r="AQ247" s="3"/>
      <c r="AX247" s="2"/>
      <c r="AY247" s="2"/>
      <c r="AZ247" s="2"/>
      <c r="BA247" s="2"/>
      <c r="BB247" s="2"/>
      <c r="BC247" s="2"/>
      <c r="BD247" s="2"/>
    </row>
    <row r="248" spans="1:56" x14ac:dyDescent="0.25">
      <c r="A248">
        <v>2025</v>
      </c>
      <c r="AE248" s="2"/>
      <c r="AF248" s="2"/>
      <c r="AG248" s="2"/>
      <c r="AH248" s="2"/>
      <c r="AI248" s="2"/>
      <c r="AJ248" s="2"/>
      <c r="AK248" s="2"/>
      <c r="AL248" s="2">
        <v>57.875283902554202</v>
      </c>
      <c r="AM248" s="2">
        <v>58.054655878055399</v>
      </c>
      <c r="AN248" s="2">
        <v>36.171627056809001</v>
      </c>
      <c r="AO248" s="2">
        <v>48.063430661450901</v>
      </c>
      <c r="AP248" s="3">
        <f t="shared" si="60"/>
        <v>32.966588706486185</v>
      </c>
      <c r="AQ248" s="3"/>
      <c r="AX248" s="2"/>
      <c r="AY248" s="2"/>
      <c r="AZ248" s="2"/>
      <c r="BA248" s="2"/>
      <c r="BB248" s="2"/>
      <c r="BC248" s="2"/>
      <c r="BD248" s="2"/>
    </row>
    <row r="249" spans="1:56" x14ac:dyDescent="0.25">
      <c r="A249">
        <v>2026</v>
      </c>
      <c r="AE249" s="2"/>
      <c r="AF249" s="2"/>
      <c r="AG249" s="2"/>
      <c r="AH249" s="2"/>
      <c r="AI249" s="2"/>
      <c r="AJ249" s="2"/>
      <c r="AK249" s="2"/>
      <c r="AL249" s="2"/>
      <c r="AM249" s="2"/>
      <c r="AN249" s="2">
        <v>34.607427510049803</v>
      </c>
      <c r="AO249" s="2">
        <v>46.2978517576706</v>
      </c>
      <c r="AP249" s="2"/>
      <c r="AQ249" s="2"/>
      <c r="AX249" s="2"/>
      <c r="AY249" s="2"/>
      <c r="AZ249" s="2"/>
      <c r="BA249" s="2"/>
      <c r="BB249" s="2"/>
      <c r="BC249" s="2"/>
      <c r="BD249" s="2"/>
    </row>
    <row r="250" spans="1:56" x14ac:dyDescent="0.25">
      <c r="A250">
        <v>2027</v>
      </c>
      <c r="AE250" s="2"/>
      <c r="AF250" s="2"/>
      <c r="AG250" s="2"/>
      <c r="AH250" s="2"/>
      <c r="AI250" s="2"/>
      <c r="AJ250" s="2"/>
      <c r="AK250" s="2"/>
      <c r="AL250" s="2"/>
      <c r="AM250" s="2"/>
      <c r="AN250" s="2">
        <v>33.856353885767298</v>
      </c>
      <c r="AO250" s="2">
        <v>45.729299396325203</v>
      </c>
      <c r="AP250" s="2"/>
      <c r="AQ250" s="2"/>
      <c r="AX250" s="2"/>
      <c r="AY250" s="2"/>
      <c r="AZ250" s="2"/>
      <c r="BA250" s="2"/>
      <c r="BB250" s="2"/>
      <c r="BC250" s="2"/>
      <c r="BD250" s="2"/>
    </row>
    <row r="251" spans="1:56" x14ac:dyDescent="0.25">
      <c r="A251">
        <v>2028</v>
      </c>
      <c r="AX251" s="2"/>
      <c r="AY251" s="2"/>
      <c r="AZ251" s="2"/>
      <c r="BA251" s="2"/>
      <c r="BB251" s="2"/>
      <c r="BC251" s="2"/>
      <c r="BD251" s="2"/>
    </row>
    <row r="252" spans="1:56" x14ac:dyDescent="0.25">
      <c r="A252">
        <v>2029</v>
      </c>
      <c r="AX252" s="2"/>
      <c r="AY252" s="2"/>
      <c r="AZ252" s="2"/>
      <c r="BA252" s="2"/>
      <c r="BB252" s="2"/>
      <c r="BC252" s="2"/>
      <c r="BD252" s="2"/>
    </row>
    <row r="253" spans="1:56" x14ac:dyDescent="0.25">
      <c r="A253">
        <v>2030</v>
      </c>
      <c r="AX253" s="2"/>
      <c r="AY253" s="2"/>
      <c r="AZ253" s="2"/>
      <c r="BA253" s="2"/>
      <c r="BB253" s="2"/>
      <c r="BC253" s="2"/>
      <c r="BD253" s="2"/>
    </row>
    <row r="254" spans="1:56" x14ac:dyDescent="0.25">
      <c r="AX254" s="2"/>
      <c r="AY254" s="2"/>
      <c r="AZ254" s="2"/>
      <c r="BA254" s="2"/>
      <c r="BB254" s="2"/>
      <c r="BC254" s="2"/>
      <c r="BD254" s="2"/>
    </row>
    <row r="255" spans="1:56" x14ac:dyDescent="0.25">
      <c r="AX255" s="2"/>
      <c r="AY255" s="2"/>
      <c r="AZ255" s="2"/>
      <c r="BA255" s="2"/>
      <c r="BB255" s="2"/>
      <c r="BC255" s="2"/>
      <c r="BD255" s="2"/>
    </row>
    <row r="256" spans="1:56" x14ac:dyDescent="0.25">
      <c r="AX256" s="2"/>
      <c r="AY256" s="2"/>
      <c r="AZ256" s="2"/>
      <c r="BA256" s="2"/>
      <c r="BB256" s="2"/>
      <c r="BC256" s="2"/>
      <c r="BD256" s="2"/>
    </row>
    <row r="257" spans="50:56" x14ac:dyDescent="0.25">
      <c r="AX257" s="2"/>
      <c r="AY257" s="2"/>
      <c r="AZ257" s="2"/>
      <c r="BA257" s="2"/>
      <c r="BB257" s="2"/>
      <c r="BC257" s="2"/>
      <c r="BD257" s="2"/>
    </row>
    <row r="258" spans="50:56" x14ac:dyDescent="0.25">
      <c r="AX258" s="2"/>
      <c r="AY258" s="2"/>
      <c r="AZ258" s="2"/>
      <c r="BA258" s="2"/>
      <c r="BB258" s="2"/>
      <c r="BC258" s="2"/>
      <c r="BD258" s="2"/>
    </row>
  </sheetData>
  <pageMargins left="0.7" right="0.7" top="0.75" bottom="0.75" header="0.3" footer="0.3"/>
  <headerFooter>
    <oddHeader>&amp;L&amp;"Calibri"&amp;11&amp;K000000 PERSONAL/NONWORK // EXTERNAL&amp;1#_x000D_</oddHeader>
  </headerFooter>
  <legacyDrawing r:id="rId1"/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2025-10-07T15:07:17Z</dcterms:created>
  <dcterms:modified xsi:type="dcterms:W3CDTF">2025-10-07T19:45:19Z</dcterms:modified>
</cp:coreProperties>
</file>
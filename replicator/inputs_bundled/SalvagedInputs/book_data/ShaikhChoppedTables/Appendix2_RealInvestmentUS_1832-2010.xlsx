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n\Desktop\Shaikh Chopped\"/>
    </mc:Choice>
  </mc:AlternateContent>
  <xr:revisionPtr revIDLastSave="0" documentId="13_ncr:1_{2CD9B912-4EE9-4C96-9EF7-6535BF51E281}" xr6:coauthVersionLast="47" xr6:coauthVersionMax="47" xr10:uidLastSave="{00000000-0000-0000-0000-000000000000}"/>
  <bookViews>
    <workbookView xWindow="3072" yWindow="3072" windowWidth="30960" windowHeight="12204" xr2:uid="{B61DA21B-9CFF-4AF7-A2FD-C396236F1CD7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55" i="1"/>
  <c r="C55" i="1"/>
  <c r="E125" i="1"/>
  <c r="E126" i="1"/>
  <c r="E127" i="1"/>
  <c r="E128" i="1"/>
  <c r="E129" i="1"/>
  <c r="E130" i="1"/>
  <c r="E131" i="1"/>
  <c r="E132" i="1"/>
  <c r="E133" i="1"/>
  <c r="E134" i="1"/>
  <c r="E135" i="1"/>
  <c r="F135" i="1" s="1"/>
  <c r="E136" i="1"/>
  <c r="F136" i="1" s="1"/>
  <c r="E137" i="1"/>
  <c r="F137" i="1" s="1"/>
  <c r="E138" i="1"/>
  <c r="F138" i="1" s="1"/>
  <c r="E139" i="1"/>
  <c r="E140" i="1"/>
  <c r="F140" i="1" s="1"/>
  <c r="E141" i="1"/>
  <c r="E142" i="1"/>
  <c r="E143" i="1"/>
  <c r="E144" i="1"/>
  <c r="E145" i="1"/>
  <c r="E146" i="1"/>
  <c r="E147" i="1"/>
  <c r="E148" i="1"/>
  <c r="E149" i="1"/>
  <c r="E150" i="1"/>
  <c r="E151" i="1"/>
  <c r="F151" i="1" s="1"/>
  <c r="E152" i="1"/>
  <c r="F152" i="1" s="1"/>
  <c r="E153" i="1"/>
  <c r="F153" i="1" s="1"/>
  <c r="E154" i="1"/>
  <c r="F154" i="1" s="1"/>
  <c r="E155" i="1"/>
  <c r="E156" i="1"/>
  <c r="F156" i="1" s="1"/>
  <c r="E157" i="1"/>
  <c r="E158" i="1"/>
  <c r="E159" i="1"/>
  <c r="E160" i="1"/>
  <c r="E161" i="1"/>
  <c r="E162" i="1"/>
  <c r="E163" i="1"/>
  <c r="E164" i="1"/>
  <c r="E165" i="1"/>
  <c r="E166" i="1"/>
  <c r="E167" i="1"/>
  <c r="F167" i="1" s="1"/>
  <c r="E168" i="1"/>
  <c r="F168" i="1" s="1"/>
  <c r="E169" i="1"/>
  <c r="F169" i="1" s="1"/>
  <c r="E170" i="1"/>
  <c r="F170" i="1" s="1"/>
  <c r="E171" i="1"/>
  <c r="E172" i="1"/>
  <c r="F172" i="1" s="1"/>
  <c r="E173" i="1"/>
  <c r="E174" i="1"/>
  <c r="E175" i="1"/>
  <c r="E176" i="1"/>
  <c r="E177" i="1"/>
  <c r="E178" i="1"/>
  <c r="E179" i="1"/>
  <c r="E180" i="1"/>
  <c r="E181" i="1"/>
  <c r="E182" i="1"/>
  <c r="E183" i="1"/>
  <c r="F183" i="1" s="1"/>
  <c r="E184" i="1"/>
  <c r="F184" i="1" s="1"/>
  <c r="E185" i="1"/>
  <c r="F185" i="1" s="1"/>
  <c r="E186" i="1"/>
  <c r="F186" i="1" s="1"/>
  <c r="E187" i="1"/>
  <c r="E188" i="1"/>
  <c r="F188" i="1" s="1"/>
  <c r="E189" i="1"/>
  <c r="E190" i="1"/>
  <c r="E191" i="1"/>
  <c r="E192" i="1"/>
  <c r="E193" i="1"/>
  <c r="E194" i="1"/>
  <c r="E195" i="1"/>
  <c r="E196" i="1"/>
  <c r="E197" i="1"/>
  <c r="E198" i="1"/>
  <c r="E199" i="1"/>
  <c r="F199" i="1" s="1"/>
  <c r="E200" i="1"/>
  <c r="F200" i="1" s="1"/>
  <c r="E201" i="1"/>
  <c r="F201" i="1" s="1"/>
  <c r="E202" i="1"/>
  <c r="F202" i="1" s="1"/>
  <c r="E203" i="1"/>
  <c r="E204" i="1"/>
  <c r="F204" i="1" s="1"/>
  <c r="E205" i="1"/>
  <c r="E206" i="1"/>
  <c r="E207" i="1"/>
  <c r="E208" i="1"/>
  <c r="E209" i="1"/>
  <c r="E210" i="1"/>
  <c r="E211" i="1"/>
  <c r="E212" i="1"/>
  <c r="E213" i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E220" i="1"/>
  <c r="F220" i="1" s="1"/>
  <c r="E221" i="1"/>
  <c r="E222" i="1"/>
  <c r="E223" i="1"/>
  <c r="E224" i="1"/>
  <c r="E225" i="1"/>
  <c r="E226" i="1"/>
  <c r="F226" i="1" s="1"/>
  <c r="E227" i="1"/>
  <c r="E228" i="1"/>
  <c r="F228" i="1" s="1"/>
  <c r="E229" i="1"/>
  <c r="E230" i="1"/>
  <c r="F230" i="1" s="1"/>
  <c r="E231" i="1"/>
  <c r="F231" i="1" s="1"/>
  <c r="E232" i="1"/>
  <c r="F232" i="1" s="1"/>
  <c r="E233" i="1"/>
  <c r="F233" i="1" s="1"/>
  <c r="E124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F70" i="1" s="1"/>
  <c r="C71" i="1"/>
  <c r="F71" i="1" s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F85" i="1" s="1"/>
  <c r="C86" i="1"/>
  <c r="F86" i="1" s="1"/>
  <c r="C87" i="1"/>
  <c r="F87" i="1" s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F101" i="1" s="1"/>
  <c r="C102" i="1"/>
  <c r="F102" i="1" s="1"/>
  <c r="C103" i="1"/>
  <c r="F103" i="1" s="1"/>
  <c r="C104" i="1"/>
  <c r="C105" i="1"/>
  <c r="C106" i="1"/>
  <c r="C107" i="1"/>
  <c r="C108" i="1"/>
  <c r="C109" i="1"/>
  <c r="C110" i="1"/>
  <c r="F110" i="1" s="1"/>
  <c r="C111" i="1"/>
  <c r="F111" i="1" s="1"/>
  <c r="C112" i="1"/>
  <c r="C113" i="1"/>
  <c r="C114" i="1"/>
  <c r="C115" i="1"/>
  <c r="C116" i="1"/>
  <c r="F116" i="1" s="1"/>
  <c r="C117" i="1"/>
  <c r="F117" i="1" s="1"/>
  <c r="C118" i="1"/>
  <c r="F118" i="1" s="1"/>
  <c r="C119" i="1"/>
  <c r="F119" i="1" s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F229" i="1"/>
  <c r="F227" i="1"/>
  <c r="F225" i="1"/>
  <c r="F224" i="1"/>
  <c r="F223" i="1"/>
  <c r="F222" i="1"/>
  <c r="F221" i="1"/>
  <c r="F219" i="1"/>
  <c r="F213" i="1"/>
  <c r="F212" i="1"/>
  <c r="F211" i="1"/>
  <c r="F210" i="1"/>
  <c r="F209" i="1"/>
  <c r="F208" i="1"/>
  <c r="F207" i="1"/>
  <c r="F206" i="1"/>
  <c r="F205" i="1"/>
  <c r="F203" i="1"/>
  <c r="F198" i="1"/>
  <c r="F197" i="1"/>
  <c r="F196" i="1"/>
  <c r="F195" i="1"/>
  <c r="F194" i="1"/>
  <c r="F193" i="1"/>
  <c r="F192" i="1"/>
  <c r="F191" i="1"/>
  <c r="F190" i="1"/>
  <c r="F189" i="1"/>
  <c r="F187" i="1"/>
  <c r="F182" i="1"/>
  <c r="F181" i="1"/>
  <c r="F180" i="1"/>
  <c r="F179" i="1"/>
  <c r="F178" i="1"/>
  <c r="F177" i="1"/>
  <c r="F176" i="1"/>
  <c r="F175" i="1"/>
  <c r="F174" i="1"/>
  <c r="F173" i="1"/>
  <c r="F171" i="1"/>
  <c r="F166" i="1"/>
  <c r="F165" i="1"/>
  <c r="F164" i="1"/>
  <c r="F163" i="1"/>
  <c r="F162" i="1"/>
  <c r="F161" i="1"/>
  <c r="F160" i="1"/>
  <c r="F159" i="1"/>
  <c r="F158" i="1"/>
  <c r="F157" i="1"/>
  <c r="F155" i="1"/>
  <c r="F150" i="1"/>
  <c r="F149" i="1"/>
  <c r="F148" i="1"/>
  <c r="F147" i="1"/>
  <c r="F146" i="1"/>
  <c r="F145" i="1"/>
  <c r="F144" i="1"/>
  <c r="F143" i="1"/>
  <c r="F142" i="1"/>
  <c r="F141" i="1"/>
  <c r="F139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5" i="1"/>
  <c r="F114" i="1"/>
  <c r="F113" i="1"/>
  <c r="F112" i="1"/>
  <c r="F109" i="1"/>
  <c r="F108" i="1"/>
  <c r="F107" i="1"/>
  <c r="F106" i="1"/>
  <c r="F105" i="1"/>
  <c r="F104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Anderson</author>
  </authors>
  <commentList>
    <comment ref="A3" authorId="0" shapeId="0" xr:uid="{07B64406-DEBD-4FA9-9F20-62E648343D4D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KONDRATIEFF'S FAMOUS PRICE CHART BEGINS IN 1780, SO I HAVE USED THE SAME STARTING POINT (KONDRATIEFF, LONG WAVE CYCLE, 1984, CHART 1, p. 39)</t>
        </r>
      </text>
    </comment>
  </commentList>
</comments>
</file>

<file path=xl/sharedStrings.xml><?xml version="1.0" encoding="utf-8"?>
<sst xmlns="http://schemas.openxmlformats.org/spreadsheetml/2006/main" count="14" uniqueCount="11">
  <si>
    <t>Year</t>
  </si>
  <si>
    <t>RealInvest2</t>
  </si>
  <si>
    <t>RealInvest2_Reindexed1901</t>
  </si>
  <si>
    <t>SplicedRealInvest</t>
  </si>
  <si>
    <t>SplicedRealInvest_Reindexed1958</t>
  </si>
  <si>
    <t>RealInvest1_Index1970</t>
  </si>
  <si>
    <t>RealInvest1_Reindexed1901</t>
  </si>
  <si>
    <t>1901-2010: BEA Wealth Table 4.8, line 1 (Investment in Fixed Nonres capital), accessed 9/2/2011</t>
  </si>
  <si>
    <t>Spliced</t>
  </si>
  <si>
    <t xml:space="preserve">BEA Data, Each was indexed to 1901=100, spliced at 1901, and then re-indexed to 1958=100 </t>
  </si>
  <si>
    <t>1832-1975: BEA Fixd Reprod Tangible Wlth of the United States, 1925-75: Table B4, pp. 343-344, Invest in Fixed Nonres bus capital, equip&amp;structures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</si>
</sst>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00000000000000"/>
  </numFmts>
  <fonts count="1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LettrGoth12 BT"/>
    </font>
    <font>
      <sz val="8"/>
      <color indexed="8"/>
      <name val="Verdana"/>
      <family val="2"/>
    </font>
    <font>
      <sz val="10"/>
      <color indexed="8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Aptos Narrow"/>
      <family val="2"/>
      <scheme val="minor"/>
    </font>
    <font>
      <sz val="10"/>
      <color rgb="FF0070C0"/>
      <name val="LettrGoth12 BT"/>
    </font>
    <font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1" fontId="3" fillId="0" borderId="0" xfId="0" applyNumberFormat="1" applyFont="1"/>
    <xf numFmtId="3" fontId="3" fillId="0" borderId="0" xfId="0" applyNumberFormat="1" applyFont="1"/>
    <xf numFmtId="1" fontId="0" fillId="0" borderId="0" xfId="0" applyNumberForma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right"/>
    </xf>
    <xf numFmtId="166" fontId="0" fillId="0" borderId="0" xfId="0" applyNumberFormat="1"/>
    <xf numFmtId="2" fontId="8" fillId="0" borderId="0" xfId="0" applyNumberFormat="1" applyFont="1"/>
    <xf numFmtId="164" fontId="9" fillId="0" borderId="0" xfId="0" applyNumberFormat="1" applyFont="1"/>
    <xf numFmtId="2" fontId="10" fillId="0" borderId="0" xfId="0" applyNumberFormat="1" applyFont="1"/>
    <xf numFmtId="165" fontId="8" fillId="0" borderId="0" xfId="0" applyNumberFormat="1" applyFont="1"/>
    <xf numFmtId="2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5138F-7E3A-4EF6-80E4-B57954F1348F}">
  <dimension ref="A1:I233"/>
  <sheetViews>
    <sheetView tabSelected="1" workbookViewId="0">
      <selection activeCell="B2" sqref="B2"/>
    </sheetView>
  </sheetViews>
  <sheetFormatPr defaultRowHeight="14.4"/>
  <cols>
    <col min="7" max="7" width="9.5546875" bestFit="1" customWidth="1"/>
    <col min="9" max="9" width="17.77734375" bestFit="1" customWidth="1"/>
  </cols>
  <sheetData>
    <row r="1" spans="1:7">
      <c r="A1" t="s">
        <v>9</v>
      </c>
      <c r="B1" t="s">
        <v>10</v>
      </c>
      <c r="C1" t="s">
        <v>10</v>
      </c>
      <c r="D1" t="s">
        <v>7</v>
      </c>
      <c r="E1" t="s">
        <v>7</v>
      </c>
      <c r="F1" t="s">
        <v>8</v>
      </c>
      <c r="G1" t="s">
        <v>8</v>
      </c>
    </row>
    <row r="2" spans="1:7">
      <c r="A2" t="s">
        <v>0</v>
      </c>
      <c r="B2" t="s">
        <v>5</v>
      </c>
      <c r="C2" t="s">
        <v>6</v>
      </c>
      <c r="D2" t="s">
        <v>1</v>
      </c>
      <c r="E2" t="s">
        <v>2</v>
      </c>
      <c r="F2" t="s">
        <v>3</v>
      </c>
      <c r="G2" t="s">
        <v>4</v>
      </c>
    </row>
    <row r="3" spans="1:7">
      <c r="A3" s="1">
        <v>1780</v>
      </c>
      <c r="B3" s="1"/>
      <c r="C3" s="1"/>
      <c r="D3" s="2"/>
      <c r="E3" s="2"/>
      <c r="F3" s="3"/>
      <c r="G3" s="3"/>
    </row>
    <row r="4" spans="1:7">
      <c r="A4" s="1">
        <f>+A3+1</f>
        <v>1781</v>
      </c>
      <c r="B4" s="1"/>
      <c r="C4" s="1"/>
      <c r="D4" s="2"/>
      <c r="E4" s="2"/>
      <c r="F4" s="3"/>
      <c r="G4" s="3"/>
    </row>
    <row r="5" spans="1:7">
      <c r="A5" s="1">
        <f t="shared" ref="A5:A68" si="0">+A4+1</f>
        <v>1782</v>
      </c>
      <c r="B5" s="1"/>
      <c r="C5" s="1"/>
      <c r="D5" s="2"/>
      <c r="E5" s="2"/>
      <c r="F5" s="3"/>
      <c r="G5" s="3"/>
    </row>
    <row r="6" spans="1:7">
      <c r="A6" s="1">
        <f t="shared" si="0"/>
        <v>1783</v>
      </c>
      <c r="B6" s="1"/>
      <c r="C6" s="1"/>
      <c r="D6" s="2"/>
      <c r="E6" s="2"/>
      <c r="F6" s="3"/>
      <c r="G6" s="3"/>
    </row>
    <row r="7" spans="1:7">
      <c r="A7" s="1">
        <f t="shared" si="0"/>
        <v>1784</v>
      </c>
      <c r="B7" s="1"/>
      <c r="C7" s="1"/>
      <c r="D7" s="2"/>
      <c r="E7" s="2"/>
      <c r="F7" s="3"/>
      <c r="G7" s="3"/>
    </row>
    <row r="8" spans="1:7">
      <c r="A8" s="1">
        <f t="shared" si="0"/>
        <v>1785</v>
      </c>
      <c r="B8" s="1"/>
      <c r="C8" s="1"/>
      <c r="D8" s="2"/>
      <c r="E8" s="2"/>
      <c r="F8" s="3"/>
      <c r="G8" s="3"/>
    </row>
    <row r="9" spans="1:7">
      <c r="A9" s="1">
        <f t="shared" si="0"/>
        <v>1786</v>
      </c>
      <c r="B9" s="1"/>
      <c r="C9" s="1"/>
      <c r="D9" s="2"/>
      <c r="E9" s="2"/>
      <c r="F9" s="3"/>
      <c r="G9" s="3"/>
    </row>
    <row r="10" spans="1:7">
      <c r="A10" s="1">
        <f t="shared" si="0"/>
        <v>1787</v>
      </c>
      <c r="B10" s="1"/>
      <c r="C10" s="1"/>
      <c r="D10" s="2"/>
      <c r="E10" s="2"/>
      <c r="F10" s="3"/>
      <c r="G10" s="3"/>
    </row>
    <row r="11" spans="1:7">
      <c r="A11" s="1">
        <f t="shared" si="0"/>
        <v>1788</v>
      </c>
      <c r="B11" s="1"/>
      <c r="C11" s="1"/>
      <c r="D11" s="2"/>
      <c r="E11" s="2"/>
      <c r="F11" s="3"/>
      <c r="G11" s="3"/>
    </row>
    <row r="12" spans="1:7">
      <c r="A12" s="1">
        <f t="shared" si="0"/>
        <v>1789</v>
      </c>
      <c r="B12" s="1"/>
      <c r="C12" s="1"/>
      <c r="D12" s="2"/>
      <c r="E12" s="2"/>
      <c r="F12" s="3"/>
      <c r="G12" s="3"/>
    </row>
    <row r="13" spans="1:7">
      <c r="A13" s="1">
        <f t="shared" si="0"/>
        <v>1790</v>
      </c>
      <c r="D13" s="4"/>
      <c r="E13" s="4"/>
      <c r="F13" s="4"/>
      <c r="G13" s="5"/>
    </row>
    <row r="14" spans="1:7">
      <c r="A14" s="1">
        <f t="shared" si="0"/>
        <v>1791</v>
      </c>
      <c r="D14" s="4"/>
      <c r="E14" s="4"/>
      <c r="F14" s="4"/>
      <c r="G14" s="5"/>
    </row>
    <row r="15" spans="1:7">
      <c r="A15" s="1">
        <f t="shared" si="0"/>
        <v>1792</v>
      </c>
      <c r="D15" s="4"/>
      <c r="E15" s="4"/>
      <c r="F15" s="4"/>
      <c r="G15" s="5"/>
    </row>
    <row r="16" spans="1:7">
      <c r="A16" s="1">
        <f t="shared" si="0"/>
        <v>1793</v>
      </c>
      <c r="D16" s="4"/>
      <c r="E16" s="4"/>
      <c r="F16" s="4"/>
      <c r="G16" s="5"/>
    </row>
    <row r="17" spans="1:7">
      <c r="A17" s="1">
        <f t="shared" si="0"/>
        <v>1794</v>
      </c>
      <c r="D17" s="4"/>
      <c r="E17" s="4"/>
      <c r="F17" s="4"/>
      <c r="G17" s="5"/>
    </row>
    <row r="18" spans="1:7">
      <c r="A18" s="1">
        <f t="shared" si="0"/>
        <v>1795</v>
      </c>
      <c r="D18" s="4"/>
      <c r="E18" s="4"/>
      <c r="F18" s="4"/>
      <c r="G18" s="5"/>
    </row>
    <row r="19" spans="1:7">
      <c r="A19" s="1">
        <f t="shared" si="0"/>
        <v>1796</v>
      </c>
      <c r="D19" s="4"/>
      <c r="E19" s="4"/>
      <c r="F19" s="4"/>
      <c r="G19" s="5"/>
    </row>
    <row r="20" spans="1:7">
      <c r="A20" s="1">
        <f t="shared" si="0"/>
        <v>1797</v>
      </c>
      <c r="D20" s="4"/>
      <c r="E20" s="4"/>
      <c r="F20" s="4"/>
      <c r="G20" s="5"/>
    </row>
    <row r="21" spans="1:7">
      <c r="A21" s="1">
        <f t="shared" si="0"/>
        <v>1798</v>
      </c>
      <c r="D21" s="4"/>
      <c r="E21" s="4"/>
      <c r="F21" s="4"/>
      <c r="G21" s="5"/>
    </row>
    <row r="22" spans="1:7">
      <c r="A22" s="1">
        <f t="shared" si="0"/>
        <v>1799</v>
      </c>
      <c r="D22" s="4"/>
      <c r="E22" s="4"/>
      <c r="F22" s="4"/>
      <c r="G22" s="5"/>
    </row>
    <row r="23" spans="1:7">
      <c r="A23" s="1">
        <f t="shared" si="0"/>
        <v>1800</v>
      </c>
      <c r="D23" s="4"/>
      <c r="E23" s="4"/>
      <c r="F23" s="4"/>
    </row>
    <row r="24" spans="1:7">
      <c r="A24" s="1">
        <f t="shared" si="0"/>
        <v>1801</v>
      </c>
      <c r="D24" s="4"/>
      <c r="E24" s="4"/>
      <c r="F24" s="4"/>
    </row>
    <row r="25" spans="1:7">
      <c r="A25" s="1">
        <f t="shared" si="0"/>
        <v>1802</v>
      </c>
      <c r="D25" s="4"/>
      <c r="E25" s="4"/>
      <c r="F25" s="4"/>
    </row>
    <row r="26" spans="1:7">
      <c r="A26" s="1">
        <f t="shared" si="0"/>
        <v>1803</v>
      </c>
      <c r="D26" s="4"/>
      <c r="E26" s="4"/>
      <c r="F26" s="4"/>
    </row>
    <row r="27" spans="1:7">
      <c r="A27" s="1">
        <f t="shared" si="0"/>
        <v>1804</v>
      </c>
      <c r="D27" s="4"/>
      <c r="E27" s="4"/>
      <c r="F27" s="4"/>
    </row>
    <row r="28" spans="1:7">
      <c r="A28" s="1">
        <f t="shared" si="0"/>
        <v>1805</v>
      </c>
      <c r="D28" s="4"/>
      <c r="E28" s="4"/>
      <c r="F28" s="4"/>
    </row>
    <row r="29" spans="1:7">
      <c r="A29" s="1">
        <f t="shared" si="0"/>
        <v>1806</v>
      </c>
      <c r="D29" s="4"/>
      <c r="E29" s="4"/>
      <c r="F29" s="4"/>
    </row>
    <row r="30" spans="1:7">
      <c r="A30" s="1">
        <f t="shared" si="0"/>
        <v>1807</v>
      </c>
      <c r="D30" s="4"/>
      <c r="E30" s="4"/>
      <c r="F30" s="4"/>
    </row>
    <row r="31" spans="1:7">
      <c r="A31" s="1">
        <f t="shared" si="0"/>
        <v>1808</v>
      </c>
      <c r="D31" s="4"/>
      <c r="E31" s="4"/>
      <c r="F31" s="4"/>
    </row>
    <row r="32" spans="1:7">
      <c r="A32" s="1">
        <f t="shared" si="0"/>
        <v>1809</v>
      </c>
      <c r="D32" s="4"/>
      <c r="E32" s="4"/>
      <c r="F32" s="4"/>
    </row>
    <row r="33" spans="1:6">
      <c r="A33" s="1">
        <f t="shared" si="0"/>
        <v>1810</v>
      </c>
      <c r="D33" s="4"/>
      <c r="E33" s="4"/>
      <c r="F33" s="4"/>
    </row>
    <row r="34" spans="1:6">
      <c r="A34" s="1">
        <f t="shared" si="0"/>
        <v>1811</v>
      </c>
      <c r="D34" s="4"/>
      <c r="E34" s="4"/>
      <c r="F34" s="4"/>
    </row>
    <row r="35" spans="1:6">
      <c r="A35" s="1">
        <f t="shared" si="0"/>
        <v>1812</v>
      </c>
      <c r="D35" s="4"/>
      <c r="E35" s="4"/>
      <c r="F35" s="4"/>
    </row>
    <row r="36" spans="1:6">
      <c r="A36" s="1">
        <f t="shared" si="0"/>
        <v>1813</v>
      </c>
      <c r="D36" s="4"/>
      <c r="E36" s="4"/>
      <c r="F36" s="4"/>
    </row>
    <row r="37" spans="1:6">
      <c r="A37" s="1">
        <f t="shared" si="0"/>
        <v>1814</v>
      </c>
      <c r="D37" s="4"/>
      <c r="E37" s="4"/>
      <c r="F37" s="4"/>
    </row>
    <row r="38" spans="1:6">
      <c r="A38" s="1">
        <f t="shared" si="0"/>
        <v>1815</v>
      </c>
      <c r="D38" s="4"/>
      <c r="E38" s="4"/>
      <c r="F38" s="4"/>
    </row>
    <row r="39" spans="1:6">
      <c r="A39" s="1">
        <f t="shared" si="0"/>
        <v>1816</v>
      </c>
      <c r="D39" s="4"/>
      <c r="E39" s="4"/>
      <c r="F39" s="4"/>
    </row>
    <row r="40" spans="1:6">
      <c r="A40" s="1">
        <f t="shared" si="0"/>
        <v>1817</v>
      </c>
      <c r="D40" s="4"/>
      <c r="E40" s="4"/>
      <c r="F40" s="4"/>
    </row>
    <row r="41" spans="1:6">
      <c r="A41" s="1">
        <f t="shared" si="0"/>
        <v>1818</v>
      </c>
      <c r="D41" s="4"/>
      <c r="E41" s="4"/>
      <c r="F41" s="4"/>
    </row>
    <row r="42" spans="1:6">
      <c r="A42" s="1">
        <f t="shared" si="0"/>
        <v>1819</v>
      </c>
      <c r="D42" s="4"/>
      <c r="E42" s="4"/>
      <c r="F42" s="4"/>
    </row>
    <row r="43" spans="1:6">
      <c r="A43" s="1">
        <f t="shared" si="0"/>
        <v>1820</v>
      </c>
      <c r="D43" s="4"/>
      <c r="E43" s="4"/>
      <c r="F43" s="4"/>
    </row>
    <row r="44" spans="1:6">
      <c r="A44" s="1">
        <f t="shared" si="0"/>
        <v>1821</v>
      </c>
      <c r="D44" s="4"/>
      <c r="E44" s="4"/>
      <c r="F44" s="4"/>
    </row>
    <row r="45" spans="1:6">
      <c r="A45" s="1">
        <f t="shared" si="0"/>
        <v>1822</v>
      </c>
      <c r="D45" s="4"/>
      <c r="E45" s="4"/>
      <c r="F45" s="4"/>
    </row>
    <row r="46" spans="1:6">
      <c r="A46" s="1">
        <f t="shared" si="0"/>
        <v>1823</v>
      </c>
      <c r="D46" s="4"/>
      <c r="E46" s="4"/>
      <c r="F46" s="4"/>
    </row>
    <row r="47" spans="1:6">
      <c r="A47" s="1">
        <f t="shared" si="0"/>
        <v>1824</v>
      </c>
      <c r="D47" s="4"/>
      <c r="E47" s="4"/>
      <c r="F47" s="4"/>
    </row>
    <row r="48" spans="1:6">
      <c r="A48" s="1">
        <f t="shared" si="0"/>
        <v>1825</v>
      </c>
      <c r="D48" s="4"/>
      <c r="E48" s="4"/>
      <c r="F48" s="4"/>
    </row>
    <row r="49" spans="1:9">
      <c r="A49" s="1">
        <f t="shared" si="0"/>
        <v>1826</v>
      </c>
      <c r="D49" s="4"/>
      <c r="E49" s="4"/>
      <c r="F49" s="4"/>
    </row>
    <row r="50" spans="1:9">
      <c r="A50" s="1">
        <f t="shared" si="0"/>
        <v>1827</v>
      </c>
      <c r="D50" s="4"/>
      <c r="E50" s="4"/>
      <c r="F50" s="4"/>
    </row>
    <row r="51" spans="1:9">
      <c r="A51" s="1">
        <f t="shared" si="0"/>
        <v>1828</v>
      </c>
      <c r="D51" s="4"/>
      <c r="E51" s="4"/>
      <c r="F51" s="4"/>
    </row>
    <row r="52" spans="1:9">
      <c r="A52" s="1">
        <f t="shared" si="0"/>
        <v>1829</v>
      </c>
      <c r="D52" s="4"/>
      <c r="E52" s="4"/>
      <c r="F52" s="4"/>
    </row>
    <row r="53" spans="1:9">
      <c r="A53" s="1">
        <f t="shared" si="0"/>
        <v>1830</v>
      </c>
      <c r="D53" s="4"/>
      <c r="E53" s="4"/>
      <c r="F53" s="4"/>
    </row>
    <row r="54" spans="1:9">
      <c r="A54" s="1">
        <f t="shared" si="0"/>
        <v>1831</v>
      </c>
      <c r="D54" s="4"/>
      <c r="E54" s="4"/>
      <c r="F54" s="4"/>
    </row>
    <row r="55" spans="1:9">
      <c r="A55" s="1">
        <f t="shared" si="0"/>
        <v>1832</v>
      </c>
      <c r="B55">
        <v>70</v>
      </c>
      <c r="C55" s="13">
        <f>B55*100/$B$124</f>
        <v>0.46666666666666667</v>
      </c>
      <c r="D55" s="4"/>
      <c r="E55" s="4"/>
      <c r="F55" s="15">
        <f>C55</f>
        <v>0.46666666666666667</v>
      </c>
      <c r="G55" s="16">
        <f t="shared" ref="G55:G86" si="1">F55*100/$F$181</f>
        <v>8.0574156107276529E-2</v>
      </c>
      <c r="I55" s="12"/>
    </row>
    <row r="56" spans="1:9">
      <c r="A56" s="1">
        <f t="shared" si="0"/>
        <v>1833</v>
      </c>
      <c r="B56">
        <v>43</v>
      </c>
      <c r="C56" s="13">
        <f t="shared" ref="C56:C119" si="2">B56*100/$B$124</f>
        <v>0.28666666666666668</v>
      </c>
      <c r="D56" s="4"/>
      <c r="E56" s="4"/>
      <c r="F56" s="15">
        <f t="shared" ref="F56:F119" si="3">C56</f>
        <v>0.28666666666666668</v>
      </c>
      <c r="G56" s="16">
        <f t="shared" si="1"/>
        <v>4.9495553037327014E-2</v>
      </c>
      <c r="I56" s="12"/>
    </row>
    <row r="57" spans="1:9">
      <c r="A57" s="1">
        <f t="shared" si="0"/>
        <v>1834</v>
      </c>
      <c r="B57">
        <v>77</v>
      </c>
      <c r="C57" s="13">
        <f t="shared" si="2"/>
        <v>0.51333333333333331</v>
      </c>
      <c r="D57" s="4"/>
      <c r="E57" s="4"/>
      <c r="F57" s="15">
        <f t="shared" si="3"/>
        <v>0.51333333333333331</v>
      </c>
      <c r="G57" s="16">
        <f t="shared" si="1"/>
        <v>8.8631571718004176E-2</v>
      </c>
      <c r="I57" s="12"/>
    </row>
    <row r="58" spans="1:9">
      <c r="A58" s="1">
        <f t="shared" si="0"/>
        <v>1835</v>
      </c>
      <c r="B58">
        <v>51</v>
      </c>
      <c r="C58" s="13">
        <f t="shared" si="2"/>
        <v>0.34</v>
      </c>
      <c r="D58" s="4"/>
      <c r="E58" s="4"/>
      <c r="F58" s="15">
        <f t="shared" si="3"/>
        <v>0.34</v>
      </c>
      <c r="G58" s="16">
        <f t="shared" si="1"/>
        <v>5.8704028021015757E-2</v>
      </c>
      <c r="I58" s="12"/>
    </row>
    <row r="59" spans="1:9">
      <c r="A59" s="1">
        <f t="shared" si="0"/>
        <v>1836</v>
      </c>
      <c r="B59">
        <v>107</v>
      </c>
      <c r="C59" s="13">
        <f t="shared" si="2"/>
        <v>0.71333333333333337</v>
      </c>
      <c r="D59" s="4"/>
      <c r="E59" s="4"/>
      <c r="F59" s="15">
        <f t="shared" si="3"/>
        <v>0.71333333333333337</v>
      </c>
      <c r="G59" s="16">
        <f t="shared" si="1"/>
        <v>0.123163352906837</v>
      </c>
      <c r="I59" s="12"/>
    </row>
    <row r="60" spans="1:9">
      <c r="A60" s="1">
        <f t="shared" si="0"/>
        <v>1837</v>
      </c>
      <c r="B60">
        <v>132</v>
      </c>
      <c r="C60" s="13">
        <f t="shared" si="2"/>
        <v>0.88</v>
      </c>
      <c r="D60" s="4"/>
      <c r="E60" s="4"/>
      <c r="F60" s="15">
        <f t="shared" si="3"/>
        <v>0.88</v>
      </c>
      <c r="G60" s="16">
        <f t="shared" si="1"/>
        <v>0.15193983723086432</v>
      </c>
      <c r="I60" s="12"/>
    </row>
    <row r="61" spans="1:9">
      <c r="A61" s="1">
        <f t="shared" si="0"/>
        <v>1838</v>
      </c>
      <c r="B61">
        <v>196</v>
      </c>
      <c r="C61" s="13">
        <f t="shared" si="2"/>
        <v>1.3066666666666666</v>
      </c>
      <c r="D61" s="4"/>
      <c r="E61" s="4"/>
      <c r="F61" s="15">
        <f t="shared" si="3"/>
        <v>1.3066666666666666</v>
      </c>
      <c r="G61" s="16">
        <f t="shared" si="1"/>
        <v>0.22560763710037426</v>
      </c>
      <c r="I61" s="12"/>
    </row>
    <row r="62" spans="1:9">
      <c r="A62" s="1">
        <f t="shared" si="0"/>
        <v>1839</v>
      </c>
      <c r="B62">
        <v>160</v>
      </c>
      <c r="C62" s="13">
        <f t="shared" si="2"/>
        <v>1.0666666666666667</v>
      </c>
      <c r="D62" s="4"/>
      <c r="E62" s="4"/>
      <c r="F62" s="15">
        <f t="shared" si="3"/>
        <v>1.0666666666666667</v>
      </c>
      <c r="G62" s="16">
        <f t="shared" si="1"/>
        <v>0.18416949967377494</v>
      </c>
      <c r="I62" s="12"/>
    </row>
    <row r="63" spans="1:9">
      <c r="A63" s="1">
        <f t="shared" si="0"/>
        <v>1840</v>
      </c>
      <c r="B63">
        <v>197</v>
      </c>
      <c r="C63" s="13">
        <f t="shared" si="2"/>
        <v>1.3133333333333332</v>
      </c>
      <c r="D63" s="4"/>
      <c r="E63" s="4"/>
      <c r="F63" s="15">
        <f t="shared" si="3"/>
        <v>1.3133333333333332</v>
      </c>
      <c r="G63" s="16">
        <f t="shared" si="1"/>
        <v>0.22675869647333535</v>
      </c>
      <c r="I63" s="12"/>
    </row>
    <row r="64" spans="1:9">
      <c r="A64" s="1">
        <f t="shared" si="0"/>
        <v>1841</v>
      </c>
      <c r="B64">
        <v>254</v>
      </c>
      <c r="C64" s="13">
        <f t="shared" si="2"/>
        <v>1.6933333333333334</v>
      </c>
      <c r="D64" s="4"/>
      <c r="E64" s="4"/>
      <c r="F64" s="15">
        <f t="shared" si="3"/>
        <v>1.6933333333333334</v>
      </c>
      <c r="G64" s="16">
        <f t="shared" si="1"/>
        <v>0.2923690807321177</v>
      </c>
      <c r="I64" s="12"/>
    </row>
    <row r="65" spans="1:9">
      <c r="A65" s="1">
        <f t="shared" si="0"/>
        <v>1842</v>
      </c>
      <c r="B65">
        <v>203</v>
      </c>
      <c r="C65" s="13">
        <f t="shared" si="2"/>
        <v>1.3533333333333333</v>
      </c>
      <c r="D65" s="4"/>
      <c r="E65" s="4"/>
      <c r="F65" s="15">
        <f t="shared" si="3"/>
        <v>1.3533333333333333</v>
      </c>
      <c r="G65" s="16">
        <f t="shared" si="1"/>
        <v>0.23366505271110191</v>
      </c>
      <c r="I65" s="12"/>
    </row>
    <row r="66" spans="1:9">
      <c r="A66" s="1">
        <f t="shared" si="0"/>
        <v>1843</v>
      </c>
      <c r="B66">
        <v>115</v>
      </c>
      <c r="C66" s="13">
        <f t="shared" si="2"/>
        <v>0.76666666666666672</v>
      </c>
      <c r="D66" s="4"/>
      <c r="E66" s="4"/>
      <c r="F66" s="15">
        <f t="shared" si="3"/>
        <v>0.76666666666666672</v>
      </c>
      <c r="G66" s="16">
        <f t="shared" si="1"/>
        <v>0.13237182789052573</v>
      </c>
      <c r="I66" s="12"/>
    </row>
    <row r="67" spans="1:9">
      <c r="A67" s="1">
        <f t="shared" si="0"/>
        <v>1844</v>
      </c>
      <c r="B67">
        <v>75</v>
      </c>
      <c r="C67" s="13">
        <f t="shared" si="2"/>
        <v>0.5</v>
      </c>
      <c r="D67" s="4"/>
      <c r="E67" s="4"/>
      <c r="F67" s="15">
        <f t="shared" si="3"/>
        <v>0.5</v>
      </c>
      <c r="G67" s="16">
        <f t="shared" si="1"/>
        <v>8.6329452972081999E-2</v>
      </c>
      <c r="I67" s="12"/>
    </row>
    <row r="68" spans="1:9">
      <c r="A68" s="1">
        <f t="shared" si="0"/>
        <v>1845</v>
      </c>
      <c r="B68">
        <v>116</v>
      </c>
      <c r="C68" s="13">
        <f t="shared" si="2"/>
        <v>0.77333333333333332</v>
      </c>
      <c r="D68" s="4"/>
      <c r="E68" s="4"/>
      <c r="F68" s="15">
        <f t="shared" si="3"/>
        <v>0.77333333333333332</v>
      </c>
      <c r="G68" s="16">
        <f t="shared" si="1"/>
        <v>0.13352288726348682</v>
      </c>
      <c r="I68" s="12"/>
    </row>
    <row r="69" spans="1:9">
      <c r="A69" s="1">
        <f t="shared" ref="A69:A132" si="4">+A68+1</f>
        <v>1846</v>
      </c>
      <c r="B69">
        <v>135</v>
      </c>
      <c r="C69" s="13">
        <f t="shared" si="2"/>
        <v>0.9</v>
      </c>
      <c r="D69" s="4"/>
      <c r="E69" s="4"/>
      <c r="F69" s="15">
        <f t="shared" si="3"/>
        <v>0.9</v>
      </c>
      <c r="G69" s="16">
        <f t="shared" si="1"/>
        <v>0.15539301534974759</v>
      </c>
      <c r="I69" s="12"/>
    </row>
    <row r="70" spans="1:9">
      <c r="A70" s="1">
        <f t="shared" si="4"/>
        <v>1847</v>
      </c>
      <c r="B70">
        <v>100</v>
      </c>
      <c r="C70" s="13">
        <f t="shared" si="2"/>
        <v>0.66666666666666663</v>
      </c>
      <c r="D70" s="4"/>
      <c r="E70" s="4"/>
      <c r="F70" s="15">
        <f t="shared" si="3"/>
        <v>0.66666666666666663</v>
      </c>
      <c r="G70" s="16">
        <f t="shared" si="1"/>
        <v>0.11510593729610931</v>
      </c>
      <c r="I70" s="12"/>
    </row>
    <row r="71" spans="1:9">
      <c r="A71" s="1">
        <f t="shared" si="4"/>
        <v>1848</v>
      </c>
      <c r="B71">
        <v>385</v>
      </c>
      <c r="C71" s="13">
        <f t="shared" si="2"/>
        <v>2.5666666666666669</v>
      </c>
      <c r="D71" s="4"/>
      <c r="E71" s="4"/>
      <c r="F71" s="15">
        <f t="shared" si="3"/>
        <v>2.5666666666666669</v>
      </c>
      <c r="G71" s="16">
        <f t="shared" si="1"/>
        <v>0.44315785859002094</v>
      </c>
      <c r="I71" s="12"/>
    </row>
    <row r="72" spans="1:9">
      <c r="A72" s="1">
        <f t="shared" si="4"/>
        <v>1849</v>
      </c>
      <c r="B72">
        <v>361</v>
      </c>
      <c r="C72" s="13">
        <f t="shared" si="2"/>
        <v>2.4066666666666667</v>
      </c>
      <c r="D72" s="4"/>
      <c r="E72" s="4"/>
      <c r="F72" s="15">
        <f t="shared" si="3"/>
        <v>2.4066666666666667</v>
      </c>
      <c r="G72" s="16">
        <f t="shared" si="1"/>
        <v>0.4155324336389547</v>
      </c>
      <c r="I72" s="12"/>
    </row>
    <row r="73" spans="1:9">
      <c r="A73" s="1">
        <f t="shared" si="4"/>
        <v>1850</v>
      </c>
      <c r="B73">
        <v>470</v>
      </c>
      <c r="C73" s="13">
        <f t="shared" si="2"/>
        <v>3.1333333333333333</v>
      </c>
      <c r="D73" s="4"/>
      <c r="E73" s="4"/>
      <c r="F73" s="15">
        <f t="shared" si="3"/>
        <v>3.1333333333333333</v>
      </c>
      <c r="G73" s="16">
        <f t="shared" si="1"/>
        <v>0.54099790529171377</v>
      </c>
      <c r="I73" s="12"/>
    </row>
    <row r="74" spans="1:9">
      <c r="A74" s="1">
        <f t="shared" si="4"/>
        <v>1851</v>
      </c>
      <c r="B74">
        <v>462</v>
      </c>
      <c r="C74" s="13">
        <f t="shared" si="2"/>
        <v>3.08</v>
      </c>
      <c r="D74" s="4"/>
      <c r="E74" s="4"/>
      <c r="F74" s="15">
        <f t="shared" si="3"/>
        <v>3.08</v>
      </c>
      <c r="G74" s="16">
        <f t="shared" si="1"/>
        <v>0.53178943030802506</v>
      </c>
      <c r="I74" s="12"/>
    </row>
    <row r="75" spans="1:9">
      <c r="A75" s="1">
        <f t="shared" si="4"/>
        <v>1852</v>
      </c>
      <c r="B75">
        <v>912</v>
      </c>
      <c r="C75" s="13">
        <f t="shared" si="2"/>
        <v>6.08</v>
      </c>
      <c r="D75" s="4"/>
      <c r="E75" s="4"/>
      <c r="F75" s="15">
        <f t="shared" si="3"/>
        <v>6.08</v>
      </c>
      <c r="G75" s="16">
        <f t="shared" si="1"/>
        <v>1.0497661481405172</v>
      </c>
      <c r="I75" s="12"/>
    </row>
    <row r="76" spans="1:9">
      <c r="A76" s="1">
        <f t="shared" si="4"/>
        <v>1853</v>
      </c>
      <c r="B76">
        <v>869</v>
      </c>
      <c r="C76" s="13">
        <f t="shared" si="2"/>
        <v>5.793333333333333</v>
      </c>
      <c r="D76" s="4"/>
      <c r="E76" s="4"/>
      <c r="F76" s="15">
        <f t="shared" si="3"/>
        <v>5.793333333333333</v>
      </c>
      <c r="G76" s="16">
        <f t="shared" si="1"/>
        <v>1.0002705951031898</v>
      </c>
      <c r="I76" s="12"/>
    </row>
    <row r="77" spans="1:9">
      <c r="A77" s="1">
        <f t="shared" si="4"/>
        <v>1854</v>
      </c>
      <c r="B77">
        <v>1339</v>
      </c>
      <c r="C77" s="13">
        <f t="shared" si="2"/>
        <v>8.9266666666666659</v>
      </c>
      <c r="D77" s="4"/>
      <c r="E77" s="4"/>
      <c r="F77" s="15">
        <f t="shared" si="3"/>
        <v>8.9266666666666659</v>
      </c>
      <c r="G77" s="16">
        <f t="shared" si="1"/>
        <v>1.5412685003949038</v>
      </c>
      <c r="I77" s="12"/>
    </row>
    <row r="78" spans="1:9">
      <c r="A78" s="1">
        <f t="shared" si="4"/>
        <v>1855</v>
      </c>
      <c r="B78">
        <v>1498</v>
      </c>
      <c r="C78" s="13">
        <f t="shared" si="2"/>
        <v>9.9866666666666664</v>
      </c>
      <c r="D78" s="4"/>
      <c r="E78" s="4"/>
      <c r="F78" s="15">
        <f t="shared" si="3"/>
        <v>9.9866666666666664</v>
      </c>
      <c r="G78" s="16">
        <f t="shared" si="1"/>
        <v>1.7242869406957178</v>
      </c>
      <c r="I78" s="12"/>
    </row>
    <row r="79" spans="1:9">
      <c r="A79" s="1">
        <f t="shared" si="4"/>
        <v>1856</v>
      </c>
      <c r="B79">
        <v>1134</v>
      </c>
      <c r="C79" s="13">
        <f t="shared" si="2"/>
        <v>7.56</v>
      </c>
      <c r="D79" s="4"/>
      <c r="E79" s="4"/>
      <c r="F79" s="15">
        <f t="shared" si="3"/>
        <v>7.56</v>
      </c>
      <c r="G79" s="16">
        <f t="shared" si="1"/>
        <v>1.3053013289378799</v>
      </c>
      <c r="I79" s="12"/>
    </row>
    <row r="80" spans="1:9">
      <c r="A80" s="1">
        <f t="shared" si="4"/>
        <v>1857</v>
      </c>
      <c r="B80">
        <v>1394</v>
      </c>
      <c r="C80" s="13">
        <f t="shared" si="2"/>
        <v>9.293333333333333</v>
      </c>
      <c r="D80" s="4"/>
      <c r="E80" s="4"/>
      <c r="F80" s="15">
        <f t="shared" si="3"/>
        <v>9.293333333333333</v>
      </c>
      <c r="G80" s="16">
        <f t="shared" si="1"/>
        <v>1.6045767659077639</v>
      </c>
      <c r="I80" s="12"/>
    </row>
    <row r="81" spans="1:9">
      <c r="A81" s="1">
        <f t="shared" si="4"/>
        <v>1858</v>
      </c>
      <c r="B81">
        <v>1431</v>
      </c>
      <c r="C81" s="13">
        <f t="shared" si="2"/>
        <v>9.5399999999999991</v>
      </c>
      <c r="D81" s="4"/>
      <c r="E81" s="4"/>
      <c r="F81" s="15">
        <f t="shared" si="3"/>
        <v>9.5399999999999991</v>
      </c>
      <c r="G81" s="16">
        <f t="shared" si="1"/>
        <v>1.6471659627073243</v>
      </c>
      <c r="I81" s="12"/>
    </row>
    <row r="82" spans="1:9">
      <c r="A82" s="1">
        <f t="shared" si="4"/>
        <v>1859</v>
      </c>
      <c r="B82">
        <v>1298</v>
      </c>
      <c r="C82" s="13">
        <f t="shared" si="2"/>
        <v>8.6533333333333342</v>
      </c>
      <c r="D82" s="4"/>
      <c r="E82" s="4"/>
      <c r="F82" s="15">
        <f t="shared" si="3"/>
        <v>8.6533333333333342</v>
      </c>
      <c r="G82" s="16">
        <f t="shared" si="1"/>
        <v>1.4940750661034992</v>
      </c>
      <c r="I82" s="12"/>
    </row>
    <row r="83" spans="1:9">
      <c r="A83" s="1">
        <f t="shared" si="4"/>
        <v>1860</v>
      </c>
      <c r="B83">
        <v>1242</v>
      </c>
      <c r="C83" s="13">
        <f t="shared" si="2"/>
        <v>8.2799999999999994</v>
      </c>
      <c r="F83" s="15">
        <f t="shared" si="3"/>
        <v>8.2799999999999994</v>
      </c>
      <c r="G83" s="16">
        <f t="shared" si="1"/>
        <v>1.4296157412176778</v>
      </c>
      <c r="I83" s="12"/>
    </row>
    <row r="84" spans="1:9">
      <c r="A84" s="1">
        <f t="shared" si="4"/>
        <v>1861</v>
      </c>
      <c r="B84" s="6">
        <v>1197</v>
      </c>
      <c r="C84" s="13">
        <f t="shared" si="2"/>
        <v>7.98</v>
      </c>
      <c r="D84" s="7"/>
      <c r="E84" s="7"/>
      <c r="F84" s="15">
        <f t="shared" si="3"/>
        <v>7.98</v>
      </c>
      <c r="G84" s="16">
        <f t="shared" si="1"/>
        <v>1.3778180694344286</v>
      </c>
      <c r="I84" s="12"/>
    </row>
    <row r="85" spans="1:9">
      <c r="A85" s="1">
        <f t="shared" si="4"/>
        <v>1862</v>
      </c>
      <c r="B85" s="6">
        <v>1067</v>
      </c>
      <c r="C85" s="13">
        <f t="shared" si="2"/>
        <v>7.1133333333333333</v>
      </c>
      <c r="D85" s="7"/>
      <c r="E85" s="7"/>
      <c r="F85" s="15">
        <f t="shared" si="3"/>
        <v>7.1133333333333333</v>
      </c>
      <c r="G85" s="16">
        <f t="shared" si="1"/>
        <v>1.2281803509494866</v>
      </c>
      <c r="I85" s="12"/>
    </row>
    <row r="86" spans="1:9">
      <c r="A86" s="1">
        <f t="shared" si="4"/>
        <v>1863</v>
      </c>
      <c r="B86" s="8">
        <v>718</v>
      </c>
      <c r="C86" s="13">
        <f t="shared" si="2"/>
        <v>4.7866666666666671</v>
      </c>
      <c r="F86" s="15">
        <f t="shared" si="3"/>
        <v>4.7866666666666671</v>
      </c>
      <c r="G86" s="16">
        <f t="shared" si="1"/>
        <v>0.82646062978606505</v>
      </c>
      <c r="I86" s="12"/>
    </row>
    <row r="87" spans="1:9">
      <c r="A87" s="1">
        <f t="shared" si="4"/>
        <v>1864</v>
      </c>
      <c r="B87" s="8">
        <v>819</v>
      </c>
      <c r="C87" s="13">
        <f t="shared" si="2"/>
        <v>5.46</v>
      </c>
      <c r="F87" s="15">
        <f t="shared" si="3"/>
        <v>5.46</v>
      </c>
      <c r="G87" s="16">
        <f t="shared" ref="G87:G118" si="5">F87*100/$F$181</f>
        <v>0.94271762645513535</v>
      </c>
      <c r="I87" s="12"/>
    </row>
    <row r="88" spans="1:9">
      <c r="A88" s="1">
        <f t="shared" si="4"/>
        <v>1865</v>
      </c>
      <c r="B88" s="8">
        <v>762</v>
      </c>
      <c r="C88" s="13">
        <f t="shared" si="2"/>
        <v>5.08</v>
      </c>
      <c r="F88" s="15">
        <f t="shared" si="3"/>
        <v>5.08</v>
      </c>
      <c r="G88" s="16">
        <f t="shared" si="5"/>
        <v>0.87710724219635305</v>
      </c>
      <c r="I88" s="12"/>
    </row>
    <row r="89" spans="1:9">
      <c r="A89" s="1">
        <f t="shared" si="4"/>
        <v>1866</v>
      </c>
      <c r="B89" s="8">
        <v>1102</v>
      </c>
      <c r="C89" s="13">
        <f t="shared" si="2"/>
        <v>7.3466666666666667</v>
      </c>
      <c r="F89" s="15">
        <f t="shared" si="3"/>
        <v>7.3466666666666667</v>
      </c>
      <c r="G89" s="16">
        <f t="shared" si="5"/>
        <v>1.2684674290031248</v>
      </c>
      <c r="I89" s="12"/>
    </row>
    <row r="90" spans="1:9">
      <c r="A90" s="1">
        <f t="shared" si="4"/>
        <v>1867</v>
      </c>
      <c r="B90" s="8">
        <v>1560</v>
      </c>
      <c r="C90" s="13">
        <f t="shared" si="2"/>
        <v>10.4</v>
      </c>
      <c r="F90" s="15">
        <f t="shared" si="3"/>
        <v>10.4</v>
      </c>
      <c r="G90" s="16">
        <f t="shared" si="5"/>
        <v>1.7956526218193056</v>
      </c>
      <c r="I90" s="12"/>
    </row>
    <row r="91" spans="1:9">
      <c r="A91" s="1">
        <f t="shared" si="4"/>
        <v>1868</v>
      </c>
      <c r="B91" s="8">
        <v>1763</v>
      </c>
      <c r="C91" s="13">
        <f t="shared" si="2"/>
        <v>11.753333333333334</v>
      </c>
      <c r="F91" s="15">
        <f t="shared" si="3"/>
        <v>11.753333333333334</v>
      </c>
      <c r="G91" s="16">
        <f t="shared" si="5"/>
        <v>2.0293176745304078</v>
      </c>
      <c r="I91" s="12"/>
    </row>
    <row r="92" spans="1:9">
      <c r="A92" s="1">
        <f t="shared" si="4"/>
        <v>1869</v>
      </c>
      <c r="B92" s="8">
        <v>2525</v>
      </c>
      <c r="C92" s="13">
        <f t="shared" si="2"/>
        <v>16.833333333333332</v>
      </c>
      <c r="F92" s="15">
        <f t="shared" si="3"/>
        <v>16.833333333333332</v>
      </c>
      <c r="G92" s="16">
        <f t="shared" si="5"/>
        <v>2.9064249167267606</v>
      </c>
      <c r="I92" s="12"/>
    </row>
    <row r="93" spans="1:9">
      <c r="A93" s="1">
        <f t="shared" si="4"/>
        <v>1870</v>
      </c>
      <c r="B93" s="8">
        <v>3882</v>
      </c>
      <c r="C93" s="13">
        <f t="shared" si="2"/>
        <v>25.88</v>
      </c>
      <c r="F93" s="15">
        <f t="shared" si="3"/>
        <v>25.88</v>
      </c>
      <c r="G93" s="16">
        <f t="shared" si="5"/>
        <v>4.4684124858349641</v>
      </c>
      <c r="I93" s="12"/>
    </row>
    <row r="94" spans="1:9">
      <c r="A94" s="1">
        <f t="shared" si="4"/>
        <v>1871</v>
      </c>
      <c r="B94" s="8">
        <v>3613</v>
      </c>
      <c r="C94" s="13">
        <f t="shared" si="2"/>
        <v>24.086666666666666</v>
      </c>
      <c r="F94" s="15">
        <f t="shared" si="3"/>
        <v>24.086666666666666</v>
      </c>
      <c r="G94" s="16">
        <f t="shared" si="5"/>
        <v>4.1587775145084294</v>
      </c>
      <c r="I94" s="12"/>
    </row>
    <row r="95" spans="1:9">
      <c r="A95" s="1">
        <f t="shared" si="4"/>
        <v>1872</v>
      </c>
      <c r="B95" s="8">
        <v>4219</v>
      </c>
      <c r="C95" s="13">
        <f t="shared" si="2"/>
        <v>28.126666666666665</v>
      </c>
      <c r="F95" s="15">
        <f t="shared" si="3"/>
        <v>28.126666666666665</v>
      </c>
      <c r="G95" s="16">
        <f t="shared" si="5"/>
        <v>4.8563194945228521</v>
      </c>
      <c r="I95" s="12"/>
    </row>
    <row r="96" spans="1:9">
      <c r="A96" s="1">
        <f t="shared" si="4"/>
        <v>1873</v>
      </c>
      <c r="B96" s="8">
        <v>3774</v>
      </c>
      <c r="C96" s="13">
        <f t="shared" si="2"/>
        <v>25.16</v>
      </c>
      <c r="F96" s="15">
        <f t="shared" si="3"/>
        <v>25.16</v>
      </c>
      <c r="G96" s="16">
        <f t="shared" si="5"/>
        <v>4.3440980735551662</v>
      </c>
      <c r="I96" s="12"/>
    </row>
    <row r="97" spans="1:9">
      <c r="A97" s="1">
        <f t="shared" si="4"/>
        <v>1874</v>
      </c>
      <c r="B97" s="8">
        <v>2951</v>
      </c>
      <c r="C97" s="13">
        <f t="shared" si="2"/>
        <v>19.673333333333332</v>
      </c>
      <c r="F97" s="15">
        <f t="shared" si="3"/>
        <v>19.673333333333332</v>
      </c>
      <c r="G97" s="16">
        <f t="shared" si="5"/>
        <v>3.3967762096081859</v>
      </c>
      <c r="I97" s="12"/>
    </row>
    <row r="98" spans="1:9">
      <c r="A98" s="1">
        <f t="shared" si="4"/>
        <v>1875</v>
      </c>
      <c r="B98" s="8">
        <v>2548</v>
      </c>
      <c r="C98" s="13">
        <f t="shared" si="2"/>
        <v>16.986666666666668</v>
      </c>
      <c r="F98" s="15">
        <f t="shared" si="3"/>
        <v>16.986666666666668</v>
      </c>
      <c r="G98" s="16">
        <f t="shared" si="5"/>
        <v>2.9328992823048656</v>
      </c>
      <c r="I98" s="12"/>
    </row>
    <row r="99" spans="1:9">
      <c r="A99" s="1">
        <f t="shared" si="4"/>
        <v>1876</v>
      </c>
      <c r="B99" s="8">
        <v>2668</v>
      </c>
      <c r="C99" s="13">
        <f t="shared" si="2"/>
        <v>17.786666666666665</v>
      </c>
      <c r="F99" s="15">
        <f t="shared" si="3"/>
        <v>17.786666666666665</v>
      </c>
      <c r="G99" s="16">
        <f t="shared" si="5"/>
        <v>3.0710264070601965</v>
      </c>
      <c r="I99" s="12"/>
    </row>
    <row r="100" spans="1:9">
      <c r="A100" s="1">
        <f t="shared" si="4"/>
        <v>1877</v>
      </c>
      <c r="B100" s="8">
        <v>3016</v>
      </c>
      <c r="C100" s="13">
        <f t="shared" si="2"/>
        <v>20.106666666666666</v>
      </c>
      <c r="F100" s="15">
        <f t="shared" si="3"/>
        <v>20.106666666666666</v>
      </c>
      <c r="G100" s="16">
        <f t="shared" si="5"/>
        <v>3.4715950688506569</v>
      </c>
      <c r="I100" s="12"/>
    </row>
    <row r="101" spans="1:9">
      <c r="A101" s="1">
        <f t="shared" si="4"/>
        <v>1878</v>
      </c>
      <c r="B101" s="8">
        <v>3832</v>
      </c>
      <c r="C101" s="13">
        <f t="shared" si="2"/>
        <v>25.546666666666667</v>
      </c>
      <c r="F101" s="15">
        <f t="shared" si="3"/>
        <v>25.546666666666667</v>
      </c>
      <c r="G101" s="16">
        <f t="shared" si="5"/>
        <v>4.4108595171869096</v>
      </c>
      <c r="I101" s="12"/>
    </row>
    <row r="102" spans="1:9">
      <c r="A102" s="1">
        <f t="shared" si="4"/>
        <v>1879</v>
      </c>
      <c r="B102" s="8">
        <v>3554</v>
      </c>
      <c r="C102" s="13">
        <f t="shared" si="2"/>
        <v>23.693333333333332</v>
      </c>
      <c r="F102" s="15">
        <f t="shared" si="3"/>
        <v>23.693333333333332</v>
      </c>
      <c r="G102" s="16">
        <f t="shared" si="5"/>
        <v>4.0908650115037251</v>
      </c>
      <c r="I102" s="12"/>
    </row>
    <row r="103" spans="1:9">
      <c r="A103" s="1">
        <f t="shared" si="4"/>
        <v>1880</v>
      </c>
      <c r="B103" s="8">
        <v>4083</v>
      </c>
      <c r="C103" s="13">
        <f t="shared" si="2"/>
        <v>27.22</v>
      </c>
      <c r="F103" s="15">
        <f t="shared" si="3"/>
        <v>27.22</v>
      </c>
      <c r="G103" s="16">
        <f t="shared" si="5"/>
        <v>4.6997754198001438</v>
      </c>
      <c r="I103" s="12"/>
    </row>
    <row r="104" spans="1:9">
      <c r="A104" s="1">
        <f t="shared" si="4"/>
        <v>1881</v>
      </c>
      <c r="B104" s="8">
        <v>7558</v>
      </c>
      <c r="C104" s="13">
        <f t="shared" si="2"/>
        <v>50.386666666666663</v>
      </c>
      <c r="F104" s="15">
        <f t="shared" si="3"/>
        <v>50.386666666666663</v>
      </c>
      <c r="G104" s="16">
        <f t="shared" si="5"/>
        <v>8.6997067408399413</v>
      </c>
      <c r="I104" s="12"/>
    </row>
    <row r="105" spans="1:9">
      <c r="A105" s="1">
        <f t="shared" si="4"/>
        <v>1882</v>
      </c>
      <c r="B105" s="8">
        <v>7378</v>
      </c>
      <c r="C105" s="13">
        <f t="shared" si="2"/>
        <v>49.186666666666667</v>
      </c>
      <c r="F105" s="15">
        <f t="shared" si="3"/>
        <v>49.186666666666667</v>
      </c>
      <c r="G105" s="16">
        <f t="shared" si="5"/>
        <v>8.4925160537069466</v>
      </c>
      <c r="I105" s="12"/>
    </row>
    <row r="106" spans="1:9">
      <c r="A106" s="1">
        <f t="shared" si="4"/>
        <v>1883</v>
      </c>
      <c r="B106" s="8">
        <v>6156</v>
      </c>
      <c r="C106" s="13">
        <f t="shared" si="2"/>
        <v>41.04</v>
      </c>
      <c r="F106" s="15">
        <f t="shared" si="3"/>
        <v>41.04</v>
      </c>
      <c r="G106" s="16">
        <f t="shared" si="5"/>
        <v>7.0859214999484905</v>
      </c>
      <c r="I106" s="12"/>
    </row>
    <row r="107" spans="1:9">
      <c r="A107" s="1">
        <f t="shared" si="4"/>
        <v>1884</v>
      </c>
      <c r="B107" s="8">
        <v>5741</v>
      </c>
      <c r="C107" s="13">
        <f t="shared" si="2"/>
        <v>38.273333333333333</v>
      </c>
      <c r="F107" s="15">
        <f t="shared" si="3"/>
        <v>38.273333333333333</v>
      </c>
      <c r="G107" s="16">
        <f t="shared" si="5"/>
        <v>6.6082318601696368</v>
      </c>
      <c r="I107" s="12"/>
    </row>
    <row r="108" spans="1:9">
      <c r="A108" s="1">
        <f t="shared" si="4"/>
        <v>1885</v>
      </c>
      <c r="B108" s="8">
        <v>4627</v>
      </c>
      <c r="C108" s="13">
        <f t="shared" si="2"/>
        <v>30.846666666666668</v>
      </c>
      <c r="F108" s="15">
        <f t="shared" si="3"/>
        <v>30.846666666666668</v>
      </c>
      <c r="G108" s="16">
        <f t="shared" si="5"/>
        <v>5.3259517186909795</v>
      </c>
      <c r="I108" s="12"/>
    </row>
    <row r="109" spans="1:9">
      <c r="A109" s="1">
        <f t="shared" si="4"/>
        <v>1886</v>
      </c>
      <c r="B109">
        <v>4617</v>
      </c>
      <c r="C109" s="13">
        <f t="shared" si="2"/>
        <v>30.78</v>
      </c>
      <c r="F109" s="15">
        <f t="shared" si="3"/>
        <v>30.78</v>
      </c>
      <c r="G109" s="16">
        <f t="shared" si="5"/>
        <v>5.3144411249613679</v>
      </c>
      <c r="I109" s="12"/>
    </row>
    <row r="110" spans="1:9">
      <c r="A110" s="1">
        <f t="shared" si="4"/>
        <v>1887</v>
      </c>
      <c r="B110" s="8">
        <v>7882</v>
      </c>
      <c r="C110" s="13">
        <f t="shared" si="2"/>
        <v>52.546666666666667</v>
      </c>
      <c r="F110" s="15">
        <f t="shared" si="3"/>
        <v>52.546666666666667</v>
      </c>
      <c r="G110" s="16">
        <f t="shared" si="5"/>
        <v>9.0726499776793386</v>
      </c>
      <c r="I110" s="12"/>
    </row>
    <row r="111" spans="1:9">
      <c r="A111" s="1">
        <f t="shared" si="4"/>
        <v>1888</v>
      </c>
      <c r="B111" s="8">
        <v>7810</v>
      </c>
      <c r="C111" s="13">
        <f t="shared" si="2"/>
        <v>52.06666666666667</v>
      </c>
      <c r="F111" s="15">
        <f t="shared" si="3"/>
        <v>52.06666666666667</v>
      </c>
      <c r="G111" s="16">
        <f t="shared" si="5"/>
        <v>8.9897737028261382</v>
      </c>
      <c r="I111" s="12"/>
    </row>
    <row r="112" spans="1:9">
      <c r="A112" s="1">
        <f t="shared" si="4"/>
        <v>1889</v>
      </c>
      <c r="B112" s="8">
        <v>8324</v>
      </c>
      <c r="C112" s="13">
        <f t="shared" si="2"/>
        <v>55.493333333333332</v>
      </c>
      <c r="F112" s="15">
        <f t="shared" si="3"/>
        <v>55.493333333333332</v>
      </c>
      <c r="G112" s="16">
        <f t="shared" si="5"/>
        <v>9.5814182205281408</v>
      </c>
      <c r="I112" s="12"/>
    </row>
    <row r="113" spans="1:9">
      <c r="A113" s="1">
        <f t="shared" si="4"/>
        <v>1890</v>
      </c>
      <c r="B113" s="8">
        <v>10549</v>
      </c>
      <c r="C113" s="13">
        <f t="shared" si="2"/>
        <v>70.326666666666668</v>
      </c>
      <c r="F113" s="15">
        <f t="shared" si="3"/>
        <v>70.326666666666668</v>
      </c>
      <c r="G113" s="16">
        <f t="shared" si="5"/>
        <v>12.142525325366574</v>
      </c>
      <c r="I113" s="12"/>
    </row>
    <row r="114" spans="1:9">
      <c r="A114" s="1">
        <f t="shared" si="4"/>
        <v>1891</v>
      </c>
      <c r="B114" s="8">
        <v>9943</v>
      </c>
      <c r="C114" s="13">
        <f t="shared" si="2"/>
        <v>66.286666666666662</v>
      </c>
      <c r="F114" s="15">
        <f t="shared" si="3"/>
        <v>66.286666666666662</v>
      </c>
      <c r="G114" s="16">
        <f t="shared" si="5"/>
        <v>11.444983345352149</v>
      </c>
      <c r="I114" s="12"/>
    </row>
    <row r="115" spans="1:9">
      <c r="A115" s="1">
        <f t="shared" si="4"/>
        <v>1892</v>
      </c>
      <c r="B115" s="8">
        <v>9992</v>
      </c>
      <c r="C115" s="13">
        <f t="shared" si="2"/>
        <v>66.61333333333333</v>
      </c>
      <c r="F115" s="15">
        <f t="shared" si="3"/>
        <v>66.61333333333333</v>
      </c>
      <c r="G115" s="16">
        <f t="shared" si="5"/>
        <v>11.501385254627243</v>
      </c>
      <c r="I115" s="12"/>
    </row>
    <row r="116" spans="1:9">
      <c r="A116" s="1">
        <f t="shared" si="4"/>
        <v>1893</v>
      </c>
      <c r="B116" s="8">
        <v>10372</v>
      </c>
      <c r="C116" s="13">
        <f t="shared" si="2"/>
        <v>69.146666666666661</v>
      </c>
      <c r="F116" s="15">
        <f t="shared" si="3"/>
        <v>69.146666666666661</v>
      </c>
      <c r="G116" s="16">
        <f t="shared" si="5"/>
        <v>11.938787816352459</v>
      </c>
      <c r="I116" s="12"/>
    </row>
    <row r="117" spans="1:9">
      <c r="A117" s="1">
        <f t="shared" si="4"/>
        <v>1894</v>
      </c>
      <c r="B117" s="8">
        <v>9202</v>
      </c>
      <c r="C117" s="13">
        <f t="shared" si="2"/>
        <v>61.346666666666664</v>
      </c>
      <c r="F117" s="15">
        <f t="shared" si="3"/>
        <v>61.346666666666664</v>
      </c>
      <c r="G117" s="16">
        <f t="shared" si="5"/>
        <v>10.59204834998798</v>
      </c>
      <c r="I117" s="12"/>
    </row>
    <row r="118" spans="1:9">
      <c r="A118" s="1">
        <f t="shared" si="4"/>
        <v>1895</v>
      </c>
      <c r="B118" s="8">
        <v>9914</v>
      </c>
      <c r="C118" s="13">
        <f t="shared" si="2"/>
        <v>66.093333333333334</v>
      </c>
      <c r="F118" s="15">
        <f t="shared" si="3"/>
        <v>66.093333333333334</v>
      </c>
      <c r="G118" s="16">
        <f t="shared" si="5"/>
        <v>11.411602623536279</v>
      </c>
      <c r="I118" s="12"/>
    </row>
    <row r="119" spans="1:9">
      <c r="A119" s="1">
        <f t="shared" si="4"/>
        <v>1896</v>
      </c>
      <c r="B119" s="8">
        <v>12348</v>
      </c>
      <c r="C119" s="13">
        <f t="shared" si="2"/>
        <v>82.32</v>
      </c>
      <c r="F119" s="15">
        <f t="shared" si="3"/>
        <v>82.32</v>
      </c>
      <c r="G119" s="16">
        <f t="shared" ref="G119:G150" si="6">F119*100/$F$181</f>
        <v>14.21328113732358</v>
      </c>
      <c r="I119" s="12"/>
    </row>
    <row r="120" spans="1:9">
      <c r="A120" s="1">
        <f t="shared" si="4"/>
        <v>1897</v>
      </c>
      <c r="B120" s="8">
        <v>12417</v>
      </c>
      <c r="C120" s="13">
        <f t="shared" ref="C120:C153" si="7">B120*100/$B$124</f>
        <v>82.78</v>
      </c>
      <c r="F120" s="15">
        <f>C120</f>
        <v>82.78</v>
      </c>
      <c r="G120" s="16">
        <f t="shared" si="6"/>
        <v>14.292704234057895</v>
      </c>
      <c r="I120" s="12"/>
    </row>
    <row r="121" spans="1:9">
      <c r="A121" s="1">
        <f t="shared" si="4"/>
        <v>1898</v>
      </c>
      <c r="B121" s="8">
        <v>11867</v>
      </c>
      <c r="C121" s="13">
        <f t="shared" si="7"/>
        <v>79.11333333333333</v>
      </c>
      <c r="F121" s="15">
        <f>C121</f>
        <v>79.11333333333333</v>
      </c>
      <c r="G121" s="16">
        <f t="shared" si="6"/>
        <v>13.659621578929293</v>
      </c>
      <c r="I121" s="12"/>
    </row>
    <row r="122" spans="1:9">
      <c r="A122" s="1">
        <f t="shared" si="4"/>
        <v>1899</v>
      </c>
      <c r="B122" s="8">
        <v>13322</v>
      </c>
      <c r="C122" s="13">
        <f t="shared" si="7"/>
        <v>88.813333333333333</v>
      </c>
      <c r="F122" s="15">
        <f>C122</f>
        <v>88.813333333333333</v>
      </c>
      <c r="G122" s="16">
        <f t="shared" si="6"/>
        <v>15.334412966587685</v>
      </c>
      <c r="I122" s="12"/>
    </row>
    <row r="123" spans="1:9">
      <c r="A123" s="1">
        <f t="shared" si="4"/>
        <v>1900</v>
      </c>
      <c r="B123" s="8">
        <v>14471</v>
      </c>
      <c r="C123" s="13">
        <f t="shared" si="7"/>
        <v>96.473333333333329</v>
      </c>
      <c r="F123" s="15">
        <f>C123</f>
        <v>96.473333333333329</v>
      </c>
      <c r="G123" s="16">
        <f t="shared" si="6"/>
        <v>16.656980186119977</v>
      </c>
      <c r="I123" s="12"/>
    </row>
    <row r="124" spans="1:9">
      <c r="A124" s="1">
        <f t="shared" si="4"/>
        <v>1901</v>
      </c>
      <c r="B124" s="8">
        <v>15000</v>
      </c>
      <c r="C124" s="13">
        <f t="shared" si="7"/>
        <v>100</v>
      </c>
      <c r="D124" s="9">
        <v>1.6759999999999999</v>
      </c>
      <c r="E124" s="14">
        <f>D124*100/$D$124</f>
        <v>100</v>
      </c>
      <c r="F124" s="17">
        <f>E124</f>
        <v>100</v>
      </c>
      <c r="G124" s="16">
        <f t="shared" si="6"/>
        <v>17.265890594416398</v>
      </c>
      <c r="I124" s="12"/>
    </row>
    <row r="125" spans="1:9">
      <c r="A125" s="1">
        <f t="shared" si="4"/>
        <v>1902</v>
      </c>
      <c r="B125" s="8">
        <v>18456</v>
      </c>
      <c r="C125" s="13">
        <f t="shared" si="7"/>
        <v>123.04</v>
      </c>
      <c r="D125" s="9">
        <v>2.0459999999999998</v>
      </c>
      <c r="E125" s="14">
        <f t="shared" ref="E125:E188" si="8">D125*100/$D$124</f>
        <v>122.0763723150358</v>
      </c>
      <c r="F125" s="17">
        <f t="shared" ref="F125:F188" si="9">E125</f>
        <v>122.0763723150358</v>
      </c>
      <c r="G125" s="16">
        <f t="shared" si="6"/>
        <v>21.077572885546513</v>
      </c>
      <c r="I125" s="12"/>
    </row>
    <row r="126" spans="1:9">
      <c r="A126" s="1">
        <f t="shared" si="4"/>
        <v>1903</v>
      </c>
      <c r="B126" s="8">
        <v>19966</v>
      </c>
      <c r="C126" s="13">
        <f t="shared" si="7"/>
        <v>133.10666666666665</v>
      </c>
      <c r="D126" s="9">
        <v>2.1909999999999998</v>
      </c>
      <c r="E126" s="14">
        <f t="shared" si="8"/>
        <v>130.72792362768496</v>
      </c>
      <c r="F126" s="17">
        <f t="shared" si="9"/>
        <v>130.72792362768496</v>
      </c>
      <c r="G126" s="16">
        <f t="shared" si="6"/>
        <v>22.571340269908312</v>
      </c>
      <c r="I126" s="12"/>
    </row>
    <row r="127" spans="1:9">
      <c r="A127" s="1">
        <f t="shared" si="4"/>
        <v>1904</v>
      </c>
      <c r="B127" s="8">
        <v>17078</v>
      </c>
      <c r="C127" s="13">
        <f t="shared" si="7"/>
        <v>113.85333333333334</v>
      </c>
      <c r="D127" s="9">
        <v>1.9490000000000001</v>
      </c>
      <c r="E127" s="14">
        <f t="shared" si="8"/>
        <v>116.28878281622913</v>
      </c>
      <c r="F127" s="17">
        <f t="shared" si="9"/>
        <v>116.28878281622913</v>
      </c>
      <c r="G127" s="16">
        <f t="shared" si="6"/>
        <v>20.078294014628618</v>
      </c>
      <c r="I127" s="12"/>
    </row>
    <row r="128" spans="1:9">
      <c r="A128" s="1">
        <f t="shared" si="4"/>
        <v>1905</v>
      </c>
      <c r="B128" s="8">
        <v>17537</v>
      </c>
      <c r="C128" s="13">
        <f t="shared" si="7"/>
        <v>116.91333333333333</v>
      </c>
      <c r="D128" s="9">
        <v>2</v>
      </c>
      <c r="E128" s="14">
        <f t="shared" si="8"/>
        <v>119.33174224343676</v>
      </c>
      <c r="F128" s="17">
        <f t="shared" si="9"/>
        <v>119.33174224343676</v>
      </c>
      <c r="G128" s="16">
        <f t="shared" si="6"/>
        <v>20.603688060162771</v>
      </c>
      <c r="I128" s="12"/>
    </row>
    <row r="129" spans="1:9">
      <c r="A129" s="1">
        <f t="shared" si="4"/>
        <v>1906</v>
      </c>
      <c r="B129" s="8">
        <v>20528</v>
      </c>
      <c r="C129" s="13">
        <f t="shared" si="7"/>
        <v>136.85333333333332</v>
      </c>
      <c r="D129" s="9">
        <v>2.3220000000000001</v>
      </c>
      <c r="E129" s="14">
        <f t="shared" si="8"/>
        <v>138.54415274463008</v>
      </c>
      <c r="F129" s="17">
        <f t="shared" si="9"/>
        <v>138.54415274463008</v>
      </c>
      <c r="G129" s="16">
        <f t="shared" si="6"/>
        <v>23.920881837848974</v>
      </c>
      <c r="I129" s="12"/>
    </row>
    <row r="130" spans="1:9">
      <c r="A130" s="1">
        <f t="shared" si="4"/>
        <v>1907</v>
      </c>
      <c r="B130" s="8">
        <v>22290</v>
      </c>
      <c r="C130" s="13">
        <f t="shared" si="7"/>
        <v>148.6</v>
      </c>
      <c r="D130" s="9">
        <v>2.5840000000000001</v>
      </c>
      <c r="E130" s="14">
        <f t="shared" si="8"/>
        <v>154.1766109785203</v>
      </c>
      <c r="F130" s="17">
        <f t="shared" si="9"/>
        <v>154.1766109785203</v>
      </c>
      <c r="G130" s="16">
        <f t="shared" si="6"/>
        <v>26.619964973730298</v>
      </c>
      <c r="I130" s="12"/>
    </row>
    <row r="131" spans="1:9">
      <c r="A131" s="1">
        <f t="shared" si="4"/>
        <v>1908</v>
      </c>
      <c r="B131" s="8">
        <v>17809</v>
      </c>
      <c r="C131" s="13">
        <f t="shared" si="7"/>
        <v>118.72666666666667</v>
      </c>
      <c r="D131" s="9">
        <v>2.0129999999999999</v>
      </c>
      <c r="E131" s="14">
        <f t="shared" si="8"/>
        <v>120.10739856801909</v>
      </c>
      <c r="F131" s="17">
        <f t="shared" si="9"/>
        <v>120.10739856801909</v>
      </c>
      <c r="G131" s="16">
        <f t="shared" si="6"/>
        <v>20.737612032553823</v>
      </c>
      <c r="I131" s="12"/>
    </row>
    <row r="132" spans="1:9">
      <c r="A132" s="1">
        <f t="shared" si="4"/>
        <v>1909</v>
      </c>
      <c r="B132" s="8">
        <v>19664</v>
      </c>
      <c r="C132" s="13">
        <f t="shared" si="7"/>
        <v>131.09333333333333</v>
      </c>
      <c r="D132" s="9">
        <v>2.3180000000000001</v>
      </c>
      <c r="E132" s="14">
        <f t="shared" si="8"/>
        <v>138.30548926014322</v>
      </c>
      <c r="F132" s="17">
        <f t="shared" si="9"/>
        <v>138.30548926014322</v>
      </c>
      <c r="G132" s="16">
        <f t="shared" si="6"/>
        <v>23.879674461728651</v>
      </c>
      <c r="I132" s="12"/>
    </row>
    <row r="133" spans="1:9">
      <c r="A133" s="1">
        <f t="shared" ref="A133:A196" si="10">+A132+1</f>
        <v>1910</v>
      </c>
      <c r="B133" s="8">
        <v>22819</v>
      </c>
      <c r="C133" s="13">
        <f t="shared" si="7"/>
        <v>152.12666666666667</v>
      </c>
      <c r="D133" s="9">
        <v>2.62</v>
      </c>
      <c r="E133" s="14">
        <f t="shared" si="8"/>
        <v>156.32458233890216</v>
      </c>
      <c r="F133" s="17">
        <f t="shared" si="9"/>
        <v>156.32458233890216</v>
      </c>
      <c r="G133" s="16">
        <f t="shared" si="6"/>
        <v>26.990831358813228</v>
      </c>
      <c r="I133" s="12"/>
    </row>
    <row r="134" spans="1:9">
      <c r="A134" s="1">
        <f t="shared" si="10"/>
        <v>1911</v>
      </c>
      <c r="B134" s="8">
        <v>21298</v>
      </c>
      <c r="C134" s="13">
        <f t="shared" si="7"/>
        <v>141.98666666666668</v>
      </c>
      <c r="D134" s="9">
        <v>2.4500000000000002</v>
      </c>
      <c r="E134" s="14">
        <f t="shared" si="8"/>
        <v>146.18138424821004</v>
      </c>
      <c r="F134" s="17">
        <f t="shared" si="9"/>
        <v>146.18138424821004</v>
      </c>
      <c r="G134" s="16">
        <f t="shared" si="6"/>
        <v>25.239517873699391</v>
      </c>
      <c r="I134" s="12"/>
    </row>
    <row r="135" spans="1:9">
      <c r="A135" s="1">
        <f t="shared" si="10"/>
        <v>1912</v>
      </c>
      <c r="B135" s="8">
        <v>23872</v>
      </c>
      <c r="C135" s="13">
        <f t="shared" si="7"/>
        <v>159.14666666666668</v>
      </c>
      <c r="D135" s="9">
        <v>2.7869999999999999</v>
      </c>
      <c r="E135" s="14">
        <f t="shared" si="8"/>
        <v>166.28878281622912</v>
      </c>
      <c r="F135" s="17">
        <f t="shared" si="9"/>
        <v>166.28878281622912</v>
      </c>
      <c r="G135" s="16">
        <f t="shared" si="6"/>
        <v>28.711239311836813</v>
      </c>
      <c r="I135" s="12"/>
    </row>
    <row r="136" spans="1:9">
      <c r="A136" s="1">
        <f t="shared" si="10"/>
        <v>1913</v>
      </c>
      <c r="B136" s="8">
        <v>24296</v>
      </c>
      <c r="C136" s="13">
        <f t="shared" si="7"/>
        <v>161.97333333333333</v>
      </c>
      <c r="D136" s="9">
        <v>2.9039999999999999</v>
      </c>
      <c r="E136" s="14">
        <f t="shared" si="8"/>
        <v>173.26968973747017</v>
      </c>
      <c r="F136" s="17">
        <f t="shared" si="9"/>
        <v>173.26968973747017</v>
      </c>
      <c r="G136" s="16">
        <f t="shared" si="6"/>
        <v>29.916555063356341</v>
      </c>
      <c r="I136" s="12"/>
    </row>
    <row r="137" spans="1:9">
      <c r="A137" s="1">
        <f t="shared" si="10"/>
        <v>1914</v>
      </c>
      <c r="B137" s="8">
        <v>18633</v>
      </c>
      <c r="C137" s="13">
        <f t="shared" si="7"/>
        <v>124.22</v>
      </c>
      <c r="D137" s="9">
        <v>2.3610000000000002</v>
      </c>
      <c r="E137" s="14">
        <f t="shared" si="8"/>
        <v>140.87112171837711</v>
      </c>
      <c r="F137" s="17">
        <f t="shared" si="9"/>
        <v>140.87112171837711</v>
      </c>
      <c r="G137" s="16">
        <f t="shared" si="6"/>
        <v>24.322653755022152</v>
      </c>
      <c r="I137" s="12"/>
    </row>
    <row r="138" spans="1:9">
      <c r="A138" s="1">
        <f t="shared" si="10"/>
        <v>1915</v>
      </c>
      <c r="B138" s="8">
        <v>16211</v>
      </c>
      <c r="C138" s="13">
        <f t="shared" si="7"/>
        <v>108.07333333333334</v>
      </c>
      <c r="D138" s="9">
        <v>2.1949999999999998</v>
      </c>
      <c r="E138" s="14">
        <f t="shared" si="8"/>
        <v>130.96658711217182</v>
      </c>
      <c r="F138" s="17">
        <f t="shared" si="9"/>
        <v>130.96658711217182</v>
      </c>
      <c r="G138" s="16">
        <f t="shared" si="6"/>
        <v>22.612547646028634</v>
      </c>
      <c r="I138" s="12"/>
    </row>
    <row r="139" spans="1:9">
      <c r="A139" s="1">
        <f t="shared" si="10"/>
        <v>1916</v>
      </c>
      <c r="B139" s="8">
        <v>21013</v>
      </c>
      <c r="C139" s="13">
        <f t="shared" si="7"/>
        <v>140.08666666666667</v>
      </c>
      <c r="D139" s="9">
        <v>2.8260000000000001</v>
      </c>
      <c r="E139" s="14">
        <f t="shared" si="8"/>
        <v>168.61575178997614</v>
      </c>
      <c r="F139" s="17">
        <f t="shared" si="9"/>
        <v>168.61575178997614</v>
      </c>
      <c r="G139" s="16">
        <f t="shared" si="6"/>
        <v>29.113011229009992</v>
      </c>
      <c r="I139" s="12"/>
    </row>
    <row r="140" spans="1:9">
      <c r="A140" s="1">
        <f t="shared" si="10"/>
        <v>1917</v>
      </c>
      <c r="B140" s="8">
        <v>22563</v>
      </c>
      <c r="C140" s="13">
        <f t="shared" si="7"/>
        <v>150.41999999999999</v>
      </c>
      <c r="D140" s="9">
        <v>3.194</v>
      </c>
      <c r="E140" s="14">
        <f t="shared" si="8"/>
        <v>190.5727923627685</v>
      </c>
      <c r="F140" s="17">
        <f t="shared" si="9"/>
        <v>190.5727923627685</v>
      </c>
      <c r="G140" s="16">
        <f t="shared" si="6"/>
        <v>32.90408983207994</v>
      </c>
      <c r="I140" s="12"/>
    </row>
    <row r="141" spans="1:9">
      <c r="A141" s="1">
        <f t="shared" si="10"/>
        <v>1918</v>
      </c>
      <c r="B141" s="8">
        <v>20273</v>
      </c>
      <c r="C141" s="13">
        <f t="shared" si="7"/>
        <v>135.15333333333334</v>
      </c>
      <c r="D141" s="9">
        <v>3.35</v>
      </c>
      <c r="E141" s="14">
        <f t="shared" si="8"/>
        <v>199.88066825775658</v>
      </c>
      <c r="F141" s="17">
        <f t="shared" si="9"/>
        <v>199.88066825775658</v>
      </c>
      <c r="G141" s="16">
        <f t="shared" si="6"/>
        <v>34.511177500772639</v>
      </c>
      <c r="I141" s="12"/>
    </row>
    <row r="142" spans="1:9">
      <c r="A142" s="1">
        <f t="shared" si="10"/>
        <v>1919</v>
      </c>
      <c r="B142" s="8">
        <v>20392</v>
      </c>
      <c r="C142" s="13">
        <f t="shared" si="7"/>
        <v>135.94666666666666</v>
      </c>
      <c r="D142" s="9">
        <v>3.4769999999999999</v>
      </c>
      <c r="E142" s="14">
        <f t="shared" si="8"/>
        <v>207.45823389021479</v>
      </c>
      <c r="F142" s="17">
        <f t="shared" si="9"/>
        <v>207.45823389021479</v>
      </c>
      <c r="G142" s="16">
        <f t="shared" si="6"/>
        <v>35.819511692592968</v>
      </c>
      <c r="I142" s="12"/>
    </row>
    <row r="143" spans="1:9">
      <c r="A143" s="1">
        <f t="shared" si="10"/>
        <v>1920</v>
      </c>
      <c r="B143" s="8">
        <v>24025</v>
      </c>
      <c r="C143" s="13">
        <f t="shared" si="7"/>
        <v>160.16666666666666</v>
      </c>
      <c r="D143" s="9">
        <v>4.1050000000000004</v>
      </c>
      <c r="E143" s="14">
        <f t="shared" si="8"/>
        <v>244.92840095465399</v>
      </c>
      <c r="F143" s="17">
        <f t="shared" si="9"/>
        <v>244.92840095465399</v>
      </c>
      <c r="G143" s="16">
        <f t="shared" si="6"/>
        <v>42.289069743484092</v>
      </c>
      <c r="I143" s="12"/>
    </row>
    <row r="144" spans="1:9">
      <c r="A144" s="1">
        <f t="shared" si="10"/>
        <v>1921</v>
      </c>
      <c r="B144" s="8">
        <v>18838</v>
      </c>
      <c r="C144" s="13">
        <f t="shared" si="7"/>
        <v>125.58666666666667</v>
      </c>
      <c r="D144" s="9">
        <v>3.1520000000000001</v>
      </c>
      <c r="E144" s="14">
        <f t="shared" si="8"/>
        <v>188.06682577565633</v>
      </c>
      <c r="F144" s="17">
        <f t="shared" si="9"/>
        <v>188.06682577565633</v>
      </c>
      <c r="G144" s="16">
        <f t="shared" si="6"/>
        <v>32.471412382816524</v>
      </c>
      <c r="I144" s="12"/>
    </row>
    <row r="145" spans="1:9">
      <c r="A145" s="1">
        <f t="shared" si="10"/>
        <v>1922</v>
      </c>
      <c r="B145" s="8">
        <v>22741</v>
      </c>
      <c r="C145" s="13">
        <f t="shared" si="7"/>
        <v>151.60666666666665</v>
      </c>
      <c r="D145" s="9">
        <v>3.6789999999999998</v>
      </c>
      <c r="E145" s="14">
        <f t="shared" si="8"/>
        <v>219.51073985680191</v>
      </c>
      <c r="F145" s="17">
        <f t="shared" si="9"/>
        <v>219.51073985680191</v>
      </c>
      <c r="G145" s="16">
        <f t="shared" si="6"/>
        <v>37.900484186669409</v>
      </c>
      <c r="I145" s="12"/>
    </row>
    <row r="146" spans="1:9">
      <c r="A146" s="1">
        <f t="shared" si="10"/>
        <v>1923</v>
      </c>
      <c r="B146" s="8">
        <v>28621</v>
      </c>
      <c r="C146" s="13">
        <f t="shared" si="7"/>
        <v>190.80666666666667</v>
      </c>
      <c r="D146" s="9">
        <v>4.8810000000000002</v>
      </c>
      <c r="E146" s="14">
        <f t="shared" si="8"/>
        <v>291.22911694510742</v>
      </c>
      <c r="F146" s="17">
        <f t="shared" si="9"/>
        <v>291.22911694510742</v>
      </c>
      <c r="G146" s="16">
        <f t="shared" si="6"/>
        <v>50.283300710827234</v>
      </c>
      <c r="I146" s="12"/>
    </row>
    <row r="147" spans="1:9">
      <c r="A147" s="1">
        <f t="shared" si="10"/>
        <v>1924</v>
      </c>
      <c r="B147" s="8">
        <v>26922</v>
      </c>
      <c r="C147" s="13">
        <f t="shared" si="7"/>
        <v>179.48</v>
      </c>
      <c r="D147" s="9">
        <v>4.4059999999999997</v>
      </c>
      <c r="E147" s="14">
        <f t="shared" si="8"/>
        <v>262.88782816229116</v>
      </c>
      <c r="F147" s="17">
        <f t="shared" si="9"/>
        <v>262.88782816229116</v>
      </c>
      <c r="G147" s="16">
        <f t="shared" si="6"/>
        <v>45.389924796538573</v>
      </c>
      <c r="I147" s="12"/>
    </row>
    <row r="148" spans="1:9">
      <c r="A148" s="1">
        <f t="shared" si="10"/>
        <v>1925</v>
      </c>
      <c r="B148" s="8">
        <v>29956</v>
      </c>
      <c r="C148" s="13">
        <f t="shared" si="7"/>
        <v>199.70666666666668</v>
      </c>
      <c r="D148" s="9">
        <v>5.3490000000000002</v>
      </c>
      <c r="E148" s="14">
        <f t="shared" si="8"/>
        <v>319.1527446300716</v>
      </c>
      <c r="F148" s="17">
        <f t="shared" si="9"/>
        <v>319.1527446300716</v>
      </c>
      <c r="G148" s="16">
        <f t="shared" si="6"/>
        <v>55.104563716905325</v>
      </c>
      <c r="I148" s="12"/>
    </row>
    <row r="149" spans="1:9">
      <c r="A149" s="1">
        <f t="shared" si="10"/>
        <v>1926</v>
      </c>
      <c r="B149" s="8">
        <v>32949</v>
      </c>
      <c r="C149" s="13">
        <f t="shared" si="7"/>
        <v>219.66</v>
      </c>
      <c r="D149" s="9">
        <v>5.38</v>
      </c>
      <c r="E149" s="14">
        <f t="shared" si="8"/>
        <v>321.00238663484487</v>
      </c>
      <c r="F149" s="17">
        <f t="shared" si="9"/>
        <v>321.00238663484487</v>
      </c>
      <c r="G149" s="16">
        <f t="shared" si="6"/>
        <v>55.423920881837844</v>
      </c>
      <c r="I149" s="12"/>
    </row>
    <row r="150" spans="1:9">
      <c r="A150" s="1">
        <f t="shared" si="10"/>
        <v>1927</v>
      </c>
      <c r="B150" s="8">
        <v>31811</v>
      </c>
      <c r="C150" s="13">
        <f t="shared" si="7"/>
        <v>212.07333333333332</v>
      </c>
      <c r="D150" s="9">
        <v>5.1609999999999996</v>
      </c>
      <c r="E150" s="14">
        <f t="shared" si="8"/>
        <v>307.93556085918851</v>
      </c>
      <c r="F150" s="17">
        <f t="shared" si="9"/>
        <v>307.93556085918851</v>
      </c>
      <c r="G150" s="16">
        <f t="shared" si="6"/>
        <v>53.167817039250018</v>
      </c>
      <c r="I150" s="12"/>
    </row>
    <row r="151" spans="1:9">
      <c r="A151" s="1">
        <f t="shared" si="10"/>
        <v>1928</v>
      </c>
      <c r="B151" s="8">
        <v>31974</v>
      </c>
      <c r="C151" s="13">
        <f t="shared" si="7"/>
        <v>213.16</v>
      </c>
      <c r="D151" s="9">
        <v>5.2409999999999997</v>
      </c>
      <c r="E151" s="14">
        <f t="shared" si="8"/>
        <v>312.70883054892596</v>
      </c>
      <c r="F151" s="17">
        <f t="shared" si="9"/>
        <v>312.70883054892596</v>
      </c>
      <c r="G151" s="16">
        <f t="shared" ref="G151:G182" si="11">F151*100/$F$181</f>
        <v>53.991964561656523</v>
      </c>
      <c r="I151" s="12"/>
    </row>
    <row r="152" spans="1:9">
      <c r="A152" s="1">
        <f t="shared" si="10"/>
        <v>1929</v>
      </c>
      <c r="B152" s="8">
        <v>34994</v>
      </c>
      <c r="C152" s="13">
        <f t="shared" si="7"/>
        <v>233.29333333333332</v>
      </c>
      <c r="D152" s="9">
        <v>5.6929999999999996</v>
      </c>
      <c r="E152" s="14">
        <f t="shared" si="8"/>
        <v>339.67780429594274</v>
      </c>
      <c r="F152" s="17">
        <f t="shared" si="9"/>
        <v>339.67780429594274</v>
      </c>
      <c r="G152" s="16">
        <f t="shared" si="11"/>
        <v>58.648398063253325</v>
      </c>
      <c r="I152" s="12"/>
    </row>
    <row r="153" spans="1:9">
      <c r="A153" s="1">
        <f t="shared" si="10"/>
        <v>1930</v>
      </c>
      <c r="B153" s="8">
        <v>28951</v>
      </c>
      <c r="C153" s="13">
        <f t="shared" si="7"/>
        <v>193.00666666666666</v>
      </c>
      <c r="D153" s="9">
        <v>4.9050000000000002</v>
      </c>
      <c r="E153" s="14">
        <f t="shared" si="8"/>
        <v>292.66109785202866</v>
      </c>
      <c r="F153" s="17">
        <f t="shared" si="9"/>
        <v>292.66109785202866</v>
      </c>
      <c r="G153" s="16">
        <f t="shared" si="11"/>
        <v>50.53054496754919</v>
      </c>
      <c r="I153" s="12"/>
    </row>
    <row r="154" spans="1:9">
      <c r="A154" s="1">
        <f t="shared" si="10"/>
        <v>1931</v>
      </c>
      <c r="D154" s="9">
        <v>3.347</v>
      </c>
      <c r="E154" s="14">
        <f t="shared" si="8"/>
        <v>199.70167064439141</v>
      </c>
      <c r="F154" s="17">
        <f t="shared" si="9"/>
        <v>199.70167064439141</v>
      </c>
      <c r="G154" s="16">
        <f t="shared" si="11"/>
        <v>34.480271968682395</v>
      </c>
      <c r="I154" s="12"/>
    </row>
    <row r="155" spans="1:9">
      <c r="A155" s="1">
        <f t="shared" si="10"/>
        <v>1932</v>
      </c>
      <c r="D155" s="9">
        <v>2.1739999999999999</v>
      </c>
      <c r="E155" s="14">
        <f t="shared" si="8"/>
        <v>129.71360381861575</v>
      </c>
      <c r="F155" s="17">
        <f t="shared" si="9"/>
        <v>129.71360381861575</v>
      </c>
      <c r="G155" s="16">
        <f t="shared" si="11"/>
        <v>22.39620892139693</v>
      </c>
      <c r="I155" s="12"/>
    </row>
    <row r="156" spans="1:9">
      <c r="A156" s="1">
        <f t="shared" si="10"/>
        <v>1933</v>
      </c>
      <c r="D156" s="9">
        <v>1.96</v>
      </c>
      <c r="E156" s="14">
        <f t="shared" si="8"/>
        <v>116.94510739856803</v>
      </c>
      <c r="F156" s="17">
        <f t="shared" si="9"/>
        <v>116.94510739856803</v>
      </c>
      <c r="G156" s="16">
        <f t="shared" si="11"/>
        <v>20.191614298959514</v>
      </c>
      <c r="I156" s="12"/>
    </row>
    <row r="157" spans="1:9">
      <c r="A157" s="1">
        <f t="shared" si="10"/>
        <v>1934</v>
      </c>
      <c r="D157" s="9">
        <v>2.347</v>
      </c>
      <c r="E157" s="14">
        <f t="shared" si="8"/>
        <v>140.03579952267302</v>
      </c>
      <c r="F157" s="17">
        <f t="shared" si="9"/>
        <v>140.03579952267302</v>
      </c>
      <c r="G157" s="16">
        <f t="shared" si="11"/>
        <v>24.178427938601008</v>
      </c>
      <c r="I157" s="12"/>
    </row>
    <row r="158" spans="1:9">
      <c r="A158" s="1">
        <f t="shared" si="10"/>
        <v>1935</v>
      </c>
      <c r="D158" s="9">
        <v>2.847</v>
      </c>
      <c r="E158" s="14">
        <f t="shared" si="8"/>
        <v>169.86873508353221</v>
      </c>
      <c r="F158" s="17">
        <f t="shared" si="9"/>
        <v>169.86873508353221</v>
      </c>
      <c r="G158" s="16">
        <f t="shared" si="11"/>
        <v>29.329349953641699</v>
      </c>
      <c r="I158" s="12"/>
    </row>
    <row r="159" spans="1:9">
      <c r="A159" s="1">
        <f t="shared" si="10"/>
        <v>1936</v>
      </c>
      <c r="D159" s="9">
        <v>3.7149999999999999</v>
      </c>
      <c r="E159" s="14">
        <f t="shared" si="8"/>
        <v>221.65871121718379</v>
      </c>
      <c r="F159" s="17">
        <f t="shared" si="9"/>
        <v>221.65871121718379</v>
      </c>
      <c r="G159" s="16">
        <f t="shared" si="11"/>
        <v>38.27135057175235</v>
      </c>
      <c r="I159" s="12"/>
    </row>
    <row r="160" spans="1:9">
      <c r="A160" s="1">
        <f t="shared" si="10"/>
        <v>1937</v>
      </c>
      <c r="D160" s="9">
        <v>4.4169999999999998</v>
      </c>
      <c r="E160" s="14">
        <f t="shared" si="8"/>
        <v>263.54415274463008</v>
      </c>
      <c r="F160" s="17">
        <f t="shared" si="9"/>
        <v>263.54415274463008</v>
      </c>
      <c r="G160" s="16">
        <f t="shared" si="11"/>
        <v>45.503245080869476</v>
      </c>
      <c r="I160" s="12"/>
    </row>
    <row r="161" spans="1:9">
      <c r="A161" s="1">
        <f t="shared" si="10"/>
        <v>1938</v>
      </c>
      <c r="D161" s="9">
        <v>3.3929999999999998</v>
      </c>
      <c r="E161" s="14">
        <f t="shared" si="8"/>
        <v>202.44630071599045</v>
      </c>
      <c r="F161" s="17">
        <f t="shared" si="9"/>
        <v>202.44630071599045</v>
      </c>
      <c r="G161" s="16">
        <f t="shared" si="11"/>
        <v>34.95415679406613</v>
      </c>
      <c r="I161" s="12"/>
    </row>
    <row r="162" spans="1:9">
      <c r="A162" s="1">
        <f t="shared" si="10"/>
        <v>1939</v>
      </c>
      <c r="D162" s="9">
        <v>3.6970000000000001</v>
      </c>
      <c r="E162" s="14">
        <f t="shared" si="8"/>
        <v>220.58472553699283</v>
      </c>
      <c r="F162" s="17">
        <f t="shared" si="9"/>
        <v>220.58472553699283</v>
      </c>
      <c r="G162" s="16">
        <f t="shared" si="11"/>
        <v>38.085917379210876</v>
      </c>
      <c r="I162" s="12"/>
    </row>
    <row r="163" spans="1:9">
      <c r="A163" s="1">
        <f t="shared" si="10"/>
        <v>1940</v>
      </c>
      <c r="D163" s="9">
        <v>4.4340000000000002</v>
      </c>
      <c r="E163" s="14">
        <f t="shared" si="8"/>
        <v>264.55847255369929</v>
      </c>
      <c r="F163" s="17">
        <f t="shared" si="9"/>
        <v>264.55847255369929</v>
      </c>
      <c r="G163" s="16">
        <f t="shared" si="11"/>
        <v>45.678376429380855</v>
      </c>
      <c r="I163" s="12"/>
    </row>
    <row r="164" spans="1:9">
      <c r="A164" s="1">
        <f t="shared" si="10"/>
        <v>1941</v>
      </c>
      <c r="D164" s="9">
        <v>5.0039999999999996</v>
      </c>
      <c r="E164" s="14">
        <f t="shared" si="8"/>
        <v>298.56801909307876</v>
      </c>
      <c r="F164" s="17">
        <f t="shared" si="9"/>
        <v>298.56801909307876</v>
      </c>
      <c r="G164" s="16">
        <f t="shared" si="11"/>
        <v>51.550427526527244</v>
      </c>
      <c r="I164" s="12"/>
    </row>
    <row r="165" spans="1:9">
      <c r="A165" s="1">
        <f t="shared" si="10"/>
        <v>1942</v>
      </c>
      <c r="D165" s="9">
        <v>3.214</v>
      </c>
      <c r="E165" s="14">
        <f t="shared" si="8"/>
        <v>191.76610978520287</v>
      </c>
      <c r="F165" s="17">
        <f t="shared" si="9"/>
        <v>191.76610978520287</v>
      </c>
      <c r="G165" s="16">
        <f t="shared" si="11"/>
        <v>33.11012671268157</v>
      </c>
      <c r="I165" s="12"/>
    </row>
    <row r="166" spans="1:9">
      <c r="A166" s="1">
        <f t="shared" si="10"/>
        <v>1943</v>
      </c>
      <c r="D166" s="9">
        <v>2.7130000000000001</v>
      </c>
      <c r="E166" s="14">
        <f t="shared" si="8"/>
        <v>161.87350835322198</v>
      </c>
      <c r="F166" s="17">
        <f t="shared" si="9"/>
        <v>161.87350835322198</v>
      </c>
      <c r="G166" s="16">
        <f t="shared" si="11"/>
        <v>27.9489028536108</v>
      </c>
      <c r="I166" s="12"/>
    </row>
    <row r="167" spans="1:9">
      <c r="A167" s="1">
        <f t="shared" si="10"/>
        <v>1944</v>
      </c>
      <c r="D167" s="9">
        <v>3.4350000000000001</v>
      </c>
      <c r="E167" s="14">
        <f t="shared" si="8"/>
        <v>204.95226730310264</v>
      </c>
      <c r="F167" s="17">
        <f t="shared" si="9"/>
        <v>204.95226730310264</v>
      </c>
      <c r="G167" s="16">
        <f t="shared" si="11"/>
        <v>35.386834243329552</v>
      </c>
      <c r="I167" s="12"/>
    </row>
    <row r="168" spans="1:9">
      <c r="A168" s="1">
        <f t="shared" si="10"/>
        <v>1945</v>
      </c>
      <c r="D168" s="9">
        <v>4.7649999999999997</v>
      </c>
      <c r="E168" s="14">
        <f t="shared" si="8"/>
        <v>284.30787589498806</v>
      </c>
      <c r="F168" s="17">
        <f t="shared" si="9"/>
        <v>284.30787589498806</v>
      </c>
      <c r="G168" s="16">
        <f t="shared" si="11"/>
        <v>49.088286803337795</v>
      </c>
      <c r="I168" s="12"/>
    </row>
    <row r="169" spans="1:9">
      <c r="A169" s="1">
        <f t="shared" si="10"/>
        <v>1946</v>
      </c>
      <c r="D169" s="9">
        <v>6.8630000000000004</v>
      </c>
      <c r="E169" s="14">
        <f t="shared" si="8"/>
        <v>409.48687350835326</v>
      </c>
      <c r="F169" s="17">
        <f t="shared" si="9"/>
        <v>409.48687350835326</v>
      </c>
      <c r="G169" s="16">
        <f t="shared" si="11"/>
        <v>70.701555578448534</v>
      </c>
      <c r="I169" s="12"/>
    </row>
    <row r="170" spans="1:9">
      <c r="A170" s="1">
        <f t="shared" si="10"/>
        <v>1947</v>
      </c>
      <c r="D170" s="9">
        <v>7.8310000000000004</v>
      </c>
      <c r="E170" s="14">
        <f t="shared" si="8"/>
        <v>467.24343675417663</v>
      </c>
      <c r="F170" s="17">
        <f t="shared" si="9"/>
        <v>467.24343675417663</v>
      </c>
      <c r="G170" s="16">
        <f t="shared" si="11"/>
        <v>80.673740599567324</v>
      </c>
      <c r="I170" s="12"/>
    </row>
    <row r="171" spans="1:9">
      <c r="A171" s="1">
        <f t="shared" si="10"/>
        <v>1948</v>
      </c>
      <c r="D171" s="9">
        <v>8.3290000000000006</v>
      </c>
      <c r="E171" s="14">
        <f t="shared" si="8"/>
        <v>496.95704057279244</v>
      </c>
      <c r="F171" s="17">
        <f t="shared" si="9"/>
        <v>496.95704057279244</v>
      </c>
      <c r="G171" s="16">
        <f t="shared" si="11"/>
        <v>85.804058926547867</v>
      </c>
      <c r="I171" s="12"/>
    </row>
    <row r="172" spans="1:9">
      <c r="A172" s="1">
        <f t="shared" si="10"/>
        <v>1949</v>
      </c>
      <c r="D172" s="9">
        <v>7.5640000000000001</v>
      </c>
      <c r="E172" s="14">
        <f t="shared" si="8"/>
        <v>451.31264916467779</v>
      </c>
      <c r="F172" s="17">
        <f t="shared" si="9"/>
        <v>451.31264916467779</v>
      </c>
      <c r="G172" s="16">
        <f t="shared" si="11"/>
        <v>77.923148243535579</v>
      </c>
      <c r="I172" s="12"/>
    </row>
    <row r="173" spans="1:9">
      <c r="A173" s="1">
        <f t="shared" si="10"/>
        <v>1950</v>
      </c>
      <c r="D173" s="9">
        <v>8.3030000000000008</v>
      </c>
      <c r="E173" s="14">
        <f t="shared" si="8"/>
        <v>495.40572792362775</v>
      </c>
      <c r="F173" s="17">
        <f t="shared" si="9"/>
        <v>495.40572792362775</v>
      </c>
      <c r="G173" s="16">
        <f t="shared" si="11"/>
        <v>85.536210981765748</v>
      </c>
      <c r="I173" s="12"/>
    </row>
    <row r="174" spans="1:9">
      <c r="A174" s="1">
        <f t="shared" si="10"/>
        <v>1951</v>
      </c>
      <c r="D174" s="9">
        <v>8.6890000000000001</v>
      </c>
      <c r="E174" s="14">
        <f t="shared" si="8"/>
        <v>518.43675417661098</v>
      </c>
      <c r="F174" s="17">
        <f t="shared" si="9"/>
        <v>518.43675417661098</v>
      </c>
      <c r="G174" s="16">
        <f t="shared" si="11"/>
        <v>89.512722777377149</v>
      </c>
      <c r="I174" s="12"/>
    </row>
    <row r="175" spans="1:9">
      <c r="A175" s="1">
        <f t="shared" si="10"/>
        <v>1952</v>
      </c>
      <c r="D175" s="9">
        <v>8.52</v>
      </c>
      <c r="E175" s="14">
        <f t="shared" si="8"/>
        <v>508.3532219570406</v>
      </c>
      <c r="F175" s="17">
        <f t="shared" si="9"/>
        <v>508.3532219570406</v>
      </c>
      <c r="G175" s="16">
        <f t="shared" si="11"/>
        <v>87.771711136293391</v>
      </c>
      <c r="I175" s="12"/>
    </row>
    <row r="176" spans="1:9">
      <c r="A176" s="1">
        <f t="shared" si="10"/>
        <v>1953</v>
      </c>
      <c r="D176" s="9">
        <v>9.2100000000000009</v>
      </c>
      <c r="E176" s="14">
        <f t="shared" si="8"/>
        <v>549.52267303102633</v>
      </c>
      <c r="F176" s="17">
        <f t="shared" si="9"/>
        <v>549.52267303102633</v>
      </c>
      <c r="G176" s="16">
        <f t="shared" si="11"/>
        <v>94.879983517049567</v>
      </c>
      <c r="I176" s="12"/>
    </row>
    <row r="177" spans="1:9">
      <c r="A177" s="1">
        <f t="shared" si="10"/>
        <v>1954</v>
      </c>
      <c r="D177" s="9">
        <v>8.9969999999999999</v>
      </c>
      <c r="E177" s="14">
        <f t="shared" si="8"/>
        <v>536.81384248210031</v>
      </c>
      <c r="F177" s="17">
        <f t="shared" si="9"/>
        <v>536.81384248210031</v>
      </c>
      <c r="G177" s="16">
        <f t="shared" si="11"/>
        <v>92.685690738642222</v>
      </c>
      <c r="I177" s="12"/>
    </row>
    <row r="178" spans="1:9">
      <c r="A178" s="1">
        <f t="shared" si="10"/>
        <v>1955</v>
      </c>
      <c r="D178" s="9">
        <v>10.006</v>
      </c>
      <c r="E178" s="14">
        <f t="shared" si="8"/>
        <v>597.01670644391413</v>
      </c>
      <c r="F178" s="17">
        <f t="shared" si="9"/>
        <v>597.01670644391413</v>
      </c>
      <c r="G178" s="16">
        <f t="shared" si="11"/>
        <v>103.08025136499434</v>
      </c>
      <c r="I178" s="12"/>
    </row>
    <row r="179" spans="1:9">
      <c r="A179" s="1">
        <f t="shared" si="10"/>
        <v>1956</v>
      </c>
      <c r="D179" s="9">
        <v>10.667999999999999</v>
      </c>
      <c r="E179" s="14">
        <f t="shared" si="8"/>
        <v>636.51551312649167</v>
      </c>
      <c r="F179" s="17">
        <f t="shared" si="9"/>
        <v>636.51551312649167</v>
      </c>
      <c r="G179" s="16">
        <f t="shared" si="11"/>
        <v>109.90007211290821</v>
      </c>
      <c r="I179" s="12"/>
    </row>
    <row r="180" spans="1:9">
      <c r="A180" s="1">
        <f t="shared" si="10"/>
        <v>1957</v>
      </c>
      <c r="D180" s="9">
        <v>10.824</v>
      </c>
      <c r="E180" s="14">
        <f t="shared" si="8"/>
        <v>645.82338902147978</v>
      </c>
      <c r="F180" s="17">
        <f t="shared" si="9"/>
        <v>645.82338902147978</v>
      </c>
      <c r="G180" s="16">
        <f t="shared" si="11"/>
        <v>111.50715978160092</v>
      </c>
      <c r="I180" s="12"/>
    </row>
    <row r="181" spans="1:9">
      <c r="A181" s="1">
        <f t="shared" si="10"/>
        <v>1958</v>
      </c>
      <c r="D181" s="9">
        <v>9.7070000000000007</v>
      </c>
      <c r="E181" s="14">
        <f t="shared" si="8"/>
        <v>579.17661097852033</v>
      </c>
      <c r="F181" s="17">
        <f t="shared" si="9"/>
        <v>579.17661097852033</v>
      </c>
      <c r="G181" s="16">
        <f t="shared" si="11"/>
        <v>100</v>
      </c>
      <c r="I181" s="12"/>
    </row>
    <row r="182" spans="1:9">
      <c r="A182" s="1">
        <f t="shared" si="10"/>
        <v>1959</v>
      </c>
      <c r="D182" s="9">
        <v>10.26</v>
      </c>
      <c r="E182" s="14">
        <f t="shared" si="8"/>
        <v>612.17183770883059</v>
      </c>
      <c r="F182" s="17">
        <f t="shared" si="9"/>
        <v>612.17183770883059</v>
      </c>
      <c r="G182" s="16">
        <f t="shared" si="11"/>
        <v>105.696919748635</v>
      </c>
      <c r="I182" s="12"/>
    </row>
    <row r="183" spans="1:9">
      <c r="A183" s="1">
        <f t="shared" si="10"/>
        <v>1960</v>
      </c>
      <c r="D183" s="9">
        <v>10.885999999999999</v>
      </c>
      <c r="E183" s="14">
        <f t="shared" si="8"/>
        <v>649.52267303102622</v>
      </c>
      <c r="F183" s="17">
        <f t="shared" si="9"/>
        <v>649.52267303102622</v>
      </c>
      <c r="G183" s="16">
        <f t="shared" ref="G183:G214" si="12">F183*100/$F$181</f>
        <v>112.14587411146593</v>
      </c>
      <c r="I183" s="12"/>
    </row>
    <row r="184" spans="1:9">
      <c r="A184" s="1">
        <f t="shared" si="10"/>
        <v>1961</v>
      </c>
      <c r="D184" s="9">
        <v>10.827999999999999</v>
      </c>
      <c r="E184" s="14">
        <f t="shared" si="8"/>
        <v>646.06205250596656</v>
      </c>
      <c r="F184" s="17">
        <f t="shared" si="9"/>
        <v>646.06205250596656</v>
      </c>
      <c r="G184" s="16">
        <f t="shared" si="12"/>
        <v>111.54836715772122</v>
      </c>
      <c r="I184" s="12"/>
    </row>
    <row r="185" spans="1:9">
      <c r="A185" s="1">
        <f t="shared" si="10"/>
        <v>1962</v>
      </c>
      <c r="D185" s="9">
        <v>11.8</v>
      </c>
      <c r="E185" s="14">
        <f t="shared" si="8"/>
        <v>704.05727923627683</v>
      </c>
      <c r="F185" s="17">
        <f t="shared" si="9"/>
        <v>704.05727923627683</v>
      </c>
      <c r="G185" s="16">
        <f t="shared" si="12"/>
        <v>121.56175955496032</v>
      </c>
      <c r="I185" s="12"/>
    </row>
    <row r="186" spans="1:9">
      <c r="A186" s="1">
        <f t="shared" si="10"/>
        <v>1963</v>
      </c>
      <c r="D186" s="9">
        <v>12.39</v>
      </c>
      <c r="E186" s="14">
        <f t="shared" si="8"/>
        <v>739.26014319809076</v>
      </c>
      <c r="F186" s="17">
        <f t="shared" si="9"/>
        <v>739.26014319809076</v>
      </c>
      <c r="G186" s="16">
        <f t="shared" si="12"/>
        <v>127.63984753270836</v>
      </c>
      <c r="I186" s="12"/>
    </row>
    <row r="187" spans="1:9">
      <c r="A187" s="1">
        <f t="shared" si="10"/>
        <v>1964</v>
      </c>
      <c r="D187" s="9">
        <v>13.866</v>
      </c>
      <c r="E187" s="14">
        <f t="shared" si="8"/>
        <v>827.32696897374694</v>
      </c>
      <c r="F187" s="17">
        <f t="shared" si="9"/>
        <v>827.32696897374694</v>
      </c>
      <c r="G187" s="16">
        <f t="shared" si="12"/>
        <v>142.84536932110845</v>
      </c>
      <c r="I187" s="12"/>
    </row>
    <row r="188" spans="1:9">
      <c r="A188" s="1">
        <f t="shared" si="10"/>
        <v>1965</v>
      </c>
      <c r="D188" s="9">
        <v>16.260999999999999</v>
      </c>
      <c r="E188" s="14">
        <f t="shared" si="8"/>
        <v>970.2267303102625</v>
      </c>
      <c r="F188" s="17">
        <f t="shared" si="9"/>
        <v>970.2267303102625</v>
      </c>
      <c r="G188" s="16">
        <f t="shared" si="12"/>
        <v>167.51828577315337</v>
      </c>
      <c r="I188" s="12"/>
    </row>
    <row r="189" spans="1:9">
      <c r="A189" s="1">
        <f t="shared" si="10"/>
        <v>1966</v>
      </c>
      <c r="D189" s="9">
        <v>18.213999999999999</v>
      </c>
      <c r="E189" s="14">
        <f t="shared" ref="E189:E233" si="13">D189*100/$D$124</f>
        <v>1086.7541766109784</v>
      </c>
      <c r="F189" s="17">
        <f t="shared" ref="F189:F233" si="14">E189</f>
        <v>1086.7541766109784</v>
      </c>
      <c r="G189" s="16">
        <f t="shared" si="12"/>
        <v>187.63778716390232</v>
      </c>
      <c r="I189" s="12"/>
    </row>
    <row r="190" spans="1:9">
      <c r="A190" s="1">
        <f t="shared" si="10"/>
        <v>1967</v>
      </c>
      <c r="D190" s="9">
        <v>17.989999999999998</v>
      </c>
      <c r="E190" s="14">
        <f t="shared" si="13"/>
        <v>1073.3890214797136</v>
      </c>
      <c r="F190" s="17">
        <f t="shared" si="14"/>
        <v>1073.3890214797136</v>
      </c>
      <c r="G190" s="16">
        <f t="shared" si="12"/>
        <v>185.33017410116409</v>
      </c>
      <c r="I190" s="12"/>
    </row>
    <row r="191" spans="1:9">
      <c r="A191" s="1">
        <f t="shared" si="10"/>
        <v>1968</v>
      </c>
      <c r="D191" s="9">
        <v>18.812000000000001</v>
      </c>
      <c r="E191" s="14">
        <f t="shared" si="13"/>
        <v>1122.4343675417663</v>
      </c>
      <c r="F191" s="17">
        <f t="shared" si="14"/>
        <v>1122.4343675417663</v>
      </c>
      <c r="G191" s="16">
        <f t="shared" si="12"/>
        <v>193.79828989389102</v>
      </c>
      <c r="I191" s="12"/>
    </row>
    <row r="192" spans="1:9">
      <c r="A192" s="1">
        <f t="shared" si="10"/>
        <v>1969</v>
      </c>
      <c r="D192" s="9">
        <v>20.268999999999998</v>
      </c>
      <c r="E192" s="14">
        <f t="shared" si="13"/>
        <v>1209.3675417661098</v>
      </c>
      <c r="F192" s="17">
        <f t="shared" si="14"/>
        <v>1209.3675417661098</v>
      </c>
      <c r="G192" s="16">
        <f t="shared" si="12"/>
        <v>208.80807664571958</v>
      </c>
      <c r="I192" s="12"/>
    </row>
    <row r="193" spans="1:9">
      <c r="A193" s="1">
        <f t="shared" si="10"/>
        <v>1970</v>
      </c>
      <c r="D193" s="9">
        <v>20.04</v>
      </c>
      <c r="E193" s="14">
        <f t="shared" si="13"/>
        <v>1195.7040572792364</v>
      </c>
      <c r="F193" s="17">
        <f t="shared" si="14"/>
        <v>1195.7040572792364</v>
      </c>
      <c r="G193" s="16">
        <f t="shared" si="12"/>
        <v>206.44895436283096</v>
      </c>
      <c r="I193" s="12"/>
    </row>
    <row r="194" spans="1:9">
      <c r="A194" s="1">
        <f t="shared" si="10"/>
        <v>1971</v>
      </c>
      <c r="D194" s="9">
        <v>20.010999999999999</v>
      </c>
      <c r="E194" s="14">
        <f t="shared" si="13"/>
        <v>1193.9737470167065</v>
      </c>
      <c r="F194" s="17">
        <f t="shared" si="14"/>
        <v>1193.9737470167065</v>
      </c>
      <c r="G194" s="16">
        <f t="shared" si="12"/>
        <v>206.15020088595858</v>
      </c>
      <c r="I194" s="12"/>
    </row>
    <row r="195" spans="1:9">
      <c r="A195" s="1">
        <f t="shared" si="10"/>
        <v>1972</v>
      </c>
      <c r="D195" s="9">
        <v>21.931999999999999</v>
      </c>
      <c r="E195" s="14">
        <f t="shared" si="13"/>
        <v>1308.5918854415274</v>
      </c>
      <c r="F195" s="17">
        <f t="shared" si="14"/>
        <v>1308.5918854415274</v>
      </c>
      <c r="G195" s="16">
        <f t="shared" si="12"/>
        <v>225.9400432677449</v>
      </c>
      <c r="I195" s="12"/>
    </row>
    <row r="196" spans="1:9">
      <c r="A196" s="1">
        <f t="shared" si="10"/>
        <v>1973</v>
      </c>
      <c r="D196" s="9">
        <v>25.117999999999999</v>
      </c>
      <c r="E196" s="14">
        <f t="shared" si="13"/>
        <v>1498.6873508353221</v>
      </c>
      <c r="F196" s="17">
        <f t="shared" si="14"/>
        <v>1498.6873508353221</v>
      </c>
      <c r="G196" s="16">
        <f t="shared" si="12"/>
        <v>258.76171834758424</v>
      </c>
      <c r="I196" s="12"/>
    </row>
    <row r="197" spans="1:9">
      <c r="A197" s="1">
        <f t="shared" ref="A197:A233" si="15">+A196+1</f>
        <v>1974</v>
      </c>
      <c r="D197" s="9">
        <v>25.265999999999998</v>
      </c>
      <c r="E197" s="14">
        <f t="shared" si="13"/>
        <v>1507.5178997613366</v>
      </c>
      <c r="F197" s="17">
        <f t="shared" si="14"/>
        <v>1507.5178997613366</v>
      </c>
      <c r="G197" s="16">
        <f t="shared" si="12"/>
        <v>260.2863912640363</v>
      </c>
      <c r="I197" s="12"/>
    </row>
    <row r="198" spans="1:9">
      <c r="A198" s="1">
        <f t="shared" si="15"/>
        <v>1975</v>
      </c>
      <c r="D198" s="9">
        <v>22.853999999999999</v>
      </c>
      <c r="E198" s="14">
        <f t="shared" si="13"/>
        <v>1363.6038186157518</v>
      </c>
      <c r="F198" s="17">
        <f t="shared" si="14"/>
        <v>1363.6038186157518</v>
      </c>
      <c r="G198" s="16">
        <f t="shared" si="12"/>
        <v>235.43834346347995</v>
      </c>
      <c r="I198" s="12"/>
    </row>
    <row r="199" spans="1:9">
      <c r="A199" s="1">
        <f t="shared" si="15"/>
        <v>1976</v>
      </c>
      <c r="D199" s="9">
        <v>23.864999999999998</v>
      </c>
      <c r="E199" s="14">
        <f t="shared" si="13"/>
        <v>1423.9260143198092</v>
      </c>
      <c r="F199" s="17">
        <f t="shared" si="14"/>
        <v>1423.9260143198092</v>
      </c>
      <c r="G199" s="16">
        <f t="shared" si="12"/>
        <v>245.85350777789222</v>
      </c>
      <c r="I199" s="12"/>
    </row>
    <row r="200" spans="1:9">
      <c r="A200" s="1">
        <f t="shared" si="15"/>
        <v>1977</v>
      </c>
      <c r="D200" s="9">
        <v>26.568000000000001</v>
      </c>
      <c r="E200" s="14">
        <f t="shared" si="13"/>
        <v>1585.202863961814</v>
      </c>
      <c r="F200" s="17">
        <f t="shared" si="14"/>
        <v>1585.202863961814</v>
      </c>
      <c r="G200" s="16">
        <f t="shared" si="12"/>
        <v>273.69939219120226</v>
      </c>
      <c r="I200" s="12"/>
    </row>
    <row r="201" spans="1:9">
      <c r="A201" s="1">
        <f t="shared" si="15"/>
        <v>1978</v>
      </c>
      <c r="D201" s="9">
        <v>30.550999999999998</v>
      </c>
      <c r="E201" s="14">
        <f t="shared" si="13"/>
        <v>1822.8520286396181</v>
      </c>
      <c r="F201" s="17">
        <f t="shared" si="14"/>
        <v>1822.8520286396181</v>
      </c>
      <c r="G201" s="16">
        <f t="shared" si="12"/>
        <v>314.73163696301634</v>
      </c>
      <c r="I201" s="12"/>
    </row>
    <row r="202" spans="1:9">
      <c r="A202" s="1">
        <f t="shared" si="15"/>
        <v>1979</v>
      </c>
      <c r="D202" s="9">
        <v>33.722000000000001</v>
      </c>
      <c r="E202" s="14">
        <f t="shared" si="13"/>
        <v>2012.0525059665874</v>
      </c>
      <c r="F202" s="17">
        <f t="shared" si="14"/>
        <v>2012.0525059665874</v>
      </c>
      <c r="G202" s="16">
        <f t="shared" si="12"/>
        <v>347.39878438240447</v>
      </c>
      <c r="I202" s="12"/>
    </row>
    <row r="203" spans="1:9">
      <c r="A203" s="1">
        <f t="shared" si="15"/>
        <v>1980</v>
      </c>
      <c r="D203" s="9">
        <v>33.561</v>
      </c>
      <c r="E203" s="14">
        <f t="shared" si="13"/>
        <v>2002.4463007159904</v>
      </c>
      <c r="F203" s="17">
        <f t="shared" si="14"/>
        <v>2002.4463007159904</v>
      </c>
      <c r="G203" s="16">
        <f t="shared" si="12"/>
        <v>345.74018749356128</v>
      </c>
      <c r="I203" s="12"/>
    </row>
    <row r="204" spans="1:9">
      <c r="A204" s="1">
        <f t="shared" si="15"/>
        <v>1981</v>
      </c>
      <c r="D204" s="9">
        <v>35.378</v>
      </c>
      <c r="E204" s="14">
        <f t="shared" si="13"/>
        <v>2110.8591885441529</v>
      </c>
      <c r="F204" s="17">
        <f t="shared" si="14"/>
        <v>2110.8591885441529</v>
      </c>
      <c r="G204" s="16">
        <f t="shared" si="12"/>
        <v>364.45863809621926</v>
      </c>
      <c r="I204" s="12"/>
    </row>
    <row r="205" spans="1:9">
      <c r="A205" s="1">
        <f t="shared" si="15"/>
        <v>1982</v>
      </c>
      <c r="D205" s="9">
        <v>33.765000000000001</v>
      </c>
      <c r="E205" s="14">
        <f t="shared" si="13"/>
        <v>2014.6181384248212</v>
      </c>
      <c r="F205" s="17">
        <f t="shared" si="14"/>
        <v>2014.6181384248212</v>
      </c>
      <c r="G205" s="16">
        <f t="shared" si="12"/>
        <v>347.84176367569796</v>
      </c>
      <c r="I205" s="12"/>
    </row>
    <row r="206" spans="1:9">
      <c r="A206" s="1">
        <f t="shared" si="15"/>
        <v>1983</v>
      </c>
      <c r="D206" s="9">
        <v>33.308999999999997</v>
      </c>
      <c r="E206" s="14">
        <f t="shared" si="13"/>
        <v>1987.4105011933173</v>
      </c>
      <c r="F206" s="17">
        <f t="shared" si="14"/>
        <v>1987.4105011933173</v>
      </c>
      <c r="G206" s="16">
        <f t="shared" si="12"/>
        <v>343.14412279798074</v>
      </c>
      <c r="I206" s="12"/>
    </row>
    <row r="207" spans="1:9">
      <c r="A207" s="1">
        <f t="shared" si="15"/>
        <v>1984</v>
      </c>
      <c r="D207" s="9">
        <v>39.319000000000003</v>
      </c>
      <c r="E207" s="14">
        <f t="shared" si="13"/>
        <v>2346.0023866348452</v>
      </c>
      <c r="F207" s="17">
        <f t="shared" si="14"/>
        <v>2346.0023866348452</v>
      </c>
      <c r="G207" s="16">
        <f t="shared" si="12"/>
        <v>405.05820541877</v>
      </c>
      <c r="I207" s="12"/>
    </row>
    <row r="208" spans="1:9">
      <c r="A208" s="1">
        <f t="shared" si="15"/>
        <v>1985</v>
      </c>
      <c r="D208" s="9">
        <v>42.142000000000003</v>
      </c>
      <c r="E208" s="14">
        <f t="shared" si="13"/>
        <v>2514.4391408114566</v>
      </c>
      <c r="F208" s="17">
        <f t="shared" si="14"/>
        <v>2514.4391408114566</v>
      </c>
      <c r="G208" s="16">
        <f t="shared" si="12"/>
        <v>434.14031111568983</v>
      </c>
      <c r="I208" s="12"/>
    </row>
    <row r="209" spans="1:9">
      <c r="A209" s="1">
        <f t="shared" si="15"/>
        <v>1986</v>
      </c>
      <c r="D209" s="10">
        <v>40.603999999999999</v>
      </c>
      <c r="E209" s="14">
        <f t="shared" si="13"/>
        <v>2422.6730310262533</v>
      </c>
      <c r="F209" s="17">
        <f t="shared" si="14"/>
        <v>2422.6730310262533</v>
      </c>
      <c r="G209" s="16">
        <f t="shared" si="12"/>
        <v>418.29607499742457</v>
      </c>
      <c r="I209" s="12"/>
    </row>
    <row r="210" spans="1:9">
      <c r="A210" s="1">
        <f t="shared" si="15"/>
        <v>1987</v>
      </c>
      <c r="D210" s="11">
        <v>40.926000000000002</v>
      </c>
      <c r="E210" s="14">
        <f t="shared" si="13"/>
        <v>2441.8854415274468</v>
      </c>
      <c r="F210" s="17">
        <f t="shared" si="14"/>
        <v>2441.8854415274468</v>
      </c>
      <c r="G210" s="16">
        <f t="shared" si="12"/>
        <v>421.61326877511078</v>
      </c>
      <c r="I210" s="12"/>
    </row>
    <row r="211" spans="1:9">
      <c r="A211" s="1">
        <f t="shared" si="15"/>
        <v>1988</v>
      </c>
      <c r="D211" s="11">
        <v>42.936999999999998</v>
      </c>
      <c r="E211" s="14">
        <f t="shared" si="13"/>
        <v>2561.873508353222</v>
      </c>
      <c r="F211" s="17">
        <f t="shared" si="14"/>
        <v>2561.873508353222</v>
      </c>
      <c r="G211" s="16">
        <f t="shared" si="12"/>
        <v>442.33027711960438</v>
      </c>
      <c r="I211" s="12"/>
    </row>
    <row r="212" spans="1:9">
      <c r="A212" s="1">
        <f t="shared" si="15"/>
        <v>1989</v>
      </c>
      <c r="D212" s="11">
        <v>45.219000000000001</v>
      </c>
      <c r="E212" s="14">
        <f t="shared" si="13"/>
        <v>2698.0310262529838</v>
      </c>
      <c r="F212" s="17">
        <f t="shared" si="14"/>
        <v>2698.0310262529838</v>
      </c>
      <c r="G212" s="16">
        <f t="shared" si="12"/>
        <v>465.83908519625015</v>
      </c>
      <c r="I212" s="12"/>
    </row>
    <row r="213" spans="1:9">
      <c r="A213" s="1">
        <f t="shared" si="15"/>
        <v>1990</v>
      </c>
      <c r="D213" s="11">
        <v>45.774999999999999</v>
      </c>
      <c r="E213" s="14">
        <f t="shared" si="13"/>
        <v>2731.205250596659</v>
      </c>
      <c r="F213" s="17">
        <f t="shared" si="14"/>
        <v>2731.205250596659</v>
      </c>
      <c r="G213" s="16">
        <f t="shared" si="12"/>
        <v>471.56691047697541</v>
      </c>
      <c r="I213" s="12"/>
    </row>
    <row r="214" spans="1:9">
      <c r="A214" s="1">
        <f t="shared" si="15"/>
        <v>1991</v>
      </c>
      <c r="D214" s="11">
        <v>43.186</v>
      </c>
      <c r="E214" s="14">
        <f t="shared" si="13"/>
        <v>2576.7303102625301</v>
      </c>
      <c r="F214" s="17">
        <f t="shared" si="14"/>
        <v>2576.7303102625301</v>
      </c>
      <c r="G214" s="16">
        <f t="shared" si="12"/>
        <v>444.89543628309468</v>
      </c>
      <c r="I214" s="12"/>
    </row>
    <row r="215" spans="1:9">
      <c r="A215" s="1">
        <f t="shared" si="15"/>
        <v>1992</v>
      </c>
      <c r="D215" s="11">
        <v>44.320999999999998</v>
      </c>
      <c r="E215" s="14">
        <f t="shared" si="13"/>
        <v>2644.4510739856801</v>
      </c>
      <c r="F215" s="17">
        <f t="shared" si="14"/>
        <v>2644.4510739856801</v>
      </c>
      <c r="G215" s="16">
        <f t="shared" ref="G215:G246" si="16">F215*100/$F$181</f>
        <v>456.588029257237</v>
      </c>
      <c r="I215" s="12"/>
    </row>
    <row r="216" spans="1:9">
      <c r="A216" s="1">
        <f t="shared" si="15"/>
        <v>1993</v>
      </c>
      <c r="D216" s="11">
        <v>48.77</v>
      </c>
      <c r="E216" s="14">
        <f t="shared" si="13"/>
        <v>2909.9045346062053</v>
      </c>
      <c r="F216" s="17">
        <f t="shared" si="14"/>
        <v>2909.9045346062053</v>
      </c>
      <c r="G216" s="16">
        <f t="shared" si="16"/>
        <v>502.42093334706914</v>
      </c>
      <c r="I216" s="12"/>
    </row>
    <row r="217" spans="1:9">
      <c r="A217" s="1">
        <f t="shared" si="15"/>
        <v>1994</v>
      </c>
      <c r="D217" s="11">
        <v>53.137999999999998</v>
      </c>
      <c r="E217" s="14">
        <f t="shared" si="13"/>
        <v>3170.5250596658711</v>
      </c>
      <c r="F217" s="17">
        <f t="shared" si="14"/>
        <v>3170.5250596658711</v>
      </c>
      <c r="G217" s="16">
        <f t="shared" si="16"/>
        <v>547.41938807046461</v>
      </c>
      <c r="I217" s="12"/>
    </row>
    <row r="218" spans="1:9">
      <c r="A218" s="1">
        <f t="shared" si="15"/>
        <v>1995</v>
      </c>
      <c r="D218" s="11">
        <v>58.898000000000003</v>
      </c>
      <c r="E218" s="14">
        <f t="shared" si="13"/>
        <v>3514.2004773269691</v>
      </c>
      <c r="F218" s="17">
        <f t="shared" si="14"/>
        <v>3514.2004773269691</v>
      </c>
      <c r="G218" s="16">
        <f t="shared" si="16"/>
        <v>606.75800968373335</v>
      </c>
      <c r="I218" s="12"/>
    </row>
    <row r="219" spans="1:9">
      <c r="A219" s="1">
        <f t="shared" si="15"/>
        <v>1996</v>
      </c>
      <c r="D219" s="11">
        <v>64.881</v>
      </c>
      <c r="E219" s="14">
        <f t="shared" si="13"/>
        <v>3871.1813842482102</v>
      </c>
      <c r="F219" s="17">
        <f t="shared" si="14"/>
        <v>3871.1813842482102</v>
      </c>
      <c r="G219" s="16">
        <f t="shared" si="16"/>
        <v>668.39394251571025</v>
      </c>
      <c r="I219" s="12"/>
    </row>
    <row r="220" spans="1:9">
      <c r="A220" s="1">
        <f t="shared" si="15"/>
        <v>1997</v>
      </c>
      <c r="D220" s="11">
        <v>72.337000000000003</v>
      </c>
      <c r="E220" s="14">
        <f t="shared" si="13"/>
        <v>4316.0501193317432</v>
      </c>
      <c r="F220" s="17">
        <f t="shared" si="14"/>
        <v>4316.0501193317432</v>
      </c>
      <c r="G220" s="16">
        <f t="shared" si="16"/>
        <v>745.20449160399721</v>
      </c>
      <c r="I220" s="12"/>
    </row>
    <row r="221" spans="1:9">
      <c r="A221" s="1">
        <f t="shared" si="15"/>
        <v>1998</v>
      </c>
      <c r="D221" s="11">
        <v>81.037000000000006</v>
      </c>
      <c r="E221" s="14">
        <f t="shared" si="13"/>
        <v>4835.1431980906927</v>
      </c>
      <c r="F221" s="17">
        <f t="shared" si="14"/>
        <v>4835.1431980906927</v>
      </c>
      <c r="G221" s="16">
        <f t="shared" si="16"/>
        <v>834.83053466570516</v>
      </c>
      <c r="I221" s="12"/>
    </row>
    <row r="222" spans="1:9">
      <c r="A222" s="1">
        <f t="shared" si="15"/>
        <v>1999</v>
      </c>
      <c r="D222" s="11">
        <v>89.212000000000003</v>
      </c>
      <c r="E222" s="14">
        <f t="shared" si="13"/>
        <v>5322.9116945107407</v>
      </c>
      <c r="F222" s="17">
        <f t="shared" si="14"/>
        <v>5322.9116945107407</v>
      </c>
      <c r="G222" s="16">
        <f t="shared" si="16"/>
        <v>919.04810961162059</v>
      </c>
      <c r="I222" s="12"/>
    </row>
    <row r="223" spans="1:9">
      <c r="A223" s="1">
        <f t="shared" si="15"/>
        <v>2000</v>
      </c>
      <c r="D223" s="11">
        <v>97.87</v>
      </c>
      <c r="E223" s="14">
        <f t="shared" si="13"/>
        <v>5839.4988066825781</v>
      </c>
      <c r="F223" s="17">
        <f t="shared" si="14"/>
        <v>5839.4988066825781</v>
      </c>
      <c r="G223" s="16">
        <f t="shared" si="16"/>
        <v>1008.2414752240652</v>
      </c>
      <c r="I223" s="12"/>
    </row>
    <row r="224" spans="1:9">
      <c r="A224" s="1">
        <f t="shared" si="15"/>
        <v>2001</v>
      </c>
      <c r="D224" s="11">
        <v>94.564999999999998</v>
      </c>
      <c r="E224" s="14">
        <f t="shared" si="13"/>
        <v>5642.3031026252984</v>
      </c>
      <c r="F224" s="17">
        <f t="shared" si="14"/>
        <v>5642.3031026252984</v>
      </c>
      <c r="G224" s="16">
        <f t="shared" si="16"/>
        <v>974.19388070464618</v>
      </c>
      <c r="I224" s="12"/>
    </row>
    <row r="225" spans="1:9">
      <c r="A225" s="1">
        <f t="shared" si="15"/>
        <v>2002</v>
      </c>
      <c r="D225" s="11">
        <v>86.8</v>
      </c>
      <c r="E225" s="14">
        <f t="shared" si="13"/>
        <v>5178.9976133651553</v>
      </c>
      <c r="F225" s="17">
        <f t="shared" si="14"/>
        <v>5178.9976133651553</v>
      </c>
      <c r="G225" s="16">
        <f t="shared" si="16"/>
        <v>894.20006181106419</v>
      </c>
      <c r="I225" s="12"/>
    </row>
    <row r="226" spans="1:9">
      <c r="A226" s="1">
        <f t="shared" si="15"/>
        <v>2003</v>
      </c>
      <c r="D226" s="11">
        <v>87.572000000000003</v>
      </c>
      <c r="E226" s="14">
        <f t="shared" si="13"/>
        <v>5225.059665871122</v>
      </c>
      <c r="F226" s="17">
        <f t="shared" si="14"/>
        <v>5225.059665871122</v>
      </c>
      <c r="G226" s="16">
        <f t="shared" si="16"/>
        <v>902.15308540228693</v>
      </c>
      <c r="I226" s="12"/>
    </row>
    <row r="227" spans="1:9">
      <c r="A227" s="1">
        <f t="shared" si="15"/>
        <v>2004</v>
      </c>
      <c r="D227">
        <v>93.367000000000004</v>
      </c>
      <c r="E227" s="14">
        <f t="shared" si="13"/>
        <v>5570.8233890214806</v>
      </c>
      <c r="F227" s="17">
        <f t="shared" si="14"/>
        <v>5570.8233890214806</v>
      </c>
      <c r="G227" s="16">
        <f t="shared" si="16"/>
        <v>961.85227155660868</v>
      </c>
      <c r="I227" s="12"/>
    </row>
    <row r="228" spans="1:9">
      <c r="A228" s="1">
        <f t="shared" si="15"/>
        <v>2005</v>
      </c>
      <c r="D228">
        <v>100</v>
      </c>
      <c r="E228" s="14">
        <f t="shared" si="13"/>
        <v>5966.5871121718383</v>
      </c>
      <c r="F228" s="17">
        <f t="shared" si="14"/>
        <v>5966.5871121718383</v>
      </c>
      <c r="G228" s="16">
        <f t="shared" si="16"/>
        <v>1030.1844030081386</v>
      </c>
      <c r="I228" s="12"/>
    </row>
    <row r="229" spans="1:9">
      <c r="A229" s="1">
        <f t="shared" si="15"/>
        <v>2006</v>
      </c>
      <c r="D229">
        <v>107.874</v>
      </c>
      <c r="E229" s="14">
        <f t="shared" si="13"/>
        <v>6436.3961813842479</v>
      </c>
      <c r="F229" s="17">
        <f t="shared" si="14"/>
        <v>6436.3961813842479</v>
      </c>
      <c r="G229" s="16">
        <f t="shared" si="16"/>
        <v>1111.3011229009992</v>
      </c>
      <c r="I229" s="12"/>
    </row>
    <row r="230" spans="1:9">
      <c r="A230" s="1">
        <f t="shared" si="15"/>
        <v>2007</v>
      </c>
      <c r="D230">
        <v>115.193</v>
      </c>
      <c r="E230" s="14">
        <f t="shared" si="13"/>
        <v>6873.0906921241049</v>
      </c>
      <c r="F230" s="17">
        <f t="shared" si="14"/>
        <v>6873.0906921241049</v>
      </c>
      <c r="G230" s="16">
        <f t="shared" si="16"/>
        <v>1186.7003193571647</v>
      </c>
      <c r="I230" s="12"/>
    </row>
    <row r="231" spans="1:9">
      <c r="A231" s="1">
        <f t="shared" si="15"/>
        <v>2008</v>
      </c>
      <c r="D231">
        <v>114.476</v>
      </c>
      <c r="E231" s="14">
        <f t="shared" si="13"/>
        <v>6830.3102625298334</v>
      </c>
      <c r="F231" s="17">
        <f t="shared" si="14"/>
        <v>6830.3102625298334</v>
      </c>
      <c r="G231" s="16">
        <f t="shared" si="16"/>
        <v>1179.3138971875967</v>
      </c>
      <c r="I231" s="12"/>
    </row>
    <row r="232" spans="1:9">
      <c r="A232" s="1">
        <f t="shared" si="15"/>
        <v>2009</v>
      </c>
      <c r="D232">
        <v>94.421999999999997</v>
      </c>
      <c r="E232" s="14">
        <f t="shared" si="13"/>
        <v>5633.7708830548918</v>
      </c>
      <c r="F232" s="17">
        <f t="shared" si="14"/>
        <v>5633.7708830548918</v>
      </c>
      <c r="G232" s="16">
        <f t="shared" si="16"/>
        <v>972.7207170083442</v>
      </c>
      <c r="I232" s="12"/>
    </row>
    <row r="233" spans="1:9">
      <c r="A233" s="1">
        <f t="shared" si="15"/>
        <v>2010</v>
      </c>
      <c r="D233">
        <v>98.358000000000004</v>
      </c>
      <c r="E233" s="14">
        <f t="shared" si="13"/>
        <v>5868.6157517899774</v>
      </c>
      <c r="F233" s="17">
        <f t="shared" si="14"/>
        <v>5868.6157517899774</v>
      </c>
      <c r="G233" s="16">
        <f t="shared" si="16"/>
        <v>1013.2687751107449</v>
      </c>
      <c r="I233" s="1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</dc:creator>
  <cp:lastModifiedBy>Nick A</cp:lastModifiedBy>
  <dcterms:created xsi:type="dcterms:W3CDTF">2025-10-01T00:39:48Z</dcterms:created>
  <dcterms:modified xsi:type="dcterms:W3CDTF">2025-10-02T00:51:25Z</dcterms:modified>
</cp:coreProperties>
</file>
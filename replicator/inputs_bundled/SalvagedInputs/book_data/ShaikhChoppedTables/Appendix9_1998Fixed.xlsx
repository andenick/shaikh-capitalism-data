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60" documentId="8_{109DA14B-956F-4039-865D-C6996D2C83BE}" xr6:coauthVersionLast="47" xr6:coauthVersionMax="47" xr10:uidLastSave="{EA49723C-B8F2-4EBA-A66C-81017F0965AA}"/>
  <bookViews>
    <workbookView xWindow="-28920" yWindow="-300" windowWidth="29040" windowHeight="15720" xr2:uid="{DABE9FA5-3DA6-41F7-B830-9DC2BEA04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<sst xmlns="http://schemas.openxmlformats.org/spreadsheetml/2006/main" count="13" uniqueCount="13">
  <si>
    <t>LTVCalc1998stdREadjFixed.xmcd</t>
  </si>
  <si>
    <t>td</t>
  </si>
  <si>
    <t>tpm</t>
  </si>
  <si>
    <t>Total Direct Prices</t>
  </si>
  <si>
    <t>Total Market Prices</t>
  </si>
  <si>
    <t>tv</t>
  </si>
  <si>
    <t>tp(r)</t>
  </si>
  <si>
    <t>tpmr = tpm/TPM</t>
  </si>
  <si>
    <t>tvr = tv/TV</t>
  </si>
  <si>
    <t>tdr = td/TD</t>
  </si>
  <si>
    <t>tp(r) = tp(r)/TP(r)</t>
  </si>
  <si>
    <t>Index</t>
  </si>
  <si>
    <t>r observed = 0.1258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</si>
</sst>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 applyProtection="1">
      <alignment horizontal="right"/>
      <protection locked="0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06E9-1AAF-4C10-B7B6-E914220156EC}">
  <dimension ref="A1:AB73"/>
  <sheetViews>
    <sheetView tabSelected="1" workbookViewId="0"/>
  </sheetViews>
  <sheetFormatPr defaultRowHeight="15" x14ac:dyDescent="0.25"/>
  <cols>
    <col min="1" max="1" width="11.7109375" bestFit="1" customWidth="1"/>
    <col min="2" max="4" width="10.140625" bestFit="1" customWidth="1"/>
    <col min="5" max="7" width="15" bestFit="1" customWidth="1"/>
    <col min="8" max="8" width="15.7109375" bestFit="1" customWidth="1"/>
    <col min="9" max="9" width="10" bestFit="1" customWidth="1"/>
    <col min="10" max="10" width="15.7109375" bestFit="1" customWidth="1"/>
    <col min="11" max="12" width="9.28515625" bestFit="1" customWidth="1"/>
  </cols>
  <sheetData>
    <row r="1" spans="1:28" x14ac:dyDescent="0.25">
      <c r="A1" t="s">
        <v>0</v>
      </c>
      <c r="B1" t="s">
        <v>4</v>
      </c>
      <c r="C1" t="s">
        <v>3</v>
      </c>
      <c r="E1" t="s">
        <v>12</v>
      </c>
    </row>
    <row r="2" spans="1:28" x14ac:dyDescent="0.25">
      <c r="A2" t="s">
        <v>11</v>
      </c>
      <c r="B2" t="s">
        <v>2</v>
      </c>
      <c r="C2" t="s">
        <v>1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28" x14ac:dyDescent="0.25">
      <c r="A3">
        <v>1</v>
      </c>
      <c r="B3" s="2">
        <v>207859</v>
      </c>
      <c r="C3" s="1">
        <v>157562.21138778701</v>
      </c>
      <c r="D3" s="2">
        <v>2792.6843828999999</v>
      </c>
      <c r="E3" s="2">
        <v>3852.8143063000002</v>
      </c>
      <c r="F3" s="2">
        <v>1.358E-2</v>
      </c>
      <c r="G3" s="2">
        <v>1.0293999999999999E-2</v>
      </c>
      <c r="H3" s="2">
        <v>1.0293999999999999E-2</v>
      </c>
      <c r="I3" s="2">
        <v>1.29173E-2</v>
      </c>
      <c r="J3" s="3"/>
      <c r="K3" s="4"/>
      <c r="L3" s="4"/>
      <c r="M3" s="4"/>
      <c r="N3" s="4"/>
      <c r="O3" s="4"/>
      <c r="P3" s="4"/>
      <c r="Q3" s="4"/>
      <c r="R3" s="4"/>
      <c r="T3" s="4"/>
      <c r="U3" s="4"/>
      <c r="V3" s="4"/>
      <c r="W3" s="4"/>
      <c r="X3" s="4"/>
      <c r="Y3" s="4"/>
      <c r="Z3" s="4"/>
      <c r="AB3" s="4"/>
    </row>
    <row r="4" spans="1:28" x14ac:dyDescent="0.25">
      <c r="A4">
        <f>+A3+1</f>
        <v>2</v>
      </c>
      <c r="B4" s="2">
        <v>42188</v>
      </c>
      <c r="C4" s="1">
        <v>36574.619507534298</v>
      </c>
      <c r="D4" s="2">
        <v>648.26056840000001</v>
      </c>
      <c r="E4" s="2">
        <v>705.53077259999998</v>
      </c>
      <c r="F4" s="2">
        <v>2.7563000000000002E-3</v>
      </c>
      <c r="G4" s="2">
        <v>2.3895000000000001E-3</v>
      </c>
      <c r="H4" s="2">
        <v>2.3895000000000001E-3</v>
      </c>
      <c r="I4" s="2">
        <v>2.3654000000000001E-3</v>
      </c>
      <c r="J4" s="3"/>
      <c r="K4" s="4"/>
      <c r="L4" s="4"/>
      <c r="M4" s="4"/>
      <c r="N4" s="4"/>
      <c r="O4" s="4"/>
      <c r="P4" s="4"/>
      <c r="Q4" s="4"/>
      <c r="R4" s="4"/>
      <c r="T4" s="4"/>
      <c r="U4" s="4"/>
      <c r="V4" s="4"/>
      <c r="W4" s="4"/>
      <c r="X4" s="4"/>
      <c r="Y4" s="4"/>
      <c r="Z4" s="4"/>
      <c r="AB4" s="4"/>
    </row>
    <row r="5" spans="1:28" x14ac:dyDescent="0.25">
      <c r="A5">
        <f t="shared" ref="A5:A67" si="0">+A4+1</f>
        <v>3</v>
      </c>
      <c r="B5" s="2">
        <v>70420</v>
      </c>
      <c r="C5" s="1">
        <v>71076.585708332001</v>
      </c>
      <c r="D5" s="2">
        <v>1259.7847488</v>
      </c>
      <c r="E5" s="2">
        <v>2106.578223</v>
      </c>
      <c r="F5" s="2">
        <v>4.6007000000000001E-3</v>
      </c>
      <c r="G5" s="2">
        <v>4.6436000000000003E-3</v>
      </c>
      <c r="H5" s="2">
        <v>4.6436000000000003E-3</v>
      </c>
      <c r="I5" s="2">
        <v>7.0626999999999999E-3</v>
      </c>
      <c r="J5" s="3"/>
      <c r="T5" s="4"/>
      <c r="U5" s="4"/>
      <c r="V5" s="4"/>
      <c r="W5" s="4"/>
      <c r="X5" s="4"/>
      <c r="Y5" s="4"/>
      <c r="Z5" s="4"/>
      <c r="AB5" s="4"/>
    </row>
    <row r="6" spans="1:28" x14ac:dyDescent="0.25">
      <c r="A6">
        <f t="shared" si="0"/>
        <v>4</v>
      </c>
      <c r="B6" s="2">
        <v>51381</v>
      </c>
      <c r="C6" s="1">
        <v>51673.509746466501</v>
      </c>
      <c r="D6" s="2">
        <v>915.87825789999999</v>
      </c>
      <c r="E6" s="2">
        <v>1128.5227112</v>
      </c>
      <c r="F6" s="2">
        <v>3.3568999999999999E-3</v>
      </c>
      <c r="G6" s="2">
        <v>3.3760000000000001E-3</v>
      </c>
      <c r="H6" s="2">
        <v>3.3760000000000001E-3</v>
      </c>
      <c r="I6" s="2">
        <v>3.7835999999999998E-3</v>
      </c>
      <c r="J6" s="3"/>
      <c r="T6" s="4"/>
      <c r="U6" s="4"/>
      <c r="V6" s="4"/>
      <c r="W6" s="4"/>
      <c r="X6" s="4"/>
      <c r="Y6" s="4"/>
      <c r="Z6" s="4"/>
      <c r="AB6" s="4"/>
    </row>
    <row r="7" spans="1:28" x14ac:dyDescent="0.25">
      <c r="A7">
        <f t="shared" si="0"/>
        <v>5</v>
      </c>
      <c r="B7" s="2">
        <v>24677</v>
      </c>
      <c r="C7" s="1">
        <v>29846.969133208699</v>
      </c>
      <c r="D7" s="2">
        <v>529.01748359999999</v>
      </c>
      <c r="E7" s="2">
        <v>592.35366520000002</v>
      </c>
      <c r="F7" s="2">
        <v>1.6122E-3</v>
      </c>
      <c r="G7" s="2">
        <v>1.9499999999999999E-3</v>
      </c>
      <c r="H7" s="2">
        <v>1.9499999999999999E-3</v>
      </c>
      <c r="I7" s="2">
        <v>1.9859999999999999E-3</v>
      </c>
      <c r="J7" s="3"/>
      <c r="T7" s="4"/>
      <c r="U7" s="4"/>
      <c r="V7" s="4"/>
      <c r="W7" s="4"/>
      <c r="X7" s="4"/>
      <c r="Y7" s="4"/>
      <c r="Z7" s="4"/>
      <c r="AB7" s="4"/>
    </row>
    <row r="8" spans="1:28" x14ac:dyDescent="0.25">
      <c r="A8">
        <f t="shared" si="0"/>
        <v>6</v>
      </c>
      <c r="B8" s="2">
        <v>254479</v>
      </c>
      <c r="C8" s="1">
        <v>192046.00417253599</v>
      </c>
      <c r="D8" s="2">
        <v>3403.8864518</v>
      </c>
      <c r="E8" s="2">
        <v>5939.1386224999997</v>
      </c>
      <c r="F8" s="2">
        <v>1.66258E-2</v>
      </c>
      <c r="G8" s="2">
        <v>1.25469E-2</v>
      </c>
      <c r="H8" s="2">
        <v>1.25469E-2</v>
      </c>
      <c r="I8" s="2">
        <v>1.9912099999999999E-2</v>
      </c>
      <c r="J8" s="3"/>
      <c r="T8" s="4"/>
      <c r="U8" s="4"/>
      <c r="V8" s="4"/>
      <c r="W8" s="4"/>
      <c r="X8" s="4"/>
      <c r="Y8" s="4"/>
      <c r="Z8" s="4"/>
      <c r="AB8" s="4"/>
    </row>
    <row r="9" spans="1:28" x14ac:dyDescent="0.25">
      <c r="A9">
        <f t="shared" si="0"/>
        <v>7</v>
      </c>
      <c r="B9" s="2">
        <v>903290</v>
      </c>
      <c r="C9" s="1">
        <v>900703.211260029</v>
      </c>
      <c r="D9" s="2">
        <v>15964.3595351</v>
      </c>
      <c r="E9" s="2">
        <v>15644.789055900001</v>
      </c>
      <c r="F9" s="2">
        <v>5.9014400000000002E-2</v>
      </c>
      <c r="G9" s="2">
        <v>5.8845399999999999E-2</v>
      </c>
      <c r="H9" s="2">
        <v>5.8845399999999999E-2</v>
      </c>
      <c r="I9" s="2">
        <v>5.2452100000000002E-2</v>
      </c>
      <c r="J9" s="3"/>
      <c r="T9" s="4"/>
      <c r="U9" s="4"/>
      <c r="V9" s="4"/>
      <c r="W9" s="4"/>
      <c r="X9" s="4"/>
      <c r="Y9" s="4"/>
      <c r="Z9" s="4"/>
      <c r="AB9" s="4"/>
    </row>
    <row r="10" spans="1:28" x14ac:dyDescent="0.25">
      <c r="A10">
        <f t="shared" si="0"/>
        <v>8</v>
      </c>
      <c r="B10" s="2">
        <v>90815</v>
      </c>
      <c r="C10" s="1">
        <v>94865.402541622607</v>
      </c>
      <c r="D10" s="2">
        <v>1681.4255513999999</v>
      </c>
      <c r="E10" s="2">
        <v>1755.7049711</v>
      </c>
      <c r="F10" s="2">
        <v>5.9331999999999996E-3</v>
      </c>
      <c r="G10" s="2">
        <v>6.1977999999999998E-3</v>
      </c>
      <c r="H10" s="2">
        <v>6.1977999999999998E-3</v>
      </c>
      <c r="I10" s="2">
        <v>5.8862999999999997E-3</v>
      </c>
      <c r="J10" s="3"/>
      <c r="T10" s="4"/>
      <c r="U10" s="4"/>
      <c r="V10" s="4"/>
      <c r="W10" s="4"/>
      <c r="X10" s="4"/>
      <c r="Y10" s="4"/>
      <c r="Z10" s="4"/>
      <c r="AB10" s="4"/>
    </row>
    <row r="11" spans="1:28" x14ac:dyDescent="0.25">
      <c r="A11">
        <f t="shared" si="0"/>
        <v>9</v>
      </c>
      <c r="B11" s="2">
        <v>89204</v>
      </c>
      <c r="C11" s="1">
        <v>86419.639967074007</v>
      </c>
      <c r="D11" s="2">
        <v>1531.7300817</v>
      </c>
      <c r="E11" s="2">
        <v>1668.4225684</v>
      </c>
      <c r="F11" s="2">
        <v>5.8278999999999996E-3</v>
      </c>
      <c r="G11" s="2">
        <v>5.646E-3</v>
      </c>
      <c r="H11" s="2">
        <v>5.646E-3</v>
      </c>
      <c r="I11" s="2">
        <v>5.5937000000000001E-3</v>
      </c>
      <c r="J11" s="3"/>
      <c r="T11" s="4"/>
      <c r="U11" s="4"/>
      <c r="V11" s="4"/>
      <c r="W11" s="4"/>
      <c r="X11" s="4"/>
      <c r="Y11" s="4"/>
      <c r="Z11" s="4"/>
      <c r="AB11" s="4"/>
    </row>
    <row r="12" spans="1:28" x14ac:dyDescent="0.25">
      <c r="A12">
        <f t="shared" si="0"/>
        <v>10</v>
      </c>
      <c r="B12" s="2">
        <v>164785</v>
      </c>
      <c r="C12" s="1">
        <v>179082.78466510601</v>
      </c>
      <c r="D12" s="2">
        <v>3174.1220917000001</v>
      </c>
      <c r="E12" s="2">
        <v>3615.4591381999999</v>
      </c>
      <c r="F12" s="2">
        <v>1.07659E-2</v>
      </c>
      <c r="G12" s="2">
        <v>1.17E-2</v>
      </c>
      <c r="H12" s="2">
        <v>1.17E-2</v>
      </c>
      <c r="I12" s="2">
        <v>1.21215E-2</v>
      </c>
      <c r="J12" s="3"/>
      <c r="T12" s="4"/>
      <c r="U12" s="4"/>
      <c r="V12" s="4"/>
      <c r="W12" s="4"/>
      <c r="X12" s="4"/>
      <c r="Y12" s="4"/>
      <c r="Z12" s="4"/>
      <c r="AB12" s="4"/>
    </row>
    <row r="13" spans="1:28" x14ac:dyDescent="0.25">
      <c r="A13">
        <f t="shared" si="0"/>
        <v>11</v>
      </c>
      <c r="B13" s="2">
        <v>246438</v>
      </c>
      <c r="C13" s="1">
        <v>254609.22359354599</v>
      </c>
      <c r="D13" s="2">
        <v>4512.7775005000003</v>
      </c>
      <c r="E13" s="2">
        <v>4669.0349954000003</v>
      </c>
      <c r="F13" s="2">
        <v>1.61005E-2</v>
      </c>
      <c r="G13" s="2">
        <v>1.6634300000000001E-2</v>
      </c>
      <c r="H13" s="2">
        <v>1.6634300000000001E-2</v>
      </c>
      <c r="I13" s="2">
        <v>1.5653799999999999E-2</v>
      </c>
      <c r="J13" s="3"/>
      <c r="T13" s="4"/>
      <c r="U13" s="4"/>
      <c r="V13" s="4"/>
      <c r="W13" s="4"/>
      <c r="X13" s="4"/>
      <c r="Y13" s="4"/>
      <c r="Z13" s="4"/>
      <c r="AB13" s="4"/>
    </row>
    <row r="14" spans="1:28" x14ac:dyDescent="0.25">
      <c r="A14">
        <f t="shared" si="0"/>
        <v>12</v>
      </c>
      <c r="B14" s="2">
        <v>265752</v>
      </c>
      <c r="C14" s="1">
        <v>278531.188991106</v>
      </c>
      <c r="D14" s="2">
        <v>4936.7782718999997</v>
      </c>
      <c r="E14" s="2">
        <v>5047.6731478000002</v>
      </c>
      <c r="F14" s="2">
        <v>1.7362300000000001E-2</v>
      </c>
      <c r="G14" s="2">
        <v>1.81972E-2</v>
      </c>
      <c r="H14" s="2">
        <v>1.81972E-2</v>
      </c>
      <c r="I14" s="2">
        <v>1.6923299999999999E-2</v>
      </c>
      <c r="J14" s="3"/>
      <c r="T14" s="4"/>
      <c r="U14" s="4"/>
      <c r="V14" s="4"/>
      <c r="W14" s="4"/>
      <c r="X14" s="4"/>
      <c r="Y14" s="4"/>
      <c r="Z14" s="4"/>
      <c r="AB14" s="4"/>
    </row>
    <row r="15" spans="1:28" x14ac:dyDescent="0.25">
      <c r="A15">
        <f t="shared" si="0"/>
        <v>13</v>
      </c>
      <c r="B15" s="2">
        <v>417930</v>
      </c>
      <c r="C15" s="1">
        <v>479498.234508069</v>
      </c>
      <c r="D15" s="2">
        <v>8498.7841903999997</v>
      </c>
      <c r="E15" s="2">
        <v>8642.6971971999992</v>
      </c>
      <c r="F15" s="2">
        <v>2.7304499999999999E-2</v>
      </c>
      <c r="G15" s="2">
        <v>3.1326899999999998E-2</v>
      </c>
      <c r="H15" s="2">
        <v>3.1326899999999998E-2</v>
      </c>
      <c r="I15" s="2">
        <v>2.89763E-2</v>
      </c>
      <c r="J15" s="3"/>
      <c r="T15" s="4"/>
      <c r="U15" s="4"/>
      <c r="V15" s="4"/>
      <c r="W15" s="4"/>
      <c r="X15" s="4"/>
      <c r="Y15" s="4"/>
      <c r="Z15" s="4"/>
      <c r="AB15" s="4"/>
    </row>
    <row r="16" spans="1:28" x14ac:dyDescent="0.25">
      <c r="A16">
        <f t="shared" si="0"/>
        <v>14</v>
      </c>
      <c r="B16" s="2">
        <v>111452</v>
      </c>
      <c r="C16" s="1">
        <v>118780.484650111</v>
      </c>
      <c r="D16" s="2">
        <v>2105.3043210999999</v>
      </c>
      <c r="E16" s="2">
        <v>2198.0012505</v>
      </c>
      <c r="F16" s="2">
        <v>7.2814999999999998E-3</v>
      </c>
      <c r="G16" s="2">
        <v>7.7603000000000004E-3</v>
      </c>
      <c r="H16" s="2">
        <v>7.7603000000000004E-3</v>
      </c>
      <c r="I16" s="2">
        <v>7.3692000000000002E-3</v>
      </c>
      <c r="J16" s="3"/>
      <c r="T16" s="4"/>
      <c r="U16" s="4"/>
      <c r="V16" s="4"/>
      <c r="W16" s="4"/>
      <c r="X16" s="4"/>
      <c r="Y16" s="4"/>
      <c r="Z16" s="4"/>
      <c r="AB16" s="4"/>
    </row>
    <row r="17" spans="1:28" x14ac:dyDescent="0.25">
      <c r="A17">
        <f t="shared" si="0"/>
        <v>15</v>
      </c>
      <c r="B17" s="2">
        <v>432097</v>
      </c>
      <c r="C17" s="1">
        <v>463129.39812348201</v>
      </c>
      <c r="D17" s="2">
        <v>8208.6575582999994</v>
      </c>
      <c r="E17" s="2">
        <v>8334.5546615000003</v>
      </c>
      <c r="F17" s="2">
        <v>2.8230100000000001E-2</v>
      </c>
      <c r="G17" s="2">
        <v>3.02575E-2</v>
      </c>
      <c r="H17" s="2">
        <v>3.02575E-2</v>
      </c>
      <c r="I17" s="2">
        <v>2.7943200000000001E-2</v>
      </c>
      <c r="J17" s="3"/>
      <c r="T17" s="4"/>
      <c r="U17" s="4"/>
      <c r="V17" s="4"/>
      <c r="W17" s="4"/>
      <c r="X17" s="4"/>
      <c r="Y17" s="4"/>
      <c r="Z17" s="4"/>
      <c r="AB17" s="4"/>
    </row>
    <row r="18" spans="1:28" x14ac:dyDescent="0.25">
      <c r="A18">
        <f t="shared" si="0"/>
        <v>16</v>
      </c>
      <c r="B18" s="2">
        <v>178070</v>
      </c>
      <c r="C18" s="1">
        <v>207743.14386298801</v>
      </c>
      <c r="D18" s="2">
        <v>3682.1077111</v>
      </c>
      <c r="E18" s="2">
        <v>3701.3149266999999</v>
      </c>
      <c r="F18" s="2">
        <v>1.16338E-2</v>
      </c>
      <c r="G18" s="2">
        <v>1.35724E-2</v>
      </c>
      <c r="H18" s="2">
        <v>1.35724E-2</v>
      </c>
      <c r="I18" s="2">
        <v>1.24093E-2</v>
      </c>
      <c r="J18" s="3"/>
      <c r="T18" s="4"/>
      <c r="U18" s="4"/>
      <c r="V18" s="4"/>
      <c r="W18" s="4"/>
      <c r="X18" s="4"/>
      <c r="Y18" s="4"/>
      <c r="Z18" s="4"/>
      <c r="AB18" s="4"/>
    </row>
    <row r="19" spans="1:28" x14ac:dyDescent="0.25">
      <c r="A19">
        <f t="shared" si="0"/>
        <v>17</v>
      </c>
      <c r="B19" s="2">
        <v>67853</v>
      </c>
      <c r="C19" s="1">
        <v>70466.244153868305</v>
      </c>
      <c r="D19" s="2">
        <v>1248.9668547000001</v>
      </c>
      <c r="E19" s="2">
        <v>1234.2801936000001</v>
      </c>
      <c r="F19" s="2">
        <v>4.4330000000000003E-3</v>
      </c>
      <c r="G19" s="2">
        <v>4.6037999999999999E-3</v>
      </c>
      <c r="H19" s="2">
        <v>4.6037999999999999E-3</v>
      </c>
      <c r="I19" s="2">
        <v>4.1381999999999999E-3</v>
      </c>
      <c r="J19" s="3"/>
      <c r="T19" s="4"/>
      <c r="U19" s="4"/>
      <c r="V19" s="4"/>
      <c r="W19" s="4"/>
      <c r="X19" s="4"/>
      <c r="Y19" s="4"/>
      <c r="Z19" s="4"/>
      <c r="AB19" s="4"/>
    </row>
    <row r="20" spans="1:28" x14ac:dyDescent="0.25">
      <c r="A20">
        <f t="shared" si="0"/>
        <v>18</v>
      </c>
      <c r="B20" s="2">
        <v>105984</v>
      </c>
      <c r="C20" s="1">
        <v>107185.90866114</v>
      </c>
      <c r="D20" s="2">
        <v>1899.7982483000001</v>
      </c>
      <c r="E20" s="2">
        <v>1919.8938028</v>
      </c>
      <c r="F20" s="2">
        <v>6.9242000000000001E-3</v>
      </c>
      <c r="G20" s="2">
        <v>7.0028E-3</v>
      </c>
      <c r="H20" s="2">
        <v>7.0028E-3</v>
      </c>
      <c r="I20" s="2">
        <v>6.4368000000000003E-3</v>
      </c>
      <c r="J20" s="3"/>
      <c r="T20" s="4"/>
      <c r="U20" s="4"/>
      <c r="V20" s="4"/>
      <c r="W20" s="4"/>
      <c r="X20" s="4"/>
      <c r="Y20" s="4"/>
      <c r="Z20" s="4"/>
      <c r="AB20" s="4"/>
    </row>
    <row r="21" spans="1:28" x14ac:dyDescent="0.25">
      <c r="A21">
        <f t="shared" si="0"/>
        <v>19</v>
      </c>
      <c r="B21" s="2">
        <v>533904</v>
      </c>
      <c r="C21" s="1">
        <v>464227.11865108501</v>
      </c>
      <c r="D21" s="2">
        <v>8228.1139175000008</v>
      </c>
      <c r="E21" s="2">
        <v>9443.5075460999997</v>
      </c>
      <c r="F21" s="2">
        <v>3.48814E-2</v>
      </c>
      <c r="G21" s="2">
        <v>3.0329200000000001E-2</v>
      </c>
      <c r="H21" s="2">
        <v>3.0329200000000001E-2</v>
      </c>
      <c r="I21" s="2">
        <v>3.1661099999999998E-2</v>
      </c>
      <c r="J21" s="3"/>
      <c r="T21" s="4"/>
      <c r="U21" s="4"/>
      <c r="V21" s="4"/>
      <c r="W21" s="4"/>
      <c r="X21" s="4"/>
      <c r="Y21" s="4"/>
      <c r="Z21" s="4"/>
      <c r="AB21" s="4"/>
    </row>
    <row r="22" spans="1:28" x14ac:dyDescent="0.25">
      <c r="A22">
        <f t="shared" si="0"/>
        <v>20</v>
      </c>
      <c r="B22" s="2">
        <v>87397</v>
      </c>
      <c r="C22" s="1">
        <v>91419.2536890716</v>
      </c>
      <c r="D22" s="2">
        <v>1620.3448773</v>
      </c>
      <c r="E22" s="2">
        <v>1733.3199128000001</v>
      </c>
      <c r="F22" s="2">
        <v>5.7099000000000004E-3</v>
      </c>
      <c r="G22" s="2">
        <v>5.9727000000000001E-3</v>
      </c>
      <c r="H22" s="2">
        <v>5.9727000000000001E-3</v>
      </c>
      <c r="I22" s="2">
        <v>5.8113000000000001E-3</v>
      </c>
      <c r="J22" s="3"/>
      <c r="T22" s="4"/>
      <c r="U22" s="4"/>
      <c r="V22" s="4"/>
      <c r="W22" s="4"/>
      <c r="X22" s="4"/>
      <c r="Y22" s="4"/>
      <c r="Z22" s="4"/>
      <c r="AB22" s="4"/>
    </row>
    <row r="23" spans="1:28" x14ac:dyDescent="0.25">
      <c r="A23">
        <f t="shared" si="0"/>
        <v>21</v>
      </c>
      <c r="B23" s="2">
        <v>70900</v>
      </c>
      <c r="C23" s="1">
        <v>75005.058190485302</v>
      </c>
      <c r="D23" s="2">
        <v>1329.4142853000001</v>
      </c>
      <c r="E23" s="2">
        <v>1341.2959868999999</v>
      </c>
      <c r="F23" s="2">
        <v>4.6321000000000001E-3</v>
      </c>
      <c r="G23" s="2">
        <v>4.9002999999999998E-3</v>
      </c>
      <c r="H23" s="2">
        <v>4.9002999999999998E-3</v>
      </c>
      <c r="I23" s="2">
        <v>4.4968999999999999E-3</v>
      </c>
      <c r="J23" s="3"/>
      <c r="T23" s="4"/>
      <c r="U23" s="4"/>
      <c r="V23" s="4"/>
      <c r="W23" s="4"/>
      <c r="X23" s="4"/>
      <c r="Y23" s="4"/>
      <c r="Z23" s="4"/>
      <c r="AB23" s="4"/>
    </row>
    <row r="24" spans="1:28" x14ac:dyDescent="0.25">
      <c r="A24">
        <f t="shared" si="0"/>
        <v>22</v>
      </c>
      <c r="B24" s="2">
        <v>151742</v>
      </c>
      <c r="C24" s="1">
        <v>151303.936633718</v>
      </c>
      <c r="D24" s="2">
        <v>2681.7606658</v>
      </c>
      <c r="E24" s="2">
        <v>2966.1444166000001</v>
      </c>
      <c r="F24" s="2">
        <v>9.9136999999999992E-3</v>
      </c>
      <c r="G24" s="2">
        <v>9.8851000000000008E-3</v>
      </c>
      <c r="H24" s="2">
        <v>9.8851000000000008E-3</v>
      </c>
      <c r="I24" s="2">
        <v>9.9445999999999996E-3</v>
      </c>
      <c r="J24" s="3"/>
      <c r="T24" s="4"/>
      <c r="U24" s="4"/>
      <c r="V24" s="4"/>
      <c r="W24" s="4"/>
      <c r="X24" s="4"/>
      <c r="Y24" s="4"/>
      <c r="Z24" s="4"/>
      <c r="AB24" s="4"/>
    </row>
    <row r="25" spans="1:28" x14ac:dyDescent="0.25">
      <c r="A25">
        <f t="shared" si="0"/>
        <v>23</v>
      </c>
      <c r="B25" s="2">
        <v>100311</v>
      </c>
      <c r="C25" s="1">
        <v>114679.904925173</v>
      </c>
      <c r="D25" s="2">
        <v>2032.6242993000001</v>
      </c>
      <c r="E25" s="2">
        <v>2054.2201619000002</v>
      </c>
      <c r="F25" s="2">
        <v>6.5535999999999997E-3</v>
      </c>
      <c r="G25" s="2">
        <v>7.4923999999999998E-3</v>
      </c>
      <c r="H25" s="2">
        <v>7.4923999999999998E-3</v>
      </c>
      <c r="I25" s="2">
        <v>6.8871999999999996E-3</v>
      </c>
      <c r="J25" s="3"/>
      <c r="T25" s="4"/>
      <c r="U25" s="4"/>
      <c r="V25" s="4"/>
      <c r="W25" s="4"/>
      <c r="X25" s="4"/>
      <c r="Y25" s="4"/>
      <c r="Z25" s="4"/>
      <c r="AB25" s="4"/>
    </row>
    <row r="26" spans="1:28" x14ac:dyDescent="0.25">
      <c r="A26">
        <f t="shared" si="0"/>
        <v>24</v>
      </c>
      <c r="B26" s="2">
        <v>133824</v>
      </c>
      <c r="C26" s="1">
        <v>102463.646564931</v>
      </c>
      <c r="D26" s="2">
        <v>1816.0993238999999</v>
      </c>
      <c r="E26" s="2">
        <v>2789.7467879000001</v>
      </c>
      <c r="F26" s="2">
        <v>8.7431000000000002E-3</v>
      </c>
      <c r="G26" s="2">
        <v>6.6942E-3</v>
      </c>
      <c r="H26" s="2">
        <v>6.6942E-3</v>
      </c>
      <c r="I26" s="2">
        <v>9.3530999999999996E-3</v>
      </c>
      <c r="J26" s="3"/>
      <c r="T26" s="4"/>
      <c r="U26" s="4"/>
      <c r="V26" s="4"/>
      <c r="W26" s="4"/>
      <c r="X26" s="4"/>
      <c r="Y26" s="4"/>
      <c r="Z26" s="4"/>
      <c r="AB26" s="4"/>
    </row>
    <row r="27" spans="1:28" x14ac:dyDescent="0.25">
      <c r="A27">
        <f t="shared" si="0"/>
        <v>25</v>
      </c>
      <c r="B27" s="2">
        <v>398472</v>
      </c>
      <c r="C27" s="1">
        <v>351668.99038736301</v>
      </c>
      <c r="D27" s="2">
        <v>6233.0966846000001</v>
      </c>
      <c r="E27" s="2">
        <v>6920.8379988999995</v>
      </c>
      <c r="F27" s="2">
        <v>2.6033299999999999E-2</v>
      </c>
      <c r="G27" s="2">
        <v>2.2975499999999999E-2</v>
      </c>
      <c r="H27" s="2">
        <v>2.2975499999999999E-2</v>
      </c>
      <c r="I27" s="2">
        <v>2.3203399999999999E-2</v>
      </c>
      <c r="J27" s="3"/>
      <c r="T27" s="4"/>
      <c r="U27" s="4"/>
      <c r="V27" s="4"/>
      <c r="W27" s="4"/>
      <c r="X27" s="4"/>
      <c r="Y27" s="4"/>
      <c r="Z27" s="4"/>
      <c r="AB27" s="4"/>
    </row>
    <row r="28" spans="1:28" x14ac:dyDescent="0.25">
      <c r="A28">
        <f t="shared" si="0"/>
        <v>26</v>
      </c>
      <c r="B28" s="2">
        <v>160242</v>
      </c>
      <c r="C28" s="1">
        <v>154707.91495445601</v>
      </c>
      <c r="D28" s="2">
        <v>2742.0938955000001</v>
      </c>
      <c r="E28" s="2">
        <v>2894.8487743000001</v>
      </c>
      <c r="F28" s="2">
        <v>1.04691E-2</v>
      </c>
      <c r="G28" s="2">
        <v>1.01075E-2</v>
      </c>
      <c r="H28" s="2">
        <v>1.01075E-2</v>
      </c>
      <c r="I28" s="2">
        <v>9.7055000000000006E-3</v>
      </c>
      <c r="J28" s="3"/>
      <c r="T28" s="4"/>
      <c r="U28" s="4"/>
      <c r="V28" s="4"/>
      <c r="W28" s="4"/>
      <c r="X28" s="4"/>
      <c r="Y28" s="4"/>
      <c r="Z28" s="4"/>
      <c r="AB28" s="4"/>
    </row>
    <row r="29" spans="1:28" x14ac:dyDescent="0.25">
      <c r="A29">
        <f t="shared" si="0"/>
        <v>27</v>
      </c>
      <c r="B29" s="2">
        <v>755953</v>
      </c>
      <c r="C29" s="1">
        <v>668123.29039840901</v>
      </c>
      <c r="D29" s="2">
        <v>11842.036631299999</v>
      </c>
      <c r="E29" s="2">
        <v>11435.6947905</v>
      </c>
      <c r="F29" s="2">
        <v>4.9388500000000002E-2</v>
      </c>
      <c r="G29" s="2">
        <v>4.3650300000000003E-2</v>
      </c>
      <c r="H29" s="2">
        <v>4.3650300000000003E-2</v>
      </c>
      <c r="I29" s="2">
        <v>3.8340300000000001E-2</v>
      </c>
      <c r="J29" s="3"/>
      <c r="T29" s="4"/>
      <c r="U29" s="4"/>
      <c r="V29" s="4"/>
      <c r="W29" s="4"/>
      <c r="X29" s="4"/>
      <c r="Y29" s="4"/>
      <c r="Z29" s="4"/>
      <c r="AB29" s="4"/>
    </row>
    <row r="30" spans="1:28" x14ac:dyDescent="0.25">
      <c r="A30">
        <f t="shared" si="0"/>
        <v>28</v>
      </c>
      <c r="B30" s="2">
        <v>789904</v>
      </c>
      <c r="C30" s="1">
        <v>725202.35686597903</v>
      </c>
      <c r="D30" s="2">
        <v>12853.724751899999</v>
      </c>
      <c r="E30" s="2">
        <v>13096.870016999999</v>
      </c>
      <c r="F30" s="2">
        <v>5.1606600000000002E-2</v>
      </c>
      <c r="G30" s="2">
        <v>4.7379499999999998E-2</v>
      </c>
      <c r="H30" s="2">
        <v>4.7379499999999998E-2</v>
      </c>
      <c r="I30" s="2">
        <v>4.3909700000000003E-2</v>
      </c>
      <c r="J30" s="3"/>
      <c r="T30" s="4"/>
      <c r="U30" s="4"/>
      <c r="V30" s="4"/>
      <c r="W30" s="4"/>
      <c r="X30" s="4"/>
      <c r="Y30" s="4"/>
      <c r="Z30" s="4"/>
      <c r="AB30" s="4"/>
    </row>
    <row r="31" spans="1:28" x14ac:dyDescent="0.25">
      <c r="A31">
        <f t="shared" si="0"/>
        <v>29</v>
      </c>
      <c r="B31" s="2">
        <v>113112</v>
      </c>
      <c r="C31" s="1">
        <v>120209.42895795401</v>
      </c>
      <c r="D31" s="2">
        <v>2130.6313992999999</v>
      </c>
      <c r="E31" s="2">
        <v>2473.3279769999999</v>
      </c>
      <c r="F31" s="2">
        <v>7.3898999999999996E-3</v>
      </c>
      <c r="G31" s="2">
        <v>7.8536000000000005E-3</v>
      </c>
      <c r="H31" s="2">
        <v>7.8536000000000005E-3</v>
      </c>
      <c r="I31" s="2">
        <v>8.2923000000000007E-3</v>
      </c>
      <c r="J31" s="3"/>
      <c r="T31" s="4"/>
      <c r="U31" s="4"/>
      <c r="V31" s="4"/>
      <c r="W31" s="4"/>
      <c r="X31" s="4"/>
      <c r="Y31" s="4"/>
      <c r="Z31" s="4"/>
      <c r="AB31" s="4"/>
    </row>
    <row r="32" spans="1:28" x14ac:dyDescent="0.25">
      <c r="A32">
        <f t="shared" si="0"/>
        <v>30</v>
      </c>
      <c r="B32" s="2">
        <v>38107</v>
      </c>
      <c r="C32" s="1">
        <v>49594.750588035</v>
      </c>
      <c r="D32" s="2">
        <v>879.03364790000001</v>
      </c>
      <c r="E32" s="2">
        <v>1457.4626373000001</v>
      </c>
      <c r="F32" s="2">
        <v>2.4895999999999998E-3</v>
      </c>
      <c r="G32" s="2">
        <v>3.2401999999999999E-3</v>
      </c>
      <c r="H32" s="2">
        <v>3.2401999999999999E-3</v>
      </c>
      <c r="I32" s="2">
        <v>4.8863999999999999E-3</v>
      </c>
      <c r="J32" s="3"/>
      <c r="T32" s="4"/>
      <c r="U32" s="4"/>
      <c r="V32" s="4"/>
      <c r="W32" s="4"/>
      <c r="X32" s="4"/>
      <c r="Y32" s="4"/>
      <c r="Z32" s="4"/>
      <c r="AB32" s="4"/>
    </row>
    <row r="33" spans="1:28" x14ac:dyDescent="0.25">
      <c r="A33">
        <f t="shared" si="0"/>
        <v>31</v>
      </c>
      <c r="B33" s="2">
        <v>24453</v>
      </c>
      <c r="C33" s="1">
        <v>26530.161099543599</v>
      </c>
      <c r="D33" s="2">
        <v>470.22928869999998</v>
      </c>
      <c r="E33" s="2">
        <v>594.85363419999999</v>
      </c>
      <c r="F33" s="2">
        <v>1.5976E-3</v>
      </c>
      <c r="G33" s="2">
        <v>1.7332999999999999E-3</v>
      </c>
      <c r="H33" s="2">
        <v>1.7332999999999999E-3</v>
      </c>
      <c r="I33" s="2">
        <v>1.9943999999999999E-3</v>
      </c>
      <c r="J33" s="3"/>
      <c r="T33" s="4"/>
      <c r="U33" s="4"/>
      <c r="V33" s="4"/>
      <c r="W33" s="4"/>
      <c r="X33" s="4"/>
      <c r="Y33" s="4"/>
      <c r="Z33" s="4"/>
      <c r="AB33" s="4"/>
    </row>
    <row r="34" spans="1:28" x14ac:dyDescent="0.25">
      <c r="A34">
        <f t="shared" si="0"/>
        <v>32</v>
      </c>
      <c r="B34" s="2">
        <v>173349</v>
      </c>
      <c r="C34" s="1">
        <v>179830.14017642001</v>
      </c>
      <c r="D34" s="2">
        <v>3187.3684662999999</v>
      </c>
      <c r="E34" s="2">
        <v>3325.0370852999999</v>
      </c>
      <c r="F34" s="2">
        <v>1.1325399999999999E-2</v>
      </c>
      <c r="G34" s="2">
        <v>1.17488E-2</v>
      </c>
      <c r="H34" s="2">
        <v>1.17488E-2</v>
      </c>
      <c r="I34" s="2">
        <v>1.1147799999999999E-2</v>
      </c>
      <c r="J34" s="3"/>
      <c r="T34" s="4"/>
      <c r="U34" s="4"/>
      <c r="V34" s="4"/>
      <c r="W34" s="4"/>
      <c r="X34" s="4"/>
      <c r="Y34" s="4"/>
      <c r="Z34" s="4"/>
      <c r="AB34" s="4"/>
    </row>
    <row r="35" spans="1:28" x14ac:dyDescent="0.25">
      <c r="A35">
        <f t="shared" si="0"/>
        <v>33</v>
      </c>
      <c r="B35" s="2">
        <v>26183</v>
      </c>
      <c r="C35" s="1">
        <v>25812.573667168599</v>
      </c>
      <c r="D35" s="2">
        <v>457.51053330000002</v>
      </c>
      <c r="E35" s="2">
        <v>513.30422039999996</v>
      </c>
      <c r="F35" s="2">
        <v>1.7106000000000001E-3</v>
      </c>
      <c r="G35" s="2">
        <v>1.6864E-3</v>
      </c>
      <c r="H35" s="2">
        <v>1.6864E-3</v>
      </c>
      <c r="I35" s="2">
        <v>1.7209E-3</v>
      </c>
      <c r="J35" s="3"/>
      <c r="T35" s="4"/>
      <c r="U35" s="4"/>
      <c r="V35" s="4"/>
      <c r="W35" s="4"/>
      <c r="X35" s="4"/>
      <c r="Y35" s="4"/>
      <c r="Z35" s="4"/>
      <c r="AB35" s="4"/>
    </row>
    <row r="36" spans="1:28" x14ac:dyDescent="0.25">
      <c r="A36">
        <f t="shared" si="0"/>
        <v>34</v>
      </c>
      <c r="B36" s="2">
        <v>24334</v>
      </c>
      <c r="C36" s="1">
        <v>25610.802684499598</v>
      </c>
      <c r="D36" s="2">
        <v>453.93427819999999</v>
      </c>
      <c r="E36" s="2">
        <v>654.2891995</v>
      </c>
      <c r="F36" s="2">
        <v>1.5897999999999999E-3</v>
      </c>
      <c r="G36" s="2">
        <v>1.6731999999999999E-3</v>
      </c>
      <c r="H36" s="2">
        <v>1.6731999999999999E-3</v>
      </c>
      <c r="I36" s="2">
        <v>2.1936E-3</v>
      </c>
      <c r="J36" s="3"/>
      <c r="T36" s="4"/>
      <c r="U36" s="4"/>
      <c r="V36" s="4"/>
      <c r="W36" s="4"/>
      <c r="X36" s="4"/>
      <c r="Y36" s="4"/>
      <c r="Z36" s="4"/>
      <c r="AB36" s="4"/>
    </row>
    <row r="37" spans="1:28" x14ac:dyDescent="0.25">
      <c r="A37">
        <f t="shared" si="0"/>
        <v>35</v>
      </c>
      <c r="B37" s="2">
        <v>91472</v>
      </c>
      <c r="C37" s="1">
        <v>102808.169432767</v>
      </c>
      <c r="D37" s="2">
        <v>1822.2057603999999</v>
      </c>
      <c r="E37" s="2">
        <v>1935.3792094</v>
      </c>
      <c r="F37" s="2">
        <v>5.9760999999999998E-3</v>
      </c>
      <c r="G37" s="2">
        <v>6.7166999999999999E-3</v>
      </c>
      <c r="H37" s="2">
        <v>6.7166999999999999E-3</v>
      </c>
      <c r="I37" s="2">
        <v>6.4887E-3</v>
      </c>
      <c r="J37" s="3"/>
      <c r="T37" s="4"/>
      <c r="U37" s="4"/>
      <c r="V37" s="4"/>
      <c r="W37" s="4"/>
      <c r="X37" s="4"/>
      <c r="Y37" s="4"/>
      <c r="Z37" s="4"/>
      <c r="AB37" s="4"/>
    </row>
    <row r="38" spans="1:28" x14ac:dyDescent="0.25">
      <c r="A38">
        <f t="shared" si="0"/>
        <v>36</v>
      </c>
      <c r="B38" s="2">
        <v>29477</v>
      </c>
      <c r="C38" s="1">
        <v>34819.539405098003</v>
      </c>
      <c r="D38" s="2">
        <v>617.15295219999996</v>
      </c>
      <c r="E38" s="2">
        <v>596.8026496</v>
      </c>
      <c r="F38" s="2">
        <v>1.9258000000000001E-3</v>
      </c>
      <c r="G38" s="2">
        <v>2.2748999999999998E-3</v>
      </c>
      <c r="H38" s="2">
        <v>2.2748999999999998E-3</v>
      </c>
      <c r="I38" s="2">
        <v>2.0008999999999999E-3</v>
      </c>
      <c r="J38" s="3"/>
      <c r="T38" s="4"/>
      <c r="U38" s="4"/>
      <c r="V38" s="4"/>
      <c r="W38" s="4"/>
      <c r="X38" s="4"/>
      <c r="Y38" s="4"/>
      <c r="Z38" s="4"/>
      <c r="AB38" s="4"/>
    </row>
    <row r="39" spans="1:28" x14ac:dyDescent="0.25">
      <c r="A39">
        <f t="shared" si="0"/>
        <v>37</v>
      </c>
      <c r="B39" s="2">
        <v>203768</v>
      </c>
      <c r="C39" s="1">
        <v>208666.93643346199</v>
      </c>
      <c r="D39" s="2">
        <v>3698.4813140000001</v>
      </c>
      <c r="E39" s="2">
        <v>3646.7282322000001</v>
      </c>
      <c r="F39" s="2">
        <v>1.33127E-2</v>
      </c>
      <c r="G39" s="2">
        <v>1.36328E-2</v>
      </c>
      <c r="H39" s="2">
        <v>1.36328E-2</v>
      </c>
      <c r="I39" s="2">
        <v>1.2226300000000001E-2</v>
      </c>
      <c r="J39" s="3"/>
      <c r="T39" s="4"/>
      <c r="U39" s="4"/>
      <c r="V39" s="4"/>
      <c r="W39" s="4"/>
      <c r="X39" s="4"/>
      <c r="Y39" s="4"/>
      <c r="Z39" s="4"/>
      <c r="AB39" s="4"/>
    </row>
    <row r="40" spans="1:28" x14ac:dyDescent="0.25">
      <c r="A40">
        <f t="shared" si="0"/>
        <v>38</v>
      </c>
      <c r="B40" s="2">
        <v>64779</v>
      </c>
      <c r="C40" s="1">
        <v>57699.327301490302</v>
      </c>
      <c r="D40" s="2">
        <v>1022.6818273</v>
      </c>
      <c r="E40" s="2">
        <v>1037.5494106000001</v>
      </c>
      <c r="F40" s="2">
        <v>4.2322000000000002E-3</v>
      </c>
      <c r="G40" s="2">
        <v>3.7697E-3</v>
      </c>
      <c r="H40" s="2">
        <v>3.7697E-3</v>
      </c>
      <c r="I40" s="2">
        <v>3.4786000000000001E-3</v>
      </c>
      <c r="J40" s="3"/>
      <c r="T40" s="4"/>
      <c r="U40" s="4"/>
      <c r="V40" s="4"/>
      <c r="W40" s="4"/>
      <c r="X40" s="4"/>
      <c r="Y40" s="4"/>
      <c r="Z40" s="4"/>
      <c r="AB40" s="4"/>
    </row>
    <row r="41" spans="1:28" x14ac:dyDescent="0.25">
      <c r="A41">
        <f t="shared" si="0"/>
        <v>39</v>
      </c>
      <c r="B41" s="2">
        <v>403881</v>
      </c>
      <c r="C41" s="1">
        <v>355371.32758862502</v>
      </c>
      <c r="D41" s="2">
        <v>6298.7181251000002</v>
      </c>
      <c r="E41" s="2">
        <v>7908.3416674</v>
      </c>
      <c r="F41" s="2">
        <v>2.6386699999999999E-2</v>
      </c>
      <c r="G41" s="2">
        <v>2.3217399999999999E-2</v>
      </c>
      <c r="H41" s="2">
        <v>2.3217399999999999E-2</v>
      </c>
      <c r="I41" s="2">
        <v>2.6514200000000002E-2</v>
      </c>
      <c r="J41" s="3"/>
      <c r="T41" s="4"/>
      <c r="U41" s="4"/>
      <c r="V41" s="4"/>
      <c r="W41" s="4"/>
      <c r="X41" s="4"/>
      <c r="Y41" s="4"/>
      <c r="Z41" s="4"/>
      <c r="AB41" s="4"/>
    </row>
    <row r="42" spans="1:28" x14ac:dyDescent="0.25">
      <c r="A42">
        <f t="shared" si="0"/>
        <v>40</v>
      </c>
      <c r="B42" s="2">
        <v>51443</v>
      </c>
      <c r="C42" s="1">
        <v>56404.661010534503</v>
      </c>
      <c r="D42" s="2">
        <v>999.73473679999995</v>
      </c>
      <c r="E42" s="2">
        <v>951.775127</v>
      </c>
      <c r="F42" s="2">
        <v>3.3609E-3</v>
      </c>
      <c r="G42" s="2">
        <v>3.6851000000000002E-3</v>
      </c>
      <c r="H42" s="2">
        <v>3.6851000000000002E-3</v>
      </c>
      <c r="I42" s="2">
        <v>3.1909999999999998E-3</v>
      </c>
      <c r="J42" s="3"/>
      <c r="T42" s="4"/>
      <c r="U42" s="4"/>
      <c r="V42" s="4"/>
      <c r="W42" s="4"/>
      <c r="X42" s="4"/>
      <c r="Y42" s="4"/>
      <c r="Z42" s="4"/>
      <c r="AB42" s="4"/>
    </row>
    <row r="43" spans="1:28" x14ac:dyDescent="0.25">
      <c r="A43">
        <f t="shared" si="0"/>
        <v>41</v>
      </c>
      <c r="B43" s="2">
        <v>468635</v>
      </c>
      <c r="C43" s="1">
        <v>420684.85484897299</v>
      </c>
      <c r="D43" s="2">
        <v>7456.3565331999998</v>
      </c>
      <c r="E43" s="2">
        <v>7985.5704171999996</v>
      </c>
      <c r="F43" s="2">
        <v>3.0617200000000001E-2</v>
      </c>
      <c r="G43" s="2">
        <v>2.7484499999999999E-2</v>
      </c>
      <c r="H43" s="2">
        <v>2.7484499999999999E-2</v>
      </c>
      <c r="I43" s="2">
        <v>2.6773100000000001E-2</v>
      </c>
      <c r="J43" s="3"/>
      <c r="T43" s="4"/>
      <c r="U43" s="4"/>
      <c r="V43" s="4"/>
      <c r="W43" s="4"/>
      <c r="X43" s="4"/>
      <c r="Y43" s="4"/>
      <c r="Z43" s="4"/>
      <c r="AB43" s="4"/>
    </row>
    <row r="44" spans="1:28" x14ac:dyDescent="0.25">
      <c r="A44">
        <f t="shared" si="0"/>
        <v>42</v>
      </c>
      <c r="B44" s="2">
        <v>235059</v>
      </c>
      <c r="C44" s="1">
        <v>269834.36563579098</v>
      </c>
      <c r="D44" s="2">
        <v>4782.6329185000004</v>
      </c>
      <c r="E44" s="2">
        <v>4728.6304706000001</v>
      </c>
      <c r="F44" s="2">
        <v>1.53571E-2</v>
      </c>
      <c r="G44" s="2">
        <v>1.7628999999999999E-2</v>
      </c>
      <c r="H44" s="2">
        <v>1.7628999999999999E-2</v>
      </c>
      <c r="I44" s="2">
        <v>1.5853599999999999E-2</v>
      </c>
      <c r="J44" s="3"/>
      <c r="T44" s="4"/>
      <c r="U44" s="4"/>
      <c r="V44" s="4"/>
      <c r="W44" s="4"/>
      <c r="X44" s="4"/>
      <c r="Y44" s="4"/>
      <c r="Z44" s="4"/>
      <c r="AB44" s="4"/>
    </row>
    <row r="45" spans="1:28" x14ac:dyDescent="0.25">
      <c r="A45">
        <f t="shared" si="0"/>
        <v>43</v>
      </c>
      <c r="B45" s="2">
        <v>374349</v>
      </c>
      <c r="C45" s="1">
        <v>323767.87952606002</v>
      </c>
      <c r="D45" s="2">
        <v>5738.5682321000004</v>
      </c>
      <c r="E45" s="2">
        <v>5520.5756481999997</v>
      </c>
      <c r="F45" s="2">
        <v>2.4457300000000001E-2</v>
      </c>
      <c r="G45" s="2">
        <v>2.1152600000000001E-2</v>
      </c>
      <c r="H45" s="2">
        <v>2.1152600000000001E-2</v>
      </c>
      <c r="I45" s="2">
        <v>1.8508799999999999E-2</v>
      </c>
      <c r="J45" s="3"/>
      <c r="T45" s="4"/>
      <c r="U45" s="4"/>
      <c r="V45" s="4"/>
      <c r="W45" s="4"/>
      <c r="X45" s="4"/>
      <c r="Y45" s="4"/>
      <c r="Z45" s="4"/>
      <c r="AB45" s="4"/>
    </row>
    <row r="46" spans="1:28" x14ac:dyDescent="0.25">
      <c r="A46">
        <f t="shared" si="0"/>
        <v>44</v>
      </c>
      <c r="B46" s="2">
        <v>77952</v>
      </c>
      <c r="C46" s="1">
        <v>82337.2844382279</v>
      </c>
      <c r="D46" s="2">
        <v>1459.3730714999999</v>
      </c>
      <c r="E46" s="2">
        <v>1589.9269589999999</v>
      </c>
      <c r="F46" s="2">
        <v>5.0927999999999998E-3</v>
      </c>
      <c r="G46" s="2">
        <v>5.3793000000000001E-3</v>
      </c>
      <c r="H46" s="2">
        <v>5.3793000000000001E-3</v>
      </c>
      <c r="I46" s="2">
        <v>5.3305000000000002E-3</v>
      </c>
      <c r="J46" s="3"/>
      <c r="T46" s="4"/>
      <c r="U46" s="4"/>
      <c r="V46" s="4"/>
      <c r="W46" s="4"/>
      <c r="X46" s="4"/>
      <c r="Y46" s="4"/>
      <c r="Z46" s="4"/>
      <c r="AB46" s="4"/>
    </row>
    <row r="47" spans="1:28" x14ac:dyDescent="0.25">
      <c r="A47">
        <f t="shared" si="0"/>
        <v>45</v>
      </c>
      <c r="B47" s="2">
        <v>607350</v>
      </c>
      <c r="C47" s="1">
        <v>327660.308741852</v>
      </c>
      <c r="D47" s="2">
        <v>5807.5589258999998</v>
      </c>
      <c r="E47" s="2">
        <v>11936.4007662</v>
      </c>
      <c r="F47" s="2">
        <v>3.9679800000000001E-2</v>
      </c>
      <c r="G47" s="2">
        <v>2.1406999999999999E-2</v>
      </c>
      <c r="H47" s="2">
        <v>2.1406999999999999E-2</v>
      </c>
      <c r="I47" s="2">
        <v>4.0018999999999999E-2</v>
      </c>
      <c r="J47" s="3"/>
      <c r="T47" s="4"/>
      <c r="U47" s="4"/>
      <c r="V47" s="4"/>
      <c r="W47" s="4"/>
      <c r="X47" s="4"/>
      <c r="Y47" s="4"/>
      <c r="Z47" s="4"/>
      <c r="AB47" s="4"/>
    </row>
    <row r="48" spans="1:28" x14ac:dyDescent="0.25">
      <c r="A48">
        <f t="shared" si="0"/>
        <v>46</v>
      </c>
      <c r="B48" s="2">
        <v>188096</v>
      </c>
      <c r="C48" s="1">
        <v>122743.77262732601</v>
      </c>
      <c r="D48" s="2">
        <v>2175.5509388999999</v>
      </c>
      <c r="E48" s="2">
        <v>2483.7350258000001</v>
      </c>
      <c r="F48" s="2">
        <v>1.2288800000000001E-2</v>
      </c>
      <c r="G48" s="2">
        <v>8.0192000000000006E-3</v>
      </c>
      <c r="H48" s="2">
        <v>8.0192000000000006E-3</v>
      </c>
      <c r="I48" s="2">
        <v>8.3271999999999999E-3</v>
      </c>
      <c r="J48" s="3"/>
      <c r="T48" s="4"/>
      <c r="U48" s="4"/>
      <c r="V48" s="4"/>
      <c r="W48" s="4"/>
      <c r="X48" s="4"/>
      <c r="Y48" s="4"/>
      <c r="Z48" s="4"/>
      <c r="AB48" s="4"/>
    </row>
    <row r="49" spans="1:28" x14ac:dyDescent="0.25">
      <c r="A49">
        <f t="shared" si="0"/>
        <v>47</v>
      </c>
      <c r="B49" s="2">
        <v>166178</v>
      </c>
      <c r="C49" s="1">
        <v>138656.38549040299</v>
      </c>
      <c r="D49" s="2">
        <v>2457.5913154999998</v>
      </c>
      <c r="E49" s="2">
        <v>2330.7963758000001</v>
      </c>
      <c r="F49" s="2">
        <v>1.0856899999999999E-2</v>
      </c>
      <c r="G49" s="2">
        <v>9.0588000000000005E-3</v>
      </c>
      <c r="H49" s="2">
        <v>9.0588000000000005E-3</v>
      </c>
      <c r="I49" s="2">
        <v>7.8144000000000009E-3</v>
      </c>
      <c r="J49" s="3"/>
      <c r="T49" s="4"/>
      <c r="U49" s="4"/>
      <c r="V49" s="4"/>
      <c r="W49" s="4"/>
      <c r="X49" s="4"/>
      <c r="Y49" s="4"/>
      <c r="Z49" s="4"/>
      <c r="AB49" s="4"/>
    </row>
    <row r="50" spans="1:28" x14ac:dyDescent="0.25">
      <c r="A50">
        <f t="shared" si="0"/>
        <v>48</v>
      </c>
      <c r="B50" s="2">
        <v>172271</v>
      </c>
      <c r="C50" s="1">
        <v>220692.73101686299</v>
      </c>
      <c r="D50" s="2">
        <v>3911.6304467999998</v>
      </c>
      <c r="E50" s="2">
        <v>3553.4505534999998</v>
      </c>
      <c r="F50" s="2">
        <v>1.12549E-2</v>
      </c>
      <c r="G50" s="2">
        <v>1.4418500000000001E-2</v>
      </c>
      <c r="H50" s="2">
        <v>1.4418500000000001E-2</v>
      </c>
      <c r="I50" s="2">
        <v>1.19136E-2</v>
      </c>
      <c r="J50" s="3"/>
      <c r="T50" s="4"/>
      <c r="U50" s="4"/>
      <c r="V50" s="4"/>
      <c r="W50" s="4"/>
      <c r="X50" s="4"/>
      <c r="Y50" s="4"/>
      <c r="Z50" s="4"/>
      <c r="AB50" s="4"/>
    </row>
    <row r="51" spans="1:28" x14ac:dyDescent="0.25">
      <c r="A51">
        <f t="shared" si="0"/>
        <v>49</v>
      </c>
      <c r="B51" s="2">
        <v>546739</v>
      </c>
      <c r="C51" s="1">
        <v>546701.53363283502</v>
      </c>
      <c r="D51" s="2">
        <v>9689.9175357999993</v>
      </c>
      <c r="E51" s="2">
        <v>9189.1719630999996</v>
      </c>
      <c r="F51" s="2">
        <v>3.5720000000000002E-2</v>
      </c>
      <c r="G51" s="2">
        <v>3.5717499999999999E-2</v>
      </c>
      <c r="H51" s="2">
        <v>3.5717499999999999E-2</v>
      </c>
      <c r="I51" s="2">
        <v>3.08084E-2</v>
      </c>
      <c r="J51" s="3"/>
      <c r="T51" s="4"/>
      <c r="U51" s="4"/>
      <c r="V51" s="4"/>
      <c r="W51" s="4"/>
      <c r="X51" s="4"/>
      <c r="Y51" s="4"/>
      <c r="Z51" s="4"/>
      <c r="AB51" s="4"/>
    </row>
    <row r="52" spans="1:28" x14ac:dyDescent="0.25">
      <c r="A52">
        <f t="shared" si="0"/>
        <v>50</v>
      </c>
      <c r="B52" s="2">
        <v>214567</v>
      </c>
      <c r="C52" s="1">
        <v>263379.92547201202</v>
      </c>
      <c r="D52" s="2">
        <v>4668.2323011999997</v>
      </c>
      <c r="E52" s="2">
        <v>4792.935504</v>
      </c>
      <c r="F52" s="2">
        <v>1.4018299999999999E-2</v>
      </c>
      <c r="G52" s="2">
        <v>1.7207299999999998E-2</v>
      </c>
      <c r="H52" s="2">
        <v>1.7207299999999998E-2</v>
      </c>
      <c r="I52" s="2">
        <v>1.6069199999999999E-2</v>
      </c>
      <c r="J52" s="3"/>
      <c r="T52" s="4"/>
      <c r="U52" s="4"/>
      <c r="V52" s="4"/>
      <c r="W52" s="4"/>
      <c r="X52" s="4"/>
      <c r="Y52" s="4"/>
      <c r="Z52" s="4"/>
      <c r="AB52" s="4"/>
    </row>
    <row r="53" spans="1:28" x14ac:dyDescent="0.25">
      <c r="A53">
        <f t="shared" si="0"/>
        <v>51</v>
      </c>
      <c r="B53" s="2">
        <v>356048</v>
      </c>
      <c r="C53" s="1">
        <v>398999.799272637</v>
      </c>
      <c r="D53" s="2">
        <v>7072.0034861000004</v>
      </c>
      <c r="E53" s="2">
        <v>6676.3430089000003</v>
      </c>
      <c r="F53" s="2">
        <v>2.32616E-2</v>
      </c>
      <c r="G53" s="2">
        <v>2.6067799999999999E-2</v>
      </c>
      <c r="H53" s="2">
        <v>2.6067799999999999E-2</v>
      </c>
      <c r="I53" s="2">
        <v>2.2383699999999999E-2</v>
      </c>
      <c r="J53" s="3"/>
      <c r="T53" s="4"/>
      <c r="U53" s="4"/>
      <c r="V53" s="4"/>
      <c r="W53" s="4"/>
      <c r="X53" s="4"/>
      <c r="Y53" s="4"/>
      <c r="Z53" s="4"/>
      <c r="AB53" s="4"/>
    </row>
    <row r="54" spans="1:28" x14ac:dyDescent="0.25">
      <c r="A54">
        <f t="shared" si="0"/>
        <v>52</v>
      </c>
      <c r="B54" s="2">
        <v>46311</v>
      </c>
      <c r="C54" s="1">
        <v>45914.575680557697</v>
      </c>
      <c r="D54" s="2">
        <v>813.80501909999998</v>
      </c>
      <c r="E54" s="2">
        <v>958.63730559999999</v>
      </c>
      <c r="F54" s="2">
        <v>3.0255999999999998E-3</v>
      </c>
      <c r="G54" s="2">
        <v>2.9997000000000001E-3</v>
      </c>
      <c r="H54" s="2">
        <v>2.9997000000000001E-3</v>
      </c>
      <c r="I54" s="2">
        <v>3.2139999999999998E-3</v>
      </c>
      <c r="J54" s="3"/>
      <c r="T54" s="4"/>
      <c r="U54" s="4"/>
      <c r="V54" s="4"/>
      <c r="W54" s="4"/>
      <c r="X54" s="4"/>
      <c r="Y54" s="4"/>
      <c r="Z54" s="4"/>
      <c r="AB54" s="4"/>
    </row>
    <row r="55" spans="1:28" x14ac:dyDescent="0.25">
      <c r="A55">
        <f t="shared" si="0"/>
        <v>53</v>
      </c>
      <c r="B55" s="2">
        <v>115551</v>
      </c>
      <c r="C55" s="1">
        <v>136083.395632578</v>
      </c>
      <c r="D55" s="2">
        <v>2411.9867982000001</v>
      </c>
      <c r="E55" s="2">
        <v>2688.2558264999998</v>
      </c>
      <c r="F55" s="2">
        <v>7.5493000000000001E-3</v>
      </c>
      <c r="G55" s="2">
        <v>8.8906999999999996E-3</v>
      </c>
      <c r="H55" s="2">
        <v>8.8906999999999996E-3</v>
      </c>
      <c r="I55" s="2">
        <v>9.0129000000000008E-3</v>
      </c>
      <c r="J55" s="3"/>
      <c r="T55" s="4"/>
      <c r="U55" s="4"/>
      <c r="V55" s="4"/>
      <c r="W55" s="4"/>
      <c r="X55" s="4"/>
      <c r="Y55" s="4"/>
      <c r="Z55" s="4"/>
      <c r="AB55" s="4"/>
    </row>
    <row r="56" spans="1:28" x14ac:dyDescent="0.25">
      <c r="A56">
        <f t="shared" si="0"/>
        <v>54</v>
      </c>
      <c r="B56" s="2">
        <v>403991</v>
      </c>
      <c r="C56" s="1">
        <v>444169.74764785002</v>
      </c>
      <c r="D56" s="2">
        <v>7872.6104863999999</v>
      </c>
      <c r="E56" s="2">
        <v>7656.4704836999999</v>
      </c>
      <c r="F56" s="2">
        <v>2.6393799999999999E-2</v>
      </c>
      <c r="G56" s="2">
        <v>2.9018800000000001E-2</v>
      </c>
      <c r="H56" s="2">
        <v>2.9018800000000001E-2</v>
      </c>
      <c r="I56" s="2">
        <v>2.56697E-2</v>
      </c>
      <c r="J56" s="3"/>
      <c r="T56" s="4"/>
      <c r="U56" s="4"/>
      <c r="V56" s="4"/>
      <c r="W56" s="4"/>
      <c r="X56" s="4"/>
      <c r="Y56" s="4"/>
      <c r="Z56" s="4"/>
      <c r="AB56" s="4"/>
    </row>
    <row r="57" spans="1:28" x14ac:dyDescent="0.25">
      <c r="A57">
        <f t="shared" si="0"/>
        <v>55</v>
      </c>
      <c r="B57" s="2">
        <v>391683</v>
      </c>
      <c r="C57" s="1">
        <v>469029.07879231899</v>
      </c>
      <c r="D57" s="2">
        <v>8313.2254360999996</v>
      </c>
      <c r="E57" s="2">
        <v>8723.0921512000004</v>
      </c>
      <c r="F57" s="2">
        <v>2.55897E-2</v>
      </c>
      <c r="G57" s="2">
        <v>3.0643E-2</v>
      </c>
      <c r="H57" s="2">
        <v>3.0643E-2</v>
      </c>
      <c r="I57" s="2">
        <v>2.9245799999999999E-2</v>
      </c>
      <c r="J57" s="3"/>
      <c r="T57" s="4"/>
      <c r="U57" s="4"/>
      <c r="V57" s="4"/>
      <c r="W57" s="4"/>
      <c r="X57" s="4"/>
      <c r="Y57" s="4"/>
      <c r="Z57" s="4"/>
      <c r="AB57" s="4"/>
    </row>
    <row r="58" spans="1:28" x14ac:dyDescent="0.25">
      <c r="A58">
        <f t="shared" si="0"/>
        <v>56</v>
      </c>
      <c r="B58" s="2">
        <v>66404</v>
      </c>
      <c r="C58" s="1">
        <v>74628.313425115601</v>
      </c>
      <c r="D58" s="2">
        <v>1322.7367374</v>
      </c>
      <c r="E58" s="2">
        <v>1265.8342649000001</v>
      </c>
      <c r="F58" s="2">
        <v>4.3384000000000001E-3</v>
      </c>
      <c r="G58" s="2">
        <v>4.8757000000000002E-3</v>
      </c>
      <c r="H58" s="2">
        <v>4.8757000000000002E-3</v>
      </c>
      <c r="I58" s="2">
        <v>4.2439000000000001E-3</v>
      </c>
      <c r="J58" s="3"/>
      <c r="T58" s="4"/>
      <c r="U58" s="4"/>
      <c r="V58" s="4"/>
      <c r="W58" s="4"/>
      <c r="X58" s="4"/>
      <c r="Y58" s="4"/>
      <c r="Z58" s="4"/>
      <c r="AB58" s="4"/>
    </row>
    <row r="59" spans="1:28" x14ac:dyDescent="0.25">
      <c r="A59">
        <f t="shared" si="0"/>
        <v>57</v>
      </c>
      <c r="B59" s="2">
        <v>55237</v>
      </c>
      <c r="C59" s="1">
        <v>50468.998613668198</v>
      </c>
      <c r="D59" s="2">
        <v>894.52910699999995</v>
      </c>
      <c r="E59" s="2">
        <v>922.96946549999996</v>
      </c>
      <c r="F59" s="2">
        <v>3.6088000000000001E-3</v>
      </c>
      <c r="G59" s="2">
        <v>3.2973E-3</v>
      </c>
      <c r="H59" s="2">
        <v>3.2973E-3</v>
      </c>
      <c r="I59" s="2">
        <v>3.0944000000000002E-3</v>
      </c>
      <c r="J59" s="3"/>
      <c r="T59" s="4"/>
      <c r="U59" s="4"/>
      <c r="V59" s="4"/>
      <c r="W59" s="4"/>
      <c r="X59" s="4"/>
      <c r="Y59" s="4"/>
      <c r="Z59" s="4"/>
      <c r="AB59" s="4"/>
    </row>
    <row r="60" spans="1:28" x14ac:dyDescent="0.25">
      <c r="A60">
        <f t="shared" si="0"/>
        <v>58</v>
      </c>
      <c r="B60" s="2">
        <v>73403</v>
      </c>
      <c r="C60" s="1">
        <v>66329.462837297702</v>
      </c>
      <c r="D60" s="2">
        <v>1175.645184</v>
      </c>
      <c r="E60" s="2">
        <v>1285.1766620999999</v>
      </c>
      <c r="F60" s="2">
        <v>4.7955999999999997E-3</v>
      </c>
      <c r="G60" s="2">
        <v>4.3334999999999997E-3</v>
      </c>
      <c r="H60" s="2">
        <v>4.3334999999999997E-3</v>
      </c>
      <c r="I60" s="2">
        <v>4.3087999999999998E-3</v>
      </c>
      <c r="J60" s="3"/>
      <c r="T60" s="4"/>
      <c r="U60" s="4"/>
      <c r="V60" s="4"/>
      <c r="W60" s="4"/>
      <c r="X60" s="4"/>
      <c r="Y60" s="4"/>
      <c r="Z60" s="4"/>
      <c r="AB60" s="4"/>
    </row>
    <row r="61" spans="1:28" x14ac:dyDescent="0.25">
      <c r="A61">
        <f t="shared" si="0"/>
        <v>59</v>
      </c>
      <c r="B61" s="2">
        <v>91975</v>
      </c>
      <c r="C61" s="1">
        <v>95406.6748111708</v>
      </c>
      <c r="D61" s="2">
        <v>1691.0192388</v>
      </c>
      <c r="E61" s="2">
        <v>1960.6183994999999</v>
      </c>
      <c r="F61" s="2">
        <v>6.0089999999999996E-3</v>
      </c>
      <c r="G61" s="2">
        <v>6.2332000000000004E-3</v>
      </c>
      <c r="H61" s="2">
        <v>6.2332000000000004E-3</v>
      </c>
      <c r="I61" s="2">
        <v>6.5732999999999998E-3</v>
      </c>
      <c r="J61" s="3"/>
      <c r="T61" s="4"/>
      <c r="U61" s="4"/>
      <c r="V61" s="4"/>
      <c r="W61" s="4"/>
      <c r="X61" s="4"/>
      <c r="Y61" s="4"/>
      <c r="Z61" s="4"/>
      <c r="AB61" s="4"/>
    </row>
    <row r="62" spans="1:28" x14ac:dyDescent="0.25">
      <c r="A62">
        <f t="shared" si="0"/>
        <v>60</v>
      </c>
      <c r="B62" s="2">
        <v>378874</v>
      </c>
      <c r="C62" s="1">
        <v>368956.92572419601</v>
      </c>
      <c r="D62" s="2">
        <v>6539.5137284000002</v>
      </c>
      <c r="E62" s="2">
        <v>6705.3278790000004</v>
      </c>
      <c r="F62" s="2">
        <v>2.4752900000000001E-2</v>
      </c>
      <c r="G62" s="2">
        <v>2.4105000000000001E-2</v>
      </c>
      <c r="H62" s="2">
        <v>2.4105000000000001E-2</v>
      </c>
      <c r="I62" s="2">
        <v>2.2480900000000002E-2</v>
      </c>
      <c r="J62" s="3"/>
      <c r="T62" s="4"/>
      <c r="U62" s="4"/>
      <c r="V62" s="4"/>
      <c r="W62" s="4"/>
      <c r="X62" s="4"/>
      <c r="Y62" s="4"/>
      <c r="Z62" s="4"/>
      <c r="AB62" s="4"/>
    </row>
    <row r="63" spans="1:28" x14ac:dyDescent="0.25">
      <c r="A63">
        <f t="shared" si="0"/>
        <v>61</v>
      </c>
      <c r="B63" s="2">
        <v>494144</v>
      </c>
      <c r="C63" s="1">
        <v>473996.32871084101</v>
      </c>
      <c r="D63" s="2">
        <v>8401.2666050999997</v>
      </c>
      <c r="E63" s="2">
        <v>8654.4858380000005</v>
      </c>
      <c r="F63" s="2">
        <v>3.2283800000000001E-2</v>
      </c>
      <c r="G63" s="2">
        <v>3.0967499999999999E-2</v>
      </c>
      <c r="H63" s="2">
        <v>3.0967499999999999E-2</v>
      </c>
      <c r="I63" s="2">
        <v>2.9015800000000001E-2</v>
      </c>
      <c r="J63" s="3"/>
      <c r="T63" s="4"/>
      <c r="U63" s="4"/>
      <c r="V63" s="4"/>
      <c r="W63" s="4"/>
      <c r="X63" s="4"/>
      <c r="Y63" s="4"/>
      <c r="Z63" s="4"/>
      <c r="AB63" s="4"/>
    </row>
    <row r="64" spans="1:28" x14ac:dyDescent="0.25">
      <c r="A64">
        <f t="shared" si="0"/>
        <v>62</v>
      </c>
      <c r="B64" s="2">
        <v>455775</v>
      </c>
      <c r="C64" s="1">
        <v>558595.84759748203</v>
      </c>
      <c r="D64" s="2">
        <v>9900.7362628999999</v>
      </c>
      <c r="E64" s="2">
        <v>10952.651880400001</v>
      </c>
      <c r="F64" s="2">
        <v>2.9777000000000001E-2</v>
      </c>
      <c r="G64" s="2">
        <v>3.6494600000000002E-2</v>
      </c>
      <c r="H64" s="2">
        <v>3.6494600000000002E-2</v>
      </c>
      <c r="I64" s="2">
        <v>3.6720799999999998E-2</v>
      </c>
      <c r="J64" s="3"/>
      <c r="T64" s="4"/>
      <c r="U64" s="4"/>
      <c r="V64" s="4"/>
      <c r="W64" s="4"/>
      <c r="X64" s="4"/>
      <c r="Y64" s="4"/>
      <c r="Z64" s="4"/>
      <c r="AB64" s="4"/>
    </row>
    <row r="65" spans="1:28" x14ac:dyDescent="0.25">
      <c r="A65">
        <f t="shared" si="0"/>
        <v>63</v>
      </c>
      <c r="B65" s="2">
        <v>77109</v>
      </c>
      <c r="C65" s="1">
        <v>104044.18563336199</v>
      </c>
      <c r="D65" s="2">
        <v>1844.1133175</v>
      </c>
      <c r="E65" s="2">
        <v>2649.4750739999999</v>
      </c>
      <c r="F65" s="2">
        <v>5.0377E-3</v>
      </c>
      <c r="G65" s="2">
        <v>6.7974999999999997E-3</v>
      </c>
      <c r="H65" s="2">
        <v>6.7974999999999997E-3</v>
      </c>
      <c r="I65" s="2">
        <v>8.8829000000000009E-3</v>
      </c>
      <c r="J65" s="3"/>
      <c r="T65" s="4"/>
      <c r="U65" s="4"/>
      <c r="V65" s="4"/>
      <c r="W65" s="4"/>
      <c r="X65" s="4"/>
      <c r="Y65" s="4"/>
      <c r="Z65" s="4"/>
      <c r="AB65" s="4"/>
    </row>
    <row r="66" spans="1:28" x14ac:dyDescent="0.25">
      <c r="A66">
        <f t="shared" si="0"/>
        <v>64</v>
      </c>
      <c r="B66" s="2">
        <v>963874</v>
      </c>
      <c r="C66" s="1">
        <v>1230873.72933873</v>
      </c>
      <c r="D66" s="2">
        <v>21816.410235700001</v>
      </c>
      <c r="E66" s="2">
        <v>26190.277022400001</v>
      </c>
      <c r="F66" s="2">
        <v>6.2972500000000001E-2</v>
      </c>
      <c r="G66" s="2">
        <v>8.0416399999999999E-2</v>
      </c>
      <c r="H66" s="2">
        <v>8.0416399999999999E-2</v>
      </c>
      <c r="I66" s="2">
        <v>8.7807800000000005E-2</v>
      </c>
      <c r="J66" s="3"/>
      <c r="T66" s="4"/>
      <c r="U66" s="4"/>
      <c r="V66" s="4"/>
      <c r="W66" s="4"/>
      <c r="X66" s="4"/>
      <c r="Y66" s="4"/>
      <c r="Z66" s="4"/>
      <c r="AB66" s="4"/>
    </row>
    <row r="67" spans="1:28" x14ac:dyDescent="0.25">
      <c r="A67">
        <f t="shared" si="0"/>
        <v>65</v>
      </c>
      <c r="B67" s="2">
        <v>133002</v>
      </c>
      <c r="C67" s="1">
        <v>150347.84061157799</v>
      </c>
      <c r="D67" s="2">
        <v>2664.8145058999999</v>
      </c>
      <c r="E67" s="2">
        <v>4339.3289483999997</v>
      </c>
      <c r="F67" s="2">
        <v>8.6893999999999999E-3</v>
      </c>
      <c r="G67" s="2">
        <v>9.8226000000000008E-3</v>
      </c>
      <c r="H67" s="2">
        <v>9.8226000000000008E-3</v>
      </c>
      <c r="I67" s="2">
        <v>1.45484E-2</v>
      </c>
      <c r="J67" s="3"/>
      <c r="T67" s="4"/>
      <c r="U67" s="4"/>
      <c r="V67" s="4"/>
      <c r="W67" s="4"/>
      <c r="X67" s="4"/>
      <c r="Y67" s="4"/>
      <c r="Z67" s="4"/>
      <c r="AB67" s="4"/>
    </row>
    <row r="68" spans="1:28" x14ac:dyDescent="0.25">
      <c r="J68" s="3"/>
    </row>
    <row r="69" spans="1:28" x14ac:dyDescent="0.25">
      <c r="J69" s="3"/>
    </row>
    <row r="70" spans="1:28" x14ac:dyDescent="0.25">
      <c r="J70" s="3"/>
    </row>
    <row r="71" spans="1:28" x14ac:dyDescent="0.25">
      <c r="J71" s="3"/>
    </row>
    <row r="72" spans="1:28" x14ac:dyDescent="0.25">
      <c r="J72" s="3"/>
    </row>
    <row r="73" spans="1:28" x14ac:dyDescent="0.25">
      <c r="J73" s="3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2025-10-03T15:06:49Z</dcterms:created>
  <dcterms:modified xsi:type="dcterms:W3CDTF">2025-10-03T15:29:58Z</dcterms:modified>
</cp:coreProperties>
</file>
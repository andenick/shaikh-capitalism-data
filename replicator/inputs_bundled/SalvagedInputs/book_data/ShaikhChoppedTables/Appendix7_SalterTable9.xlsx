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20" documentId="8_{EC791976-57F3-44F0-98F0-FBA8A9068CE8}" xr6:coauthVersionLast="47" xr6:coauthVersionMax="47" xr10:uidLastSave="{5109134D-3F23-4B12-A7D4-582BF9259049}"/>
  <bookViews>
    <workbookView xWindow="-28890" yWindow="-16365" windowWidth="29040" windowHeight="15720" xr2:uid="{2B4804EA-8DFE-456D-85CB-F42EB19B2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4" i="1"/>
  <c r="J4" i="1" s="1"/>
  <c r="I3" i="1"/>
  <c r="J5" i="1"/>
  <c r="J6" i="1"/>
  <c r="J3" i="1"/>
  <c r="H4" i="1"/>
  <c r="H5" i="1"/>
  <c r="H6" i="1"/>
  <c r="H3" i="1"/>
  <c r="G6" i="1"/>
  <c r="G5" i="1"/>
  <c r="G4" i="1"/>
  <c r="G3" i="1"/>
  <c r="D4" i="1"/>
  <c r="D5" i="1"/>
  <c r="D6" i="1"/>
  <c r="D3" i="1"/>
  <c r="C6" i="1"/>
  <c r="C5" i="1"/>
  <c r="C4" i="1"/>
  <c r="C3" i="1"/>
</calcChain>
</file>

<file path=xl/sharedStrings.xml><?xml version="1.0" encoding="utf-8"?>
<sst xmlns="http://schemas.openxmlformats.org/spreadsheetml/2006/main" count="24" uniqueCount="18">
  <si>
    <t>US Beet Sugar Industry, 1933-5</t>
  </si>
  <si>
    <t>Index</t>
  </si>
  <si>
    <t>Construction Date of Plant</t>
  </si>
  <si>
    <t>Labor Productivity (tons per man-hr)</t>
  </si>
  <si>
    <t>Relative to Oldest</t>
  </si>
  <si>
    <t>Labor Productivity (barrels per man-hr)</t>
  </si>
  <si>
    <t>Wet Process</t>
  </si>
  <si>
    <t>Dry Process</t>
  </si>
  <si>
    <t>Before 1906</t>
  </si>
  <si>
    <t>1906-15</t>
  </si>
  <si>
    <t>1916-25</t>
  </si>
  <si>
    <t>1926-30</t>
  </si>
  <si>
    <t>US Cement Industry, 1935</t>
  </si>
  <si>
    <t>Table 7.4: Age and Labor Productivity of Plants in Existence - Source: Salter 1969, Table 9, p.98</t>
  </si>
  <si>
    <t>1860-69</t>
  </si>
  <si>
    <t>1900-09</t>
  </si>
  <si>
    <t>1910-19</t>
  </si>
  <si>
    <t>1920-29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</si>
</sst>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4" fontId="0" fillId="0" borderId="0" xfId="0" applyNumberFormat="1"/>
  </cellXfs>
  <cellStyles count="2">
    <cellStyle name="Normal" xfId="0" builtinId="0"/>
    <cellStyle name="Normal 3" xfId="1" xr:uid="{D238AEB0-6CC2-485A-BD70-4D48873777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B948-8C78-4C2C-BF4F-A341FF6FF8D2}">
  <dimension ref="A1:J6"/>
  <sheetViews>
    <sheetView tabSelected="1" workbookViewId="0"/>
  </sheetViews>
  <sheetFormatPr defaultRowHeight="14.5" x14ac:dyDescent="0.35"/>
  <sheetData>
    <row r="1" spans="1:10" x14ac:dyDescent="0.35">
      <c r="A1" t="s">
        <v>13</v>
      </c>
      <c r="B1" s="1" t="s">
        <v>0</v>
      </c>
      <c r="F1" t="s">
        <v>12</v>
      </c>
      <c r="G1" t="s">
        <v>6</v>
      </c>
      <c r="H1" t="s">
        <v>6</v>
      </c>
      <c r="I1" t="s">
        <v>7</v>
      </c>
      <c r="J1" t="s">
        <v>7</v>
      </c>
    </row>
    <row r="2" spans="1:10" x14ac:dyDescent="0.35">
      <c r="A2" t="s">
        <v>1</v>
      </c>
      <c r="B2" t="s">
        <v>2</v>
      </c>
      <c r="C2" t="s">
        <v>3</v>
      </c>
      <c r="D2" t="s">
        <v>4</v>
      </c>
      <c r="F2" t="s">
        <v>2</v>
      </c>
      <c r="G2" t="s">
        <v>5</v>
      </c>
      <c r="H2" t="s">
        <v>4</v>
      </c>
      <c r="I2" t="s">
        <v>5</v>
      </c>
      <c r="J2" t="s">
        <v>4</v>
      </c>
    </row>
    <row r="3" spans="1:10" x14ac:dyDescent="0.35">
      <c r="A3">
        <v>1</v>
      </c>
      <c r="B3" t="s">
        <v>14</v>
      </c>
      <c r="C3" s="2">
        <f>1/2.08</f>
        <v>0.48076923076923073</v>
      </c>
      <c r="D3" s="2">
        <f>+C3/$C$3</f>
        <v>1</v>
      </c>
      <c r="E3">
        <v>1</v>
      </c>
      <c r="F3" t="s">
        <v>8</v>
      </c>
      <c r="G3" s="2">
        <f>100/55.1</f>
        <v>1.8148820326678765</v>
      </c>
      <c r="H3" s="2">
        <f>+G3/$G$3</f>
        <v>1</v>
      </c>
      <c r="I3" s="2">
        <f>100/55.3</f>
        <v>1.8083182640144666</v>
      </c>
      <c r="J3" s="2">
        <f>+I3/$I$3</f>
        <v>1</v>
      </c>
    </row>
    <row r="4" spans="1:10" x14ac:dyDescent="0.35">
      <c r="A4">
        <v>2</v>
      </c>
      <c r="B4" t="s">
        <v>15</v>
      </c>
      <c r="C4" s="2">
        <f>1/1.74</f>
        <v>0.57471264367816088</v>
      </c>
      <c r="D4" s="2">
        <f t="shared" ref="D4:D6" si="0">+C4/$C$3</f>
        <v>1.1954022988505748</v>
      </c>
      <c r="E4">
        <v>1.1954022988505748</v>
      </c>
      <c r="F4" t="s">
        <v>9</v>
      </c>
      <c r="G4" s="2">
        <f>100/44.7</f>
        <v>2.2371364653243848</v>
      </c>
      <c r="H4" s="2">
        <f t="shared" ref="H4:H6" si="1">+G4/$G$3</f>
        <v>1.232662192393736</v>
      </c>
      <c r="I4" s="2">
        <f>100/55.5</f>
        <v>1.8018018018018018</v>
      </c>
      <c r="J4" s="2">
        <f t="shared" ref="J4:J6" si="2">+I4/$I$3</f>
        <v>0.99639639639639643</v>
      </c>
    </row>
    <row r="5" spans="1:10" x14ac:dyDescent="0.35">
      <c r="A5">
        <v>3</v>
      </c>
      <c r="B5" t="s">
        <v>16</v>
      </c>
      <c r="C5" s="2">
        <f>1/1.42</f>
        <v>0.70422535211267612</v>
      </c>
      <c r="D5" s="2">
        <f t="shared" si="0"/>
        <v>1.4647887323943665</v>
      </c>
      <c r="E5">
        <v>1.4647887323943665</v>
      </c>
      <c r="F5" t="s">
        <v>10</v>
      </c>
      <c r="G5" s="2">
        <f>100/42.5</f>
        <v>2.3529411764705883</v>
      </c>
      <c r="H5" s="2">
        <f t="shared" si="1"/>
        <v>1.2964705882352943</v>
      </c>
      <c r="I5" s="2">
        <f>100/42.9</f>
        <v>2.3310023310023311</v>
      </c>
      <c r="J5" s="2">
        <f t="shared" si="2"/>
        <v>1.289044289044289</v>
      </c>
    </row>
    <row r="6" spans="1:10" x14ac:dyDescent="0.35">
      <c r="A6">
        <v>4</v>
      </c>
      <c r="B6" t="s">
        <v>17</v>
      </c>
      <c r="C6" s="2">
        <f>1/1.26</f>
        <v>0.79365079365079361</v>
      </c>
      <c r="D6" s="2">
        <f t="shared" si="0"/>
        <v>1.6507936507936509</v>
      </c>
      <c r="E6">
        <v>1.6507936507936509</v>
      </c>
      <c r="F6" t="s">
        <v>11</v>
      </c>
      <c r="G6" s="2">
        <f>100/40.9</f>
        <v>2.4449877750611249</v>
      </c>
      <c r="H6" s="2">
        <f t="shared" si="1"/>
        <v>1.3471882640586799</v>
      </c>
      <c r="I6" s="2">
        <f>100/33.4</f>
        <v>2.9940119760479043</v>
      </c>
      <c r="J6" s="2">
        <f t="shared" si="2"/>
        <v>1.6556886227544909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2025-10-06T16:07:31Z</dcterms:created>
  <dcterms:modified xsi:type="dcterms:W3CDTF">2025-10-06T17:56:29Z</dcterms:modified>
</cp:coreProperties>
</file>
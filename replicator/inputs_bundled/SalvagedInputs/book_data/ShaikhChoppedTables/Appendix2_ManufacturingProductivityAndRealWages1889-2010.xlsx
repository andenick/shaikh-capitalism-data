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en\Desktop\Shaikh Chopped\"/>
    </mc:Choice>
  </mc:AlternateContent>
  <xr:revisionPtr revIDLastSave="0" documentId="13_ncr:1_{8572B635-5D38-4F52-A30F-1556C8E77FBC}" xr6:coauthVersionLast="47" xr6:coauthVersionMax="47" xr10:uidLastSave="{00000000-0000-0000-0000-000000000000}"/>
  <bookViews>
    <workbookView xWindow="20640" yWindow="0" windowWidth="20640" windowHeight="16680" xr2:uid="{BABF49C4-9E51-4200-B2BB-B2576F774A04}"/>
  </bookViews>
  <sheets>
    <sheet name="Sheet1" sheetId="1" r:id="rId1"/>
  </sheet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3" i="1" l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112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173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12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173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Anderson</author>
    <author>Anwar Shaikh</author>
  </authors>
  <commentList>
    <comment ref="A3" authorId="0" shapeId="0" xr:uid="{C84F1243-994C-46D5-8F62-C70F903EEB00}">
      <text>
        <r>
          <rPr>
            <b/>
            <sz val="9"/>
            <color indexed="81"/>
            <rFont val="Tahoma"/>
            <family val="2"/>
          </rPr>
          <t>Anwar Shaikh:</t>
        </r>
        <r>
          <rPr>
            <sz val="9"/>
            <color indexed="81"/>
            <rFont val="Tahoma"/>
            <family val="2"/>
          </rPr>
          <t xml:space="preserve">
KONDRATIEFF'S FAMOUS PRICE CHART BEGINS IN 1780, SO I HAVE USED THE SAME STARTING POINT (KONDRATIEFF, LONG WAVE CYCLE, 1984, CHART 1, p. 39)</t>
        </r>
      </text>
    </comment>
    <comment ref="C233" authorId="1" shapeId="0" xr:uid="{5BD10485-07AD-4D45-A8E5-CAD846D3A56A}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extended from 2009 using realgdp per capita 2010 to 2009</t>
        </r>
      </text>
    </comment>
  </commentList>
</comments>
</file>

<file path=xl/sharedStrings.xml><?xml version="1.0" encoding="utf-8"?>
<sst xmlns="http://schemas.openxmlformats.org/spreadsheetml/2006/main" count="12" uniqueCount="12">
  <si>
    <t>Year</t>
  </si>
  <si>
    <t>MfgPrdtvty1</t>
  </si>
  <si>
    <t>Manufacturing Productivity and Real Wages 1889-2010</t>
  </si>
  <si>
    <t>Long Term Eco Growth 1860-1970 US BEA Wash 1973 A173, p.211 (1958=100) NBER, Kendrick_Manufacturing Output per Man Hour</t>
  </si>
  <si>
    <t>Calculated</t>
  </si>
  <si>
    <t>MfgPrdtvty2</t>
  </si>
  <si>
    <t>MfgPrdtvty2_1958Reindex</t>
  </si>
  <si>
    <t>MfgPrdtvty_spliced</t>
  </si>
  <si>
    <t>Mfgprdvty_spliced_Reindexed1889</t>
  </si>
  <si>
    <t xml:space="preserve"> BLS International Data    http://www.bls.gov/fls/#productivity (2002 = 100) Table 1. Output per hour in manufacturing, 19 countries or areas, 1950-2009_Manufacturing Output per Man Hour</t>
  </si>
  <si>
    <t>Rescaled for Graph to 1889</t>
  </si>
  <si>
    <t>SplicedIn1950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</si>
</sst>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/>
    <xf numFmtId="2" fontId="5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419AB-A817-49DA-98D7-9A1A9EC0AD0E}">
  <dimension ref="A1:F233"/>
  <sheetViews>
    <sheetView tabSelected="1" workbookViewId="0">
      <selection activeCell="K11" sqref="K11"/>
    </sheetView>
  </sheetViews>
  <sheetFormatPr defaultRowHeight="14.4" x14ac:dyDescent="0.3"/>
  <sheetData>
    <row r="1" spans="1:6" x14ac:dyDescent="0.3">
      <c r="A1" t="s">
        <v>2</v>
      </c>
      <c r="B1" t="s">
        <v>3</v>
      </c>
      <c r="C1" t="s">
        <v>9</v>
      </c>
      <c r="D1" t="s">
        <v>4</v>
      </c>
      <c r="E1" t="s">
        <v>11</v>
      </c>
      <c r="F1" t="s">
        <v>10</v>
      </c>
    </row>
    <row r="2" spans="1:6" x14ac:dyDescent="0.3">
      <c r="A2" t="s">
        <v>0</v>
      </c>
      <c r="B2" t="s">
        <v>1</v>
      </c>
      <c r="C2" t="s">
        <v>5</v>
      </c>
      <c r="D2" t="s">
        <v>6</v>
      </c>
      <c r="E2" t="s">
        <v>7</v>
      </c>
      <c r="F2" t="s">
        <v>8</v>
      </c>
    </row>
    <row r="3" spans="1:6" x14ac:dyDescent="0.3">
      <c r="A3" s="4">
        <v>1780</v>
      </c>
      <c r="B3" s="1"/>
      <c r="C3" s="1"/>
      <c r="D3" s="1"/>
      <c r="E3" s="2"/>
      <c r="F3" s="2"/>
    </row>
    <row r="4" spans="1:6" x14ac:dyDescent="0.3">
      <c r="A4" s="4">
        <f>+A3+1</f>
        <v>1781</v>
      </c>
      <c r="B4" s="1"/>
      <c r="C4" s="1"/>
      <c r="D4" s="1"/>
      <c r="E4" s="2"/>
      <c r="F4" s="2"/>
    </row>
    <row r="5" spans="1:6" x14ac:dyDescent="0.3">
      <c r="A5" s="4">
        <f t="shared" ref="A5:A68" si="0">+A4+1</f>
        <v>1782</v>
      </c>
      <c r="B5" s="1"/>
      <c r="C5" s="1"/>
      <c r="D5" s="1"/>
      <c r="E5" s="2"/>
      <c r="F5" s="2"/>
    </row>
    <row r="6" spans="1:6" x14ac:dyDescent="0.3">
      <c r="A6" s="4">
        <f t="shared" si="0"/>
        <v>1783</v>
      </c>
      <c r="B6" s="1"/>
      <c r="C6" s="1"/>
      <c r="D6" s="1"/>
      <c r="E6" s="2"/>
      <c r="F6" s="2"/>
    </row>
    <row r="7" spans="1:6" x14ac:dyDescent="0.3">
      <c r="A7" s="4">
        <f t="shared" si="0"/>
        <v>1784</v>
      </c>
      <c r="B7" s="1"/>
      <c r="C7" s="1"/>
      <c r="D7" s="1"/>
      <c r="E7" s="2"/>
      <c r="F7" s="2"/>
    </row>
    <row r="8" spans="1:6" x14ac:dyDescent="0.3">
      <c r="A8" s="4">
        <f t="shared" si="0"/>
        <v>1785</v>
      </c>
      <c r="B8" s="1"/>
      <c r="C8" s="1"/>
      <c r="D8" s="1"/>
      <c r="E8" s="2"/>
      <c r="F8" s="2"/>
    </row>
    <row r="9" spans="1:6" x14ac:dyDescent="0.3">
      <c r="A9" s="4">
        <f t="shared" si="0"/>
        <v>1786</v>
      </c>
      <c r="B9" s="1"/>
      <c r="C9" s="1"/>
      <c r="D9" s="1"/>
      <c r="E9" s="2"/>
      <c r="F9" s="2"/>
    </row>
    <row r="10" spans="1:6" x14ac:dyDescent="0.3">
      <c r="A10" s="4">
        <f t="shared" si="0"/>
        <v>1787</v>
      </c>
      <c r="B10" s="1"/>
      <c r="C10" s="1"/>
      <c r="D10" s="1"/>
      <c r="E10" s="2"/>
      <c r="F10" s="2"/>
    </row>
    <row r="11" spans="1:6" x14ac:dyDescent="0.3">
      <c r="A11" s="4">
        <f t="shared" si="0"/>
        <v>1788</v>
      </c>
      <c r="B11" s="1"/>
      <c r="C11" s="1"/>
      <c r="D11" s="1"/>
      <c r="E11" s="2"/>
      <c r="F11" s="2"/>
    </row>
    <row r="12" spans="1:6" x14ac:dyDescent="0.3">
      <c r="A12" s="4">
        <f t="shared" si="0"/>
        <v>1789</v>
      </c>
      <c r="B12" s="1"/>
      <c r="C12" s="1"/>
      <c r="D12" s="1"/>
      <c r="E12" s="2"/>
      <c r="F12" s="2"/>
    </row>
    <row r="13" spans="1:6" x14ac:dyDescent="0.3">
      <c r="A13" s="4">
        <f t="shared" si="0"/>
        <v>1790</v>
      </c>
      <c r="B13" s="5"/>
      <c r="C13" s="5"/>
      <c r="D13" s="5"/>
      <c r="E13" s="5"/>
      <c r="F13" s="3"/>
    </row>
    <row r="14" spans="1:6" x14ac:dyDescent="0.3">
      <c r="A14" s="4">
        <f t="shared" si="0"/>
        <v>1791</v>
      </c>
      <c r="B14" s="5"/>
      <c r="C14" s="5"/>
      <c r="D14" s="5"/>
      <c r="E14" s="5"/>
      <c r="F14" s="3"/>
    </row>
    <row r="15" spans="1:6" x14ac:dyDescent="0.3">
      <c r="A15" s="4">
        <f t="shared" si="0"/>
        <v>1792</v>
      </c>
      <c r="B15" s="5"/>
      <c r="C15" s="5"/>
      <c r="D15" s="5"/>
      <c r="E15" s="5"/>
      <c r="F15" s="3"/>
    </row>
    <row r="16" spans="1:6" x14ac:dyDescent="0.3">
      <c r="A16" s="4">
        <f t="shared" si="0"/>
        <v>1793</v>
      </c>
      <c r="B16" s="5"/>
      <c r="C16" s="5"/>
      <c r="D16" s="5"/>
      <c r="E16" s="5"/>
      <c r="F16" s="3"/>
    </row>
    <row r="17" spans="1:6" x14ac:dyDescent="0.3">
      <c r="A17" s="4">
        <f t="shared" si="0"/>
        <v>1794</v>
      </c>
      <c r="B17" s="5"/>
      <c r="C17" s="5"/>
      <c r="D17" s="5"/>
      <c r="E17" s="5"/>
      <c r="F17" s="3"/>
    </row>
    <row r="18" spans="1:6" x14ac:dyDescent="0.3">
      <c r="A18" s="4">
        <f t="shared" si="0"/>
        <v>1795</v>
      </c>
      <c r="B18" s="5"/>
      <c r="C18" s="5"/>
      <c r="D18" s="5"/>
      <c r="E18" s="5"/>
      <c r="F18" s="3"/>
    </row>
    <row r="19" spans="1:6" x14ac:dyDescent="0.3">
      <c r="A19" s="4">
        <f t="shared" si="0"/>
        <v>1796</v>
      </c>
      <c r="B19" s="5"/>
      <c r="C19" s="5"/>
      <c r="D19" s="5"/>
      <c r="E19" s="5"/>
      <c r="F19" s="3"/>
    </row>
    <row r="20" spans="1:6" x14ac:dyDescent="0.3">
      <c r="A20" s="4">
        <f t="shared" si="0"/>
        <v>1797</v>
      </c>
      <c r="B20" s="5"/>
      <c r="C20" s="5"/>
      <c r="D20" s="5"/>
      <c r="E20" s="5"/>
      <c r="F20" s="3"/>
    </row>
    <row r="21" spans="1:6" x14ac:dyDescent="0.3">
      <c r="A21" s="4">
        <f t="shared" si="0"/>
        <v>1798</v>
      </c>
      <c r="B21" s="5"/>
      <c r="C21" s="5"/>
      <c r="D21" s="5"/>
      <c r="E21" s="5"/>
      <c r="F21" s="3"/>
    </row>
    <row r="22" spans="1:6" x14ac:dyDescent="0.3">
      <c r="A22" s="4">
        <f t="shared" si="0"/>
        <v>1799</v>
      </c>
      <c r="B22" s="5"/>
      <c r="C22" s="5"/>
      <c r="D22" s="5"/>
      <c r="E22" s="5"/>
      <c r="F22" s="3"/>
    </row>
    <row r="23" spans="1:6" x14ac:dyDescent="0.3">
      <c r="A23" s="4">
        <f t="shared" si="0"/>
        <v>1800</v>
      </c>
      <c r="B23" s="5"/>
      <c r="C23" s="5"/>
      <c r="D23" s="5"/>
      <c r="E23" s="5"/>
      <c r="F23" s="3"/>
    </row>
    <row r="24" spans="1:6" x14ac:dyDescent="0.3">
      <c r="A24" s="4">
        <f t="shared" si="0"/>
        <v>1801</v>
      </c>
      <c r="B24" s="5"/>
      <c r="C24" s="5"/>
      <c r="D24" s="5"/>
      <c r="E24" s="5"/>
      <c r="F24" s="3"/>
    </row>
    <row r="25" spans="1:6" x14ac:dyDescent="0.3">
      <c r="A25" s="4">
        <f t="shared" si="0"/>
        <v>1802</v>
      </c>
      <c r="B25" s="5"/>
      <c r="C25" s="5"/>
      <c r="D25" s="5"/>
      <c r="E25" s="5"/>
      <c r="F25" s="3"/>
    </row>
    <row r="26" spans="1:6" x14ac:dyDescent="0.3">
      <c r="A26" s="4">
        <f t="shared" si="0"/>
        <v>1803</v>
      </c>
      <c r="B26" s="5"/>
      <c r="C26" s="5"/>
      <c r="D26" s="5"/>
      <c r="E26" s="5"/>
      <c r="F26" s="3"/>
    </row>
    <row r="27" spans="1:6" x14ac:dyDescent="0.3">
      <c r="A27" s="4">
        <f t="shared" si="0"/>
        <v>1804</v>
      </c>
      <c r="B27" s="5"/>
      <c r="C27" s="5"/>
      <c r="D27" s="5"/>
      <c r="E27" s="5"/>
      <c r="F27" s="3"/>
    </row>
    <row r="28" spans="1:6" x14ac:dyDescent="0.3">
      <c r="A28" s="4">
        <f t="shared" si="0"/>
        <v>1805</v>
      </c>
      <c r="B28" s="5"/>
      <c r="C28" s="5"/>
      <c r="D28" s="5"/>
      <c r="E28" s="5"/>
      <c r="F28" s="3"/>
    </row>
    <row r="29" spans="1:6" x14ac:dyDescent="0.3">
      <c r="A29" s="4">
        <f t="shared" si="0"/>
        <v>1806</v>
      </c>
      <c r="B29" s="5"/>
      <c r="C29" s="5"/>
      <c r="D29" s="5"/>
      <c r="E29" s="5"/>
      <c r="F29" s="3"/>
    </row>
    <row r="30" spans="1:6" x14ac:dyDescent="0.3">
      <c r="A30" s="4">
        <f t="shared" si="0"/>
        <v>1807</v>
      </c>
      <c r="B30" s="5"/>
      <c r="C30" s="5"/>
      <c r="D30" s="5"/>
      <c r="E30" s="5"/>
      <c r="F30" s="3"/>
    </row>
    <row r="31" spans="1:6" x14ac:dyDescent="0.3">
      <c r="A31" s="4">
        <f t="shared" si="0"/>
        <v>1808</v>
      </c>
      <c r="B31" s="5"/>
      <c r="C31" s="5"/>
      <c r="D31" s="5"/>
      <c r="E31" s="5"/>
      <c r="F31" s="3"/>
    </row>
    <row r="32" spans="1:6" x14ac:dyDescent="0.3">
      <c r="A32" s="4">
        <f t="shared" si="0"/>
        <v>1809</v>
      </c>
      <c r="B32" s="5"/>
      <c r="C32" s="5"/>
      <c r="D32" s="5"/>
      <c r="E32" s="5"/>
      <c r="F32" s="3"/>
    </row>
    <row r="33" spans="1:6" x14ac:dyDescent="0.3">
      <c r="A33" s="4">
        <f t="shared" si="0"/>
        <v>1810</v>
      </c>
      <c r="B33" s="5"/>
      <c r="C33" s="5"/>
      <c r="D33" s="5"/>
      <c r="E33" s="5"/>
      <c r="F33" s="3"/>
    </row>
    <row r="34" spans="1:6" x14ac:dyDescent="0.3">
      <c r="A34" s="4">
        <f t="shared" si="0"/>
        <v>1811</v>
      </c>
      <c r="B34" s="5"/>
      <c r="C34" s="5"/>
      <c r="D34" s="5"/>
      <c r="E34" s="5"/>
      <c r="F34" s="3"/>
    </row>
    <row r="35" spans="1:6" x14ac:dyDescent="0.3">
      <c r="A35" s="4">
        <f t="shared" si="0"/>
        <v>1812</v>
      </c>
      <c r="B35" s="5"/>
      <c r="C35" s="5"/>
      <c r="D35" s="5"/>
      <c r="E35" s="5"/>
      <c r="F35" s="3"/>
    </row>
    <row r="36" spans="1:6" x14ac:dyDescent="0.3">
      <c r="A36" s="4">
        <f t="shared" si="0"/>
        <v>1813</v>
      </c>
      <c r="B36" s="5"/>
      <c r="C36" s="5"/>
      <c r="D36" s="5"/>
      <c r="E36" s="5"/>
      <c r="F36" s="3"/>
    </row>
    <row r="37" spans="1:6" x14ac:dyDescent="0.3">
      <c r="A37" s="4">
        <f t="shared" si="0"/>
        <v>1814</v>
      </c>
      <c r="B37" s="5"/>
      <c r="C37" s="5"/>
      <c r="D37" s="5"/>
      <c r="E37" s="5"/>
      <c r="F37" s="3"/>
    </row>
    <row r="38" spans="1:6" x14ac:dyDescent="0.3">
      <c r="A38" s="4">
        <f t="shared" si="0"/>
        <v>1815</v>
      </c>
      <c r="B38" s="5"/>
      <c r="C38" s="5"/>
      <c r="D38" s="5"/>
      <c r="E38" s="5"/>
      <c r="F38" s="3"/>
    </row>
    <row r="39" spans="1:6" x14ac:dyDescent="0.3">
      <c r="A39" s="4">
        <f t="shared" si="0"/>
        <v>1816</v>
      </c>
      <c r="B39" s="5"/>
      <c r="C39" s="5"/>
      <c r="D39" s="5"/>
      <c r="E39" s="5"/>
      <c r="F39" s="3"/>
    </row>
    <row r="40" spans="1:6" x14ac:dyDescent="0.3">
      <c r="A40" s="4">
        <f t="shared" si="0"/>
        <v>1817</v>
      </c>
      <c r="B40" s="5"/>
      <c r="C40" s="5"/>
      <c r="D40" s="5"/>
      <c r="E40" s="5"/>
      <c r="F40" s="3"/>
    </row>
    <row r="41" spans="1:6" x14ac:dyDescent="0.3">
      <c r="A41" s="4">
        <f t="shared" si="0"/>
        <v>1818</v>
      </c>
      <c r="B41" s="5"/>
      <c r="C41" s="5"/>
      <c r="D41" s="5"/>
      <c r="E41" s="5"/>
      <c r="F41" s="3"/>
    </row>
    <row r="42" spans="1:6" x14ac:dyDescent="0.3">
      <c r="A42" s="4">
        <f t="shared" si="0"/>
        <v>1819</v>
      </c>
      <c r="B42" s="5"/>
      <c r="C42" s="5"/>
      <c r="D42" s="5"/>
      <c r="E42" s="5"/>
      <c r="F42" s="3"/>
    </row>
    <row r="43" spans="1:6" x14ac:dyDescent="0.3">
      <c r="A43" s="4">
        <f t="shared" si="0"/>
        <v>1820</v>
      </c>
      <c r="B43" s="5"/>
      <c r="C43" s="5"/>
      <c r="D43" s="5"/>
      <c r="E43" s="5"/>
      <c r="F43" s="3"/>
    </row>
    <row r="44" spans="1:6" x14ac:dyDescent="0.3">
      <c r="A44" s="4">
        <f t="shared" si="0"/>
        <v>1821</v>
      </c>
      <c r="B44" s="5"/>
      <c r="C44" s="5"/>
      <c r="D44" s="5"/>
      <c r="E44" s="5"/>
      <c r="F44" s="3"/>
    </row>
    <row r="45" spans="1:6" x14ac:dyDescent="0.3">
      <c r="A45" s="4">
        <f t="shared" si="0"/>
        <v>1822</v>
      </c>
      <c r="B45" s="5"/>
      <c r="C45" s="5"/>
      <c r="D45" s="5"/>
      <c r="E45" s="5"/>
      <c r="F45" s="3"/>
    </row>
    <row r="46" spans="1:6" x14ac:dyDescent="0.3">
      <c r="A46" s="4">
        <f t="shared" si="0"/>
        <v>1823</v>
      </c>
      <c r="B46" s="5"/>
      <c r="C46" s="5"/>
      <c r="D46" s="5"/>
      <c r="E46" s="5"/>
      <c r="F46" s="3"/>
    </row>
    <row r="47" spans="1:6" x14ac:dyDescent="0.3">
      <c r="A47" s="4">
        <f t="shared" si="0"/>
        <v>1824</v>
      </c>
      <c r="B47" s="5"/>
      <c r="C47" s="5"/>
      <c r="D47" s="5"/>
      <c r="E47" s="5"/>
      <c r="F47" s="3"/>
    </row>
    <row r="48" spans="1:6" x14ac:dyDescent="0.3">
      <c r="A48" s="4">
        <f t="shared" si="0"/>
        <v>1825</v>
      </c>
      <c r="B48" s="5"/>
      <c r="C48" s="5"/>
      <c r="D48" s="5"/>
      <c r="E48" s="5"/>
      <c r="F48" s="3"/>
    </row>
    <row r="49" spans="1:6" x14ac:dyDescent="0.3">
      <c r="A49" s="4">
        <f t="shared" si="0"/>
        <v>1826</v>
      </c>
      <c r="B49" s="5"/>
      <c r="C49" s="5"/>
      <c r="D49" s="5"/>
      <c r="E49" s="5"/>
      <c r="F49" s="3"/>
    </row>
    <row r="50" spans="1:6" x14ac:dyDescent="0.3">
      <c r="A50" s="4">
        <f t="shared" si="0"/>
        <v>1827</v>
      </c>
      <c r="B50" s="5"/>
      <c r="C50" s="5"/>
      <c r="D50" s="5"/>
      <c r="E50" s="5"/>
      <c r="F50" s="3"/>
    </row>
    <row r="51" spans="1:6" x14ac:dyDescent="0.3">
      <c r="A51" s="4">
        <f t="shared" si="0"/>
        <v>1828</v>
      </c>
      <c r="B51" s="5"/>
      <c r="C51" s="5"/>
      <c r="D51" s="5"/>
      <c r="E51" s="5"/>
      <c r="F51" s="3"/>
    </row>
    <row r="52" spans="1:6" x14ac:dyDescent="0.3">
      <c r="A52" s="4">
        <f t="shared" si="0"/>
        <v>1829</v>
      </c>
      <c r="B52" s="5"/>
      <c r="C52" s="5"/>
      <c r="D52" s="5"/>
      <c r="E52" s="5"/>
      <c r="F52" s="3"/>
    </row>
    <row r="53" spans="1:6" x14ac:dyDescent="0.3">
      <c r="A53" s="4">
        <f t="shared" si="0"/>
        <v>1830</v>
      </c>
      <c r="B53" s="5"/>
      <c r="C53" s="5"/>
      <c r="D53" s="5"/>
      <c r="E53" s="5"/>
      <c r="F53" s="3"/>
    </row>
    <row r="54" spans="1:6" x14ac:dyDescent="0.3">
      <c r="A54" s="4">
        <f t="shared" si="0"/>
        <v>1831</v>
      </c>
      <c r="B54" s="5"/>
      <c r="C54" s="5"/>
      <c r="D54" s="5"/>
      <c r="E54" s="5"/>
      <c r="F54" s="3"/>
    </row>
    <row r="55" spans="1:6" x14ac:dyDescent="0.3">
      <c r="A55" s="4">
        <f t="shared" si="0"/>
        <v>1832</v>
      </c>
      <c r="B55" s="5"/>
      <c r="C55" s="5"/>
      <c r="D55" s="5"/>
      <c r="E55" s="5"/>
      <c r="F55" s="3"/>
    </row>
    <row r="56" spans="1:6" x14ac:dyDescent="0.3">
      <c r="A56" s="4">
        <f t="shared" si="0"/>
        <v>1833</v>
      </c>
      <c r="B56" s="5"/>
      <c r="C56" s="5"/>
      <c r="D56" s="5"/>
      <c r="E56" s="5"/>
      <c r="F56" s="3"/>
    </row>
    <row r="57" spans="1:6" x14ac:dyDescent="0.3">
      <c r="A57" s="4">
        <f t="shared" si="0"/>
        <v>1834</v>
      </c>
      <c r="B57" s="5"/>
      <c r="C57" s="5"/>
      <c r="D57" s="5"/>
      <c r="E57" s="5"/>
      <c r="F57" s="3"/>
    </row>
    <row r="58" spans="1:6" x14ac:dyDescent="0.3">
      <c r="A58" s="4">
        <f t="shared" si="0"/>
        <v>1835</v>
      </c>
      <c r="B58" s="5"/>
      <c r="C58" s="5"/>
      <c r="D58" s="5"/>
      <c r="E58" s="5"/>
      <c r="F58" s="3"/>
    </row>
    <row r="59" spans="1:6" x14ac:dyDescent="0.3">
      <c r="A59" s="4">
        <f t="shared" si="0"/>
        <v>1836</v>
      </c>
      <c r="B59" s="5"/>
      <c r="C59" s="5"/>
      <c r="D59" s="5"/>
      <c r="E59" s="5"/>
      <c r="F59" s="3"/>
    </row>
    <row r="60" spans="1:6" x14ac:dyDescent="0.3">
      <c r="A60" s="4">
        <f t="shared" si="0"/>
        <v>1837</v>
      </c>
      <c r="B60" s="5"/>
      <c r="C60" s="5"/>
      <c r="D60" s="5"/>
      <c r="E60" s="5"/>
      <c r="F60" s="3"/>
    </row>
    <row r="61" spans="1:6" x14ac:dyDescent="0.3">
      <c r="A61" s="4">
        <f t="shared" si="0"/>
        <v>1838</v>
      </c>
      <c r="B61" s="5"/>
      <c r="C61" s="5"/>
      <c r="D61" s="5"/>
      <c r="E61" s="5"/>
      <c r="F61" s="3"/>
    </row>
    <row r="62" spans="1:6" x14ac:dyDescent="0.3">
      <c r="A62" s="4">
        <f t="shared" si="0"/>
        <v>1839</v>
      </c>
      <c r="B62" s="5"/>
      <c r="C62" s="5"/>
      <c r="D62" s="5"/>
      <c r="E62" s="5"/>
      <c r="F62" s="3"/>
    </row>
    <row r="63" spans="1:6" x14ac:dyDescent="0.3">
      <c r="A63" s="4">
        <f t="shared" si="0"/>
        <v>1840</v>
      </c>
      <c r="B63" s="5"/>
      <c r="C63" s="5"/>
      <c r="D63" s="5"/>
      <c r="E63" s="5"/>
      <c r="F63" s="3"/>
    </row>
    <row r="64" spans="1:6" x14ac:dyDescent="0.3">
      <c r="A64" s="4">
        <f t="shared" si="0"/>
        <v>1841</v>
      </c>
      <c r="B64" s="5"/>
      <c r="C64" s="5"/>
      <c r="D64" s="5"/>
      <c r="E64" s="5"/>
      <c r="F64" s="3"/>
    </row>
    <row r="65" spans="1:6" x14ac:dyDescent="0.3">
      <c r="A65" s="4">
        <f t="shared" si="0"/>
        <v>1842</v>
      </c>
      <c r="B65" s="5"/>
      <c r="C65" s="5"/>
      <c r="D65" s="5"/>
      <c r="E65" s="5"/>
      <c r="F65" s="3"/>
    </row>
    <row r="66" spans="1:6" x14ac:dyDescent="0.3">
      <c r="A66" s="4">
        <f t="shared" si="0"/>
        <v>1843</v>
      </c>
      <c r="B66" s="5"/>
      <c r="C66" s="5"/>
      <c r="D66" s="5"/>
      <c r="E66" s="5"/>
      <c r="F66" s="3"/>
    </row>
    <row r="67" spans="1:6" x14ac:dyDescent="0.3">
      <c r="A67" s="4">
        <f t="shared" si="0"/>
        <v>1844</v>
      </c>
      <c r="B67" s="5"/>
      <c r="C67" s="5"/>
      <c r="D67" s="5"/>
      <c r="E67" s="5"/>
      <c r="F67" s="3"/>
    </row>
    <row r="68" spans="1:6" x14ac:dyDescent="0.3">
      <c r="A68" s="4">
        <f t="shared" si="0"/>
        <v>1845</v>
      </c>
      <c r="B68" s="5"/>
      <c r="C68" s="5"/>
      <c r="D68" s="5"/>
      <c r="E68" s="5"/>
      <c r="F68" s="3"/>
    </row>
    <row r="69" spans="1:6" x14ac:dyDescent="0.3">
      <c r="A69" s="4">
        <f t="shared" ref="A69:A132" si="1">+A68+1</f>
        <v>1846</v>
      </c>
      <c r="B69" s="5"/>
      <c r="C69" s="5"/>
      <c r="D69" s="5"/>
      <c r="E69" s="5"/>
      <c r="F69" s="3"/>
    </row>
    <row r="70" spans="1:6" x14ac:dyDescent="0.3">
      <c r="A70" s="4">
        <f t="shared" si="1"/>
        <v>1847</v>
      </c>
      <c r="B70" s="5"/>
      <c r="C70" s="5"/>
      <c r="D70" s="5"/>
      <c r="E70" s="5"/>
      <c r="F70" s="3"/>
    </row>
    <row r="71" spans="1:6" x14ac:dyDescent="0.3">
      <c r="A71" s="4">
        <f t="shared" si="1"/>
        <v>1848</v>
      </c>
      <c r="B71" s="5"/>
      <c r="C71" s="5"/>
      <c r="D71" s="5"/>
      <c r="E71" s="5"/>
      <c r="F71" s="3"/>
    </row>
    <row r="72" spans="1:6" x14ac:dyDescent="0.3">
      <c r="A72" s="4">
        <f t="shared" si="1"/>
        <v>1849</v>
      </c>
      <c r="B72" s="5"/>
      <c r="C72" s="5"/>
      <c r="D72" s="5"/>
      <c r="E72" s="5"/>
      <c r="F72" s="3"/>
    </row>
    <row r="73" spans="1:6" x14ac:dyDescent="0.3">
      <c r="A73" s="4">
        <f t="shared" si="1"/>
        <v>1850</v>
      </c>
      <c r="B73" s="5"/>
      <c r="C73" s="5"/>
      <c r="D73" s="5"/>
      <c r="E73" s="5"/>
      <c r="F73" s="3"/>
    </row>
    <row r="74" spans="1:6" x14ac:dyDescent="0.3">
      <c r="A74" s="4">
        <f t="shared" si="1"/>
        <v>1851</v>
      </c>
      <c r="B74" s="5"/>
      <c r="C74" s="5"/>
      <c r="D74" s="5"/>
      <c r="E74" s="5"/>
      <c r="F74" s="3"/>
    </row>
    <row r="75" spans="1:6" x14ac:dyDescent="0.3">
      <c r="A75" s="4">
        <f t="shared" si="1"/>
        <v>1852</v>
      </c>
      <c r="B75" s="5"/>
      <c r="C75" s="5"/>
      <c r="D75" s="5"/>
      <c r="E75" s="5"/>
      <c r="F75" s="3"/>
    </row>
    <row r="76" spans="1:6" x14ac:dyDescent="0.3">
      <c r="A76" s="4">
        <f t="shared" si="1"/>
        <v>1853</v>
      </c>
      <c r="B76" s="5"/>
      <c r="C76" s="5"/>
      <c r="D76" s="5"/>
      <c r="E76" s="5"/>
      <c r="F76" s="3"/>
    </row>
    <row r="77" spans="1:6" x14ac:dyDescent="0.3">
      <c r="A77" s="4">
        <f t="shared" si="1"/>
        <v>1854</v>
      </c>
      <c r="B77" s="5"/>
      <c r="C77" s="5"/>
      <c r="D77" s="5"/>
      <c r="E77" s="5"/>
      <c r="F77" s="3"/>
    </row>
    <row r="78" spans="1:6" x14ac:dyDescent="0.3">
      <c r="A78" s="4">
        <f t="shared" si="1"/>
        <v>1855</v>
      </c>
      <c r="B78" s="5"/>
      <c r="C78" s="5"/>
      <c r="D78" s="5"/>
      <c r="E78" s="5"/>
      <c r="F78" s="3"/>
    </row>
    <row r="79" spans="1:6" x14ac:dyDescent="0.3">
      <c r="A79" s="4">
        <f t="shared" si="1"/>
        <v>1856</v>
      </c>
      <c r="B79" s="5"/>
      <c r="C79" s="5"/>
      <c r="D79" s="5"/>
      <c r="E79" s="5"/>
      <c r="F79" s="3"/>
    </row>
    <row r="80" spans="1:6" x14ac:dyDescent="0.3">
      <c r="A80" s="4">
        <f t="shared" si="1"/>
        <v>1857</v>
      </c>
      <c r="B80" s="5"/>
      <c r="C80" s="5"/>
      <c r="D80" s="5"/>
      <c r="E80" s="5"/>
      <c r="F80" s="3"/>
    </row>
    <row r="81" spans="1:6" x14ac:dyDescent="0.3">
      <c r="A81" s="4">
        <f t="shared" si="1"/>
        <v>1858</v>
      </c>
      <c r="B81" s="5"/>
      <c r="C81" s="5"/>
      <c r="D81" s="5"/>
      <c r="E81" s="5"/>
      <c r="F81" s="3"/>
    </row>
    <row r="82" spans="1:6" x14ac:dyDescent="0.3">
      <c r="A82" s="4">
        <f t="shared" si="1"/>
        <v>1859</v>
      </c>
      <c r="B82" s="5"/>
      <c r="C82" s="5"/>
      <c r="D82" s="5"/>
      <c r="E82" s="5"/>
      <c r="F82" s="3"/>
    </row>
    <row r="83" spans="1:6" x14ac:dyDescent="0.3">
      <c r="A83" s="4">
        <f t="shared" si="1"/>
        <v>1860</v>
      </c>
      <c r="B83" s="6"/>
      <c r="C83" s="6"/>
      <c r="D83" s="6"/>
      <c r="E83" s="6"/>
      <c r="F83" s="6"/>
    </row>
    <row r="84" spans="1:6" x14ac:dyDescent="0.3">
      <c r="A84" s="4">
        <f t="shared" si="1"/>
        <v>1861</v>
      </c>
      <c r="B84" s="6"/>
      <c r="C84" s="6"/>
      <c r="D84" s="6"/>
      <c r="E84" s="6"/>
      <c r="F84" s="6"/>
    </row>
    <row r="85" spans="1:6" x14ac:dyDescent="0.3">
      <c r="A85" s="4">
        <f t="shared" si="1"/>
        <v>1862</v>
      </c>
      <c r="B85" s="6"/>
      <c r="C85" s="6"/>
      <c r="D85" s="6"/>
      <c r="E85" s="6"/>
      <c r="F85" s="6"/>
    </row>
    <row r="86" spans="1:6" x14ac:dyDescent="0.3">
      <c r="A86" s="4">
        <f t="shared" si="1"/>
        <v>1863</v>
      </c>
      <c r="B86" s="6"/>
      <c r="C86" s="6"/>
      <c r="D86" s="6"/>
      <c r="E86" s="6"/>
      <c r="F86" s="6"/>
    </row>
    <row r="87" spans="1:6" x14ac:dyDescent="0.3">
      <c r="A87" s="4">
        <f t="shared" si="1"/>
        <v>1864</v>
      </c>
      <c r="B87" s="6"/>
      <c r="C87" s="6"/>
      <c r="D87" s="6"/>
      <c r="E87" s="6"/>
      <c r="F87" s="6"/>
    </row>
    <row r="88" spans="1:6" x14ac:dyDescent="0.3">
      <c r="A88" s="4">
        <f t="shared" si="1"/>
        <v>1865</v>
      </c>
      <c r="B88" s="6"/>
      <c r="C88" s="6"/>
      <c r="D88" s="6"/>
      <c r="E88" s="6"/>
      <c r="F88" s="6"/>
    </row>
    <row r="89" spans="1:6" x14ac:dyDescent="0.3">
      <c r="A89" s="4">
        <f t="shared" si="1"/>
        <v>1866</v>
      </c>
      <c r="B89" s="6"/>
      <c r="C89" s="6"/>
      <c r="D89" s="6"/>
      <c r="E89" s="6"/>
      <c r="F89" s="6"/>
    </row>
    <row r="90" spans="1:6" x14ac:dyDescent="0.3">
      <c r="A90" s="4">
        <f t="shared" si="1"/>
        <v>1867</v>
      </c>
      <c r="B90" s="6"/>
      <c r="C90" s="6"/>
      <c r="D90" s="6"/>
      <c r="E90" s="6"/>
      <c r="F90" s="6"/>
    </row>
    <row r="91" spans="1:6" x14ac:dyDescent="0.3">
      <c r="A91" s="4">
        <f t="shared" si="1"/>
        <v>1868</v>
      </c>
      <c r="B91" s="6"/>
      <c r="C91" s="6"/>
      <c r="D91" s="6"/>
      <c r="E91" s="6"/>
      <c r="F91" s="6"/>
    </row>
    <row r="92" spans="1:6" x14ac:dyDescent="0.3">
      <c r="A92" s="4">
        <f t="shared" si="1"/>
        <v>1869</v>
      </c>
      <c r="B92" s="6"/>
      <c r="C92" s="6"/>
      <c r="D92" s="6"/>
      <c r="E92" s="6"/>
      <c r="F92" s="6"/>
    </row>
    <row r="93" spans="1:6" x14ac:dyDescent="0.3">
      <c r="A93" s="4">
        <f t="shared" si="1"/>
        <v>1870</v>
      </c>
      <c r="B93" s="6"/>
      <c r="C93" s="6"/>
      <c r="D93" s="6"/>
      <c r="E93" s="6"/>
      <c r="F93" s="6"/>
    </row>
    <row r="94" spans="1:6" x14ac:dyDescent="0.3">
      <c r="A94" s="4">
        <f t="shared" si="1"/>
        <v>1871</v>
      </c>
      <c r="B94" s="6"/>
      <c r="C94" s="6"/>
      <c r="D94" s="6"/>
      <c r="E94" s="6"/>
      <c r="F94" s="6"/>
    </row>
    <row r="95" spans="1:6" x14ac:dyDescent="0.3">
      <c r="A95" s="4">
        <f t="shared" si="1"/>
        <v>1872</v>
      </c>
      <c r="B95" s="6"/>
      <c r="C95" s="6"/>
      <c r="D95" s="6"/>
      <c r="E95" s="6"/>
      <c r="F95" s="6"/>
    </row>
    <row r="96" spans="1:6" x14ac:dyDescent="0.3">
      <c r="A96" s="4">
        <f t="shared" si="1"/>
        <v>1873</v>
      </c>
      <c r="B96" s="6"/>
      <c r="C96" s="6"/>
      <c r="D96" s="6"/>
      <c r="E96" s="6"/>
      <c r="F96" s="6"/>
    </row>
    <row r="97" spans="1:6" x14ac:dyDescent="0.3">
      <c r="A97" s="4">
        <f t="shared" si="1"/>
        <v>1874</v>
      </c>
      <c r="B97" s="6">
        <v>15.8</v>
      </c>
      <c r="C97" s="6"/>
      <c r="D97" s="6"/>
      <c r="E97" s="6"/>
      <c r="F97" s="6"/>
    </row>
    <row r="98" spans="1:6" x14ac:dyDescent="0.3">
      <c r="A98" s="4">
        <f t="shared" si="1"/>
        <v>1875</v>
      </c>
      <c r="B98" s="6"/>
      <c r="C98" s="6"/>
      <c r="D98" s="6"/>
      <c r="E98" s="6"/>
      <c r="F98" s="6"/>
    </row>
    <row r="99" spans="1:6" x14ac:dyDescent="0.3">
      <c r="A99" s="4">
        <f t="shared" si="1"/>
        <v>1876</v>
      </c>
      <c r="B99" s="6"/>
      <c r="C99" s="6"/>
      <c r="D99" s="6"/>
      <c r="E99" s="6"/>
      <c r="F99" s="6"/>
    </row>
    <row r="100" spans="1:6" x14ac:dyDescent="0.3">
      <c r="A100" s="4">
        <f t="shared" si="1"/>
        <v>1877</v>
      </c>
      <c r="B100" s="6"/>
      <c r="C100" s="6"/>
      <c r="D100" s="6"/>
      <c r="E100" s="6"/>
      <c r="F100" s="6"/>
    </row>
    <row r="101" spans="1:6" x14ac:dyDescent="0.3">
      <c r="A101" s="4">
        <f t="shared" si="1"/>
        <v>1878</v>
      </c>
      <c r="B101" s="6"/>
      <c r="C101" s="6"/>
      <c r="D101" s="6"/>
      <c r="E101" s="6"/>
      <c r="F101" s="6"/>
    </row>
    <row r="102" spans="1:6" x14ac:dyDescent="0.3">
      <c r="A102" s="4">
        <f t="shared" si="1"/>
        <v>1879</v>
      </c>
      <c r="B102" s="6"/>
      <c r="C102" s="6"/>
      <c r="D102" s="6"/>
      <c r="E102" s="6"/>
      <c r="F102" s="6"/>
    </row>
    <row r="103" spans="1:6" x14ac:dyDescent="0.3">
      <c r="A103" s="4">
        <f t="shared" si="1"/>
        <v>1880</v>
      </c>
      <c r="B103" s="6"/>
      <c r="C103" s="6"/>
      <c r="D103" s="6"/>
      <c r="E103" s="6"/>
      <c r="F103" s="6"/>
    </row>
    <row r="104" spans="1:6" x14ac:dyDescent="0.3">
      <c r="A104" s="4">
        <f t="shared" si="1"/>
        <v>1881</v>
      </c>
      <c r="B104" s="6"/>
      <c r="C104" s="6"/>
      <c r="D104" s="6"/>
      <c r="E104" s="6"/>
      <c r="F104" s="6"/>
    </row>
    <row r="105" spans="1:6" x14ac:dyDescent="0.3">
      <c r="A105" s="4">
        <f t="shared" si="1"/>
        <v>1882</v>
      </c>
      <c r="B105" s="6"/>
      <c r="C105" s="6"/>
      <c r="D105" s="6"/>
      <c r="E105" s="6"/>
      <c r="F105" s="6"/>
    </row>
    <row r="106" spans="1:6" x14ac:dyDescent="0.3">
      <c r="A106" s="4">
        <f t="shared" si="1"/>
        <v>1883</v>
      </c>
      <c r="B106" s="6"/>
      <c r="C106" s="6"/>
      <c r="D106" s="6"/>
      <c r="E106" s="6"/>
      <c r="F106" s="6"/>
    </row>
    <row r="107" spans="1:6" x14ac:dyDescent="0.3">
      <c r="A107" s="4">
        <f t="shared" si="1"/>
        <v>1884</v>
      </c>
      <c r="B107" s="6">
        <v>23.9</v>
      </c>
      <c r="C107" s="6"/>
      <c r="D107" s="6"/>
      <c r="E107" s="6"/>
      <c r="F107" s="6"/>
    </row>
    <row r="108" spans="1:6" x14ac:dyDescent="0.3">
      <c r="A108" s="4">
        <f t="shared" si="1"/>
        <v>1885</v>
      </c>
      <c r="B108" s="6"/>
      <c r="C108" s="6"/>
      <c r="D108" s="6"/>
      <c r="E108" s="6"/>
      <c r="F108" s="6"/>
    </row>
    <row r="109" spans="1:6" x14ac:dyDescent="0.3">
      <c r="A109" s="4">
        <f t="shared" si="1"/>
        <v>1886</v>
      </c>
      <c r="B109" s="6"/>
      <c r="C109" s="6"/>
      <c r="D109" s="6"/>
      <c r="E109" s="6"/>
      <c r="F109" s="6"/>
    </row>
    <row r="110" spans="1:6" x14ac:dyDescent="0.3">
      <c r="A110" s="4">
        <f t="shared" si="1"/>
        <v>1887</v>
      </c>
      <c r="B110" s="6"/>
      <c r="C110" s="6"/>
      <c r="D110" s="6"/>
      <c r="E110" s="6"/>
      <c r="F110" s="6"/>
    </row>
    <row r="111" spans="1:6" x14ac:dyDescent="0.3">
      <c r="A111" s="4">
        <f t="shared" si="1"/>
        <v>1888</v>
      </c>
      <c r="B111" s="6"/>
      <c r="C111" s="6"/>
      <c r="D111" s="6"/>
      <c r="E111" s="6"/>
      <c r="F111" s="6"/>
    </row>
    <row r="112" spans="1:6" x14ac:dyDescent="0.3">
      <c r="A112" s="4">
        <f t="shared" si="1"/>
        <v>1889</v>
      </c>
      <c r="B112" s="6">
        <v>22.2</v>
      </c>
      <c r="C112" s="6"/>
      <c r="D112" s="6"/>
      <c r="E112" s="6">
        <f>B112*($D$173/$B$173)</f>
        <v>22.959427207637233</v>
      </c>
      <c r="F112" s="6">
        <f>E112*100/$E$112</f>
        <v>99.999999999999986</v>
      </c>
    </row>
    <row r="113" spans="1:6" x14ac:dyDescent="0.3">
      <c r="A113" s="4">
        <f t="shared" si="1"/>
        <v>1890</v>
      </c>
      <c r="B113" s="6">
        <v>23.9</v>
      </c>
      <c r="C113" s="6"/>
      <c r="D113" s="6"/>
      <c r="E113" s="6">
        <f t="shared" ref="E113:E176" si="2">B113*($D$173/$B$173)</f>
        <v>24.717581543357202</v>
      </c>
      <c r="F113" s="6">
        <f t="shared" ref="F113:F176" si="3">E113*100/$E$112</f>
        <v>107.65765765765765</v>
      </c>
    </row>
    <row r="114" spans="1:6" x14ac:dyDescent="0.3">
      <c r="A114" s="4">
        <f t="shared" si="1"/>
        <v>1891</v>
      </c>
      <c r="B114" s="6">
        <v>24.3</v>
      </c>
      <c r="C114" s="6"/>
      <c r="D114" s="6"/>
      <c r="E114" s="6">
        <f t="shared" si="2"/>
        <v>25.131264916467785</v>
      </c>
      <c r="F114" s="6">
        <f t="shared" si="3"/>
        <v>109.45945945945947</v>
      </c>
    </row>
    <row r="115" spans="1:6" x14ac:dyDescent="0.3">
      <c r="A115" s="4">
        <f t="shared" si="1"/>
        <v>1892</v>
      </c>
      <c r="B115" s="6">
        <v>26.7</v>
      </c>
      <c r="C115" s="6"/>
      <c r="D115" s="6"/>
      <c r="E115" s="6">
        <f t="shared" si="2"/>
        <v>27.61336515513127</v>
      </c>
      <c r="F115" s="6">
        <f t="shared" si="3"/>
        <v>120.27027027027027</v>
      </c>
    </row>
    <row r="116" spans="1:6" x14ac:dyDescent="0.3">
      <c r="A116" s="4">
        <f t="shared" si="1"/>
        <v>1893</v>
      </c>
      <c r="B116" s="6">
        <v>25.5</v>
      </c>
      <c r="C116" s="6"/>
      <c r="D116" s="6"/>
      <c r="E116" s="6">
        <f t="shared" si="2"/>
        <v>26.372315035799527</v>
      </c>
      <c r="F116" s="6">
        <f t="shared" si="3"/>
        <v>114.86486486486488</v>
      </c>
    </row>
    <row r="117" spans="1:6" x14ac:dyDescent="0.3">
      <c r="A117" s="4">
        <f t="shared" si="1"/>
        <v>1894</v>
      </c>
      <c r="B117" s="6">
        <v>25.8</v>
      </c>
      <c r="C117" s="6"/>
      <c r="D117" s="6"/>
      <c r="E117" s="6">
        <f t="shared" si="2"/>
        <v>26.682577565632464</v>
      </c>
      <c r="F117" s="6">
        <f t="shared" si="3"/>
        <v>116.21621621621622</v>
      </c>
    </row>
    <row r="118" spans="1:6" x14ac:dyDescent="0.3">
      <c r="A118" s="4">
        <f t="shared" si="1"/>
        <v>1895</v>
      </c>
      <c r="B118" s="6">
        <v>27.4</v>
      </c>
      <c r="C118" s="6"/>
      <c r="D118" s="6"/>
      <c r="E118" s="6">
        <f t="shared" si="2"/>
        <v>28.337311058074786</v>
      </c>
      <c r="F118" s="6">
        <f t="shared" si="3"/>
        <v>123.42342342342343</v>
      </c>
    </row>
    <row r="119" spans="1:6" x14ac:dyDescent="0.3">
      <c r="A119" s="4">
        <f t="shared" si="1"/>
        <v>1896</v>
      </c>
      <c r="B119" s="6">
        <v>25.9</v>
      </c>
      <c r="C119" s="6"/>
      <c r="D119" s="6"/>
      <c r="E119" s="6">
        <f t="shared" si="2"/>
        <v>26.785998408910107</v>
      </c>
      <c r="F119" s="6">
        <f t="shared" si="3"/>
        <v>116.66666666666669</v>
      </c>
    </row>
    <row r="120" spans="1:6" x14ac:dyDescent="0.3">
      <c r="A120" s="4">
        <f t="shared" si="1"/>
        <v>1897</v>
      </c>
      <c r="B120" s="6">
        <v>27.7</v>
      </c>
      <c r="C120" s="6"/>
      <c r="D120" s="6"/>
      <c r="E120" s="6">
        <f t="shared" si="2"/>
        <v>28.647573587907722</v>
      </c>
      <c r="F120" s="6">
        <f t="shared" si="3"/>
        <v>124.77477477477478</v>
      </c>
    </row>
    <row r="121" spans="1:6" x14ac:dyDescent="0.3">
      <c r="A121" s="4">
        <f t="shared" si="1"/>
        <v>1898</v>
      </c>
      <c r="B121" s="6">
        <v>27.9</v>
      </c>
      <c r="C121" s="6"/>
      <c r="D121" s="6"/>
      <c r="E121" s="6">
        <f t="shared" si="2"/>
        <v>28.854415274463008</v>
      </c>
      <c r="F121" s="6">
        <f t="shared" si="3"/>
        <v>125.67567567567566</v>
      </c>
    </row>
    <row r="122" spans="1:6" x14ac:dyDescent="0.3">
      <c r="A122" s="4">
        <f t="shared" si="1"/>
        <v>1899</v>
      </c>
      <c r="B122" s="6">
        <v>28.6</v>
      </c>
      <c r="C122" s="6"/>
      <c r="D122" s="6"/>
      <c r="E122" s="6">
        <f t="shared" si="2"/>
        <v>29.578361177406528</v>
      </c>
      <c r="F122" s="6">
        <f t="shared" si="3"/>
        <v>128.82882882882885</v>
      </c>
    </row>
    <row r="123" spans="1:6" x14ac:dyDescent="0.3">
      <c r="A123" s="4">
        <f t="shared" si="1"/>
        <v>1900</v>
      </c>
      <c r="B123" s="6">
        <v>29</v>
      </c>
      <c r="C123" s="6"/>
      <c r="D123" s="6"/>
      <c r="E123" s="6">
        <f t="shared" si="2"/>
        <v>29.992044550517107</v>
      </c>
      <c r="F123" s="6">
        <f t="shared" si="3"/>
        <v>130.63063063063063</v>
      </c>
    </row>
    <row r="124" spans="1:6" x14ac:dyDescent="0.3">
      <c r="A124" s="4">
        <f t="shared" si="1"/>
        <v>1901</v>
      </c>
      <c r="B124" s="6">
        <v>31.6</v>
      </c>
      <c r="C124" s="6"/>
      <c r="D124" s="6"/>
      <c r="E124" s="6">
        <f t="shared" si="2"/>
        <v>32.680986475735885</v>
      </c>
      <c r="F124" s="6">
        <f t="shared" si="3"/>
        <v>142.34234234234236</v>
      </c>
    </row>
    <row r="125" spans="1:6" x14ac:dyDescent="0.3">
      <c r="A125" s="4">
        <f t="shared" si="1"/>
        <v>1902</v>
      </c>
      <c r="B125" s="6">
        <v>30.1</v>
      </c>
      <c r="C125" s="6"/>
      <c r="D125" s="6"/>
      <c r="E125" s="6">
        <f t="shared" si="2"/>
        <v>31.129673826571207</v>
      </c>
      <c r="F125" s="6">
        <f t="shared" si="3"/>
        <v>135.58558558558559</v>
      </c>
    </row>
    <row r="126" spans="1:6" x14ac:dyDescent="0.3">
      <c r="A126" s="4">
        <f t="shared" si="1"/>
        <v>1903</v>
      </c>
      <c r="B126" s="6">
        <v>30.6</v>
      </c>
      <c r="C126" s="6"/>
      <c r="D126" s="6"/>
      <c r="E126" s="6">
        <f t="shared" si="2"/>
        <v>31.646778042959433</v>
      </c>
      <c r="F126" s="6">
        <f t="shared" si="3"/>
        <v>137.83783783783784</v>
      </c>
    </row>
    <row r="127" spans="1:6" x14ac:dyDescent="0.3">
      <c r="A127" s="4">
        <f t="shared" si="1"/>
        <v>1904</v>
      </c>
      <c r="B127" s="6">
        <v>30.6</v>
      </c>
      <c r="C127" s="6"/>
      <c r="D127" s="6"/>
      <c r="E127" s="6">
        <f t="shared" si="2"/>
        <v>31.646778042959433</v>
      </c>
      <c r="F127" s="6">
        <f t="shared" si="3"/>
        <v>137.83783783783784</v>
      </c>
    </row>
    <row r="128" spans="1:6" x14ac:dyDescent="0.3">
      <c r="A128" s="4">
        <f t="shared" si="1"/>
        <v>1905</v>
      </c>
      <c r="B128" s="6">
        <v>31.3</v>
      </c>
      <c r="C128" s="6"/>
      <c r="D128" s="6"/>
      <c r="E128" s="6">
        <f t="shared" si="2"/>
        <v>32.370723945902952</v>
      </c>
      <c r="F128" s="6">
        <f t="shared" si="3"/>
        <v>140.99099099099101</v>
      </c>
    </row>
    <row r="129" spans="1:6" x14ac:dyDescent="0.3">
      <c r="A129" s="4">
        <f t="shared" si="1"/>
        <v>1906</v>
      </c>
      <c r="B129" s="6">
        <v>33.700000000000003</v>
      </c>
      <c r="C129" s="6"/>
      <c r="D129" s="6"/>
      <c r="E129" s="6">
        <f t="shared" si="2"/>
        <v>34.852824184566437</v>
      </c>
      <c r="F129" s="6">
        <f t="shared" si="3"/>
        <v>151.80180180180184</v>
      </c>
    </row>
    <row r="130" spans="1:6" x14ac:dyDescent="0.3">
      <c r="A130" s="4">
        <f t="shared" si="1"/>
        <v>1907</v>
      </c>
      <c r="B130">
        <v>33.9</v>
      </c>
      <c r="E130" s="6">
        <f t="shared" si="2"/>
        <v>35.059665871121723</v>
      </c>
      <c r="F130" s="6">
        <f t="shared" si="3"/>
        <v>152.70270270270271</v>
      </c>
    </row>
    <row r="131" spans="1:6" x14ac:dyDescent="0.3">
      <c r="A131" s="4">
        <f t="shared" si="1"/>
        <v>1908</v>
      </c>
      <c r="B131" s="6">
        <v>32.1</v>
      </c>
      <c r="C131" s="6"/>
      <c r="D131" s="6"/>
      <c r="E131" s="6">
        <f t="shared" si="2"/>
        <v>33.198090692124111</v>
      </c>
      <c r="F131" s="6">
        <f t="shared" si="3"/>
        <v>144.59459459459461</v>
      </c>
    </row>
    <row r="132" spans="1:6" x14ac:dyDescent="0.3">
      <c r="A132" s="4">
        <f t="shared" si="1"/>
        <v>1909</v>
      </c>
      <c r="B132" s="6">
        <v>35</v>
      </c>
      <c r="C132" s="6"/>
      <c r="D132" s="6"/>
      <c r="E132" s="6">
        <f t="shared" si="2"/>
        <v>36.197295147175822</v>
      </c>
      <c r="F132" s="6">
        <f t="shared" si="3"/>
        <v>157.65765765765767</v>
      </c>
    </row>
    <row r="133" spans="1:6" x14ac:dyDescent="0.3">
      <c r="A133" s="4">
        <f t="shared" ref="A133:A196" si="4">+A132+1</f>
        <v>1910</v>
      </c>
      <c r="B133" s="6">
        <v>33.9</v>
      </c>
      <c r="C133" s="6"/>
      <c r="D133" s="6"/>
      <c r="E133" s="6">
        <f t="shared" si="2"/>
        <v>35.059665871121723</v>
      </c>
      <c r="F133" s="6">
        <f t="shared" si="3"/>
        <v>152.70270270270271</v>
      </c>
    </row>
    <row r="134" spans="1:6" x14ac:dyDescent="0.3">
      <c r="A134" s="4">
        <f t="shared" si="4"/>
        <v>1911</v>
      </c>
      <c r="B134" s="6">
        <v>35.299999999999997</v>
      </c>
      <c r="C134" s="6"/>
      <c r="D134" s="6"/>
      <c r="E134" s="6">
        <f t="shared" si="2"/>
        <v>36.507557677008755</v>
      </c>
      <c r="F134" s="6">
        <f t="shared" si="3"/>
        <v>159.00900900900902</v>
      </c>
    </row>
    <row r="135" spans="1:6" x14ac:dyDescent="0.3">
      <c r="A135" s="4">
        <f t="shared" si="4"/>
        <v>1912</v>
      </c>
      <c r="B135" s="6">
        <v>34.799999999999997</v>
      </c>
      <c r="C135" s="6"/>
      <c r="D135" s="6"/>
      <c r="E135" s="6">
        <f t="shared" si="2"/>
        <v>35.990453460620529</v>
      </c>
      <c r="F135" s="6">
        <f t="shared" si="3"/>
        <v>156.75675675675677</v>
      </c>
    </row>
    <row r="136" spans="1:6" x14ac:dyDescent="0.3">
      <c r="A136" s="4">
        <f t="shared" si="4"/>
        <v>1913</v>
      </c>
      <c r="B136" s="6">
        <v>37.1</v>
      </c>
      <c r="C136" s="6"/>
      <c r="D136" s="6"/>
      <c r="E136" s="6">
        <f t="shared" si="2"/>
        <v>38.369132856006374</v>
      </c>
      <c r="F136" s="6">
        <f t="shared" si="3"/>
        <v>167.11711711711715</v>
      </c>
    </row>
    <row r="137" spans="1:6" x14ac:dyDescent="0.3">
      <c r="A137" s="4">
        <f t="shared" si="4"/>
        <v>1914</v>
      </c>
      <c r="B137" s="6">
        <v>33.9</v>
      </c>
      <c r="C137" s="6"/>
      <c r="D137" s="6"/>
      <c r="E137" s="6">
        <f t="shared" si="2"/>
        <v>35.059665871121723</v>
      </c>
      <c r="F137" s="6">
        <f t="shared" si="3"/>
        <v>152.70270270270271</v>
      </c>
    </row>
    <row r="138" spans="1:6" x14ac:dyDescent="0.3">
      <c r="A138" s="4">
        <f t="shared" si="4"/>
        <v>1915</v>
      </c>
      <c r="B138" s="6">
        <v>34.799999999999997</v>
      </c>
      <c r="C138" s="6"/>
      <c r="D138" s="6"/>
      <c r="E138" s="6">
        <f t="shared" si="2"/>
        <v>35.990453460620529</v>
      </c>
      <c r="F138" s="6">
        <f t="shared" si="3"/>
        <v>156.75675675675677</v>
      </c>
    </row>
    <row r="139" spans="1:6" x14ac:dyDescent="0.3">
      <c r="A139" s="4">
        <f t="shared" si="4"/>
        <v>1916</v>
      </c>
      <c r="B139" s="6">
        <v>38.6</v>
      </c>
      <c r="C139" s="6"/>
      <c r="D139" s="6"/>
      <c r="E139" s="6">
        <f t="shared" si="2"/>
        <v>39.920445505171053</v>
      </c>
      <c r="F139" s="6">
        <f t="shared" si="3"/>
        <v>173.87387387387389</v>
      </c>
    </row>
    <row r="140" spans="1:6" x14ac:dyDescent="0.3">
      <c r="A140" s="4">
        <f t="shared" si="4"/>
        <v>1917</v>
      </c>
      <c r="B140" s="6">
        <v>35.700000000000003</v>
      </c>
      <c r="C140" s="6"/>
      <c r="D140" s="6"/>
      <c r="E140" s="6">
        <f t="shared" si="2"/>
        <v>36.921241050119342</v>
      </c>
      <c r="F140" s="6">
        <f t="shared" si="3"/>
        <v>160.81081081081084</v>
      </c>
    </row>
    <row r="141" spans="1:6" x14ac:dyDescent="0.3">
      <c r="A141" s="4">
        <f t="shared" si="4"/>
        <v>1918</v>
      </c>
      <c r="B141" s="6">
        <v>40.1</v>
      </c>
      <c r="C141" s="6"/>
      <c r="D141" s="6"/>
      <c r="E141" s="6">
        <f t="shared" si="2"/>
        <v>41.471758154335731</v>
      </c>
      <c r="F141" s="6">
        <f t="shared" si="3"/>
        <v>180.63063063063066</v>
      </c>
    </row>
    <row r="142" spans="1:6" x14ac:dyDescent="0.3">
      <c r="A142" s="4">
        <f t="shared" si="4"/>
        <v>1919</v>
      </c>
      <c r="B142" s="6">
        <v>43.1</v>
      </c>
      <c r="C142" s="6"/>
      <c r="D142" s="6"/>
      <c r="E142" s="6">
        <f t="shared" si="2"/>
        <v>44.574383452665082</v>
      </c>
      <c r="F142" s="6">
        <f t="shared" si="3"/>
        <v>194.14414414414415</v>
      </c>
    </row>
    <row r="143" spans="1:6" x14ac:dyDescent="0.3">
      <c r="A143" s="4">
        <f t="shared" si="4"/>
        <v>1920</v>
      </c>
      <c r="B143" s="6">
        <v>43</v>
      </c>
      <c r="C143" s="6"/>
      <c r="D143" s="6"/>
      <c r="E143" s="6">
        <f t="shared" si="2"/>
        <v>44.470962609387435</v>
      </c>
      <c r="F143" s="6">
        <f t="shared" si="3"/>
        <v>193.69369369369369</v>
      </c>
    </row>
    <row r="144" spans="1:6" x14ac:dyDescent="0.3">
      <c r="A144" s="4">
        <f t="shared" si="4"/>
        <v>1921</v>
      </c>
      <c r="B144" s="6">
        <v>46.6</v>
      </c>
      <c r="C144" s="6"/>
      <c r="D144" s="6"/>
      <c r="E144" s="6">
        <f t="shared" si="2"/>
        <v>48.194112967382665</v>
      </c>
      <c r="F144" s="6">
        <f t="shared" si="3"/>
        <v>209.90990990990991</v>
      </c>
    </row>
    <row r="145" spans="1:6" x14ac:dyDescent="0.3">
      <c r="A145" s="4">
        <f t="shared" si="4"/>
        <v>1922</v>
      </c>
      <c r="B145" s="6">
        <v>45.4</v>
      </c>
      <c r="C145" s="6"/>
      <c r="D145" s="6"/>
      <c r="E145" s="6">
        <f t="shared" si="2"/>
        <v>46.953062848050919</v>
      </c>
      <c r="F145" s="6">
        <f t="shared" si="3"/>
        <v>204.50450450450452</v>
      </c>
    </row>
    <row r="146" spans="1:6" x14ac:dyDescent="0.3">
      <c r="A146" s="4">
        <f t="shared" si="4"/>
        <v>1923</v>
      </c>
      <c r="B146" s="6">
        <v>47.5</v>
      </c>
      <c r="C146" s="6"/>
      <c r="D146" s="6"/>
      <c r="E146" s="6">
        <f t="shared" si="2"/>
        <v>49.124900556881471</v>
      </c>
      <c r="F146" s="6">
        <f t="shared" si="3"/>
        <v>213.96396396396401</v>
      </c>
    </row>
    <row r="147" spans="1:6" x14ac:dyDescent="0.3">
      <c r="A147" s="4">
        <f t="shared" si="4"/>
        <v>1924</v>
      </c>
      <c r="B147" s="6">
        <v>50.5</v>
      </c>
      <c r="C147" s="6"/>
      <c r="D147" s="6"/>
      <c r="E147" s="6">
        <f t="shared" si="2"/>
        <v>52.227525855210828</v>
      </c>
      <c r="F147" s="6">
        <f t="shared" si="3"/>
        <v>227.47747747747749</v>
      </c>
    </row>
    <row r="148" spans="1:6" x14ac:dyDescent="0.3">
      <c r="A148" s="4">
        <f t="shared" si="4"/>
        <v>1925</v>
      </c>
      <c r="B148" s="6">
        <v>50.1</v>
      </c>
      <c r="C148" s="6"/>
      <c r="D148" s="6"/>
      <c r="E148" s="6">
        <f t="shared" si="2"/>
        <v>51.813842482100249</v>
      </c>
      <c r="F148" s="6">
        <f t="shared" si="3"/>
        <v>225.67567567567568</v>
      </c>
    </row>
    <row r="149" spans="1:6" x14ac:dyDescent="0.3">
      <c r="A149" s="4">
        <f t="shared" si="4"/>
        <v>1926</v>
      </c>
      <c r="B149" s="6">
        <v>51.4</v>
      </c>
      <c r="C149" s="6"/>
      <c r="D149" s="6"/>
      <c r="E149" s="6">
        <f t="shared" si="2"/>
        <v>53.158313444709634</v>
      </c>
      <c r="F149" s="6">
        <f t="shared" si="3"/>
        <v>231.53153153153156</v>
      </c>
    </row>
    <row r="150" spans="1:6" x14ac:dyDescent="0.3">
      <c r="A150" s="4">
        <f t="shared" si="4"/>
        <v>1927</v>
      </c>
      <c r="B150" s="6">
        <v>51.6</v>
      </c>
      <c r="C150" s="6"/>
      <c r="D150" s="6"/>
      <c r="E150" s="6">
        <f t="shared" si="2"/>
        <v>53.365155131264927</v>
      </c>
      <c r="F150" s="6">
        <f t="shared" si="3"/>
        <v>232.43243243243245</v>
      </c>
    </row>
    <row r="151" spans="1:6" x14ac:dyDescent="0.3">
      <c r="A151" s="4">
        <f t="shared" si="4"/>
        <v>1928</v>
      </c>
      <c r="B151" s="6">
        <v>52</v>
      </c>
      <c r="C151" s="6"/>
      <c r="D151" s="6"/>
      <c r="E151" s="6">
        <f t="shared" si="2"/>
        <v>53.778838504375507</v>
      </c>
      <c r="F151" s="6">
        <f t="shared" si="3"/>
        <v>234.23423423423426</v>
      </c>
    </row>
    <row r="152" spans="1:6" x14ac:dyDescent="0.3">
      <c r="A152" s="4">
        <f t="shared" si="4"/>
        <v>1929</v>
      </c>
      <c r="B152" s="6">
        <v>54.1</v>
      </c>
      <c r="C152" s="6"/>
      <c r="D152" s="6"/>
      <c r="E152" s="6">
        <f t="shared" si="2"/>
        <v>55.950676213206059</v>
      </c>
      <c r="F152" s="6">
        <f t="shared" si="3"/>
        <v>243.69369369369375</v>
      </c>
    </row>
    <row r="153" spans="1:6" x14ac:dyDescent="0.3">
      <c r="A153" s="4">
        <f t="shared" si="4"/>
        <v>1930</v>
      </c>
      <c r="B153" s="6">
        <v>52.5</v>
      </c>
      <c r="C153" s="6"/>
      <c r="D153" s="6"/>
      <c r="E153" s="6">
        <f t="shared" si="2"/>
        <v>54.295942720763733</v>
      </c>
      <c r="F153" s="6">
        <f t="shared" si="3"/>
        <v>236.48648648648651</v>
      </c>
    </row>
    <row r="154" spans="1:6" x14ac:dyDescent="0.3">
      <c r="A154" s="4">
        <f t="shared" si="4"/>
        <v>1931</v>
      </c>
      <c r="B154" s="6">
        <v>53.3</v>
      </c>
      <c r="C154" s="6"/>
      <c r="D154" s="6"/>
      <c r="E154" s="6">
        <f t="shared" si="2"/>
        <v>55.123309466984892</v>
      </c>
      <c r="F154" s="6">
        <f t="shared" si="3"/>
        <v>240.09009009009011</v>
      </c>
    </row>
    <row r="155" spans="1:6" x14ac:dyDescent="0.3">
      <c r="A155" s="4">
        <f t="shared" si="4"/>
        <v>1932</v>
      </c>
      <c r="B155" s="6">
        <v>51.6</v>
      </c>
      <c r="C155" s="6"/>
      <c r="D155" s="6"/>
      <c r="E155" s="6">
        <f t="shared" si="2"/>
        <v>53.365155131264927</v>
      </c>
      <c r="F155" s="6">
        <f t="shared" si="3"/>
        <v>232.43243243243245</v>
      </c>
    </row>
    <row r="156" spans="1:6" x14ac:dyDescent="0.3">
      <c r="A156" s="4">
        <f t="shared" si="4"/>
        <v>1933</v>
      </c>
      <c r="B156" s="6">
        <v>50.4</v>
      </c>
      <c r="C156" s="6"/>
      <c r="D156" s="6"/>
      <c r="E156" s="6">
        <f t="shared" si="2"/>
        <v>52.124105011933182</v>
      </c>
      <c r="F156" s="6">
        <f t="shared" si="3"/>
        <v>227.02702702702703</v>
      </c>
    </row>
    <row r="157" spans="1:6" x14ac:dyDescent="0.3">
      <c r="A157" s="4">
        <f t="shared" si="4"/>
        <v>1934</v>
      </c>
      <c r="B157" s="6">
        <v>55.9</v>
      </c>
      <c r="C157" s="6"/>
      <c r="D157" s="6"/>
      <c r="E157" s="6">
        <f t="shared" si="2"/>
        <v>57.812251392203663</v>
      </c>
      <c r="F157" s="6">
        <f t="shared" si="3"/>
        <v>251.80180180180179</v>
      </c>
    </row>
    <row r="158" spans="1:6" x14ac:dyDescent="0.3">
      <c r="A158" s="4">
        <f t="shared" si="4"/>
        <v>1935</v>
      </c>
      <c r="B158" s="6">
        <v>57.7</v>
      </c>
      <c r="C158" s="6"/>
      <c r="D158" s="6"/>
      <c r="E158" s="6">
        <f t="shared" si="2"/>
        <v>59.673826571201282</v>
      </c>
      <c r="F158" s="6">
        <f t="shared" si="3"/>
        <v>259.90990990990991</v>
      </c>
    </row>
    <row r="159" spans="1:6" x14ac:dyDescent="0.3">
      <c r="A159" s="4">
        <f t="shared" si="4"/>
        <v>1936</v>
      </c>
      <c r="B159" s="6">
        <v>60.2</v>
      </c>
      <c r="C159" s="6"/>
      <c r="D159" s="6"/>
      <c r="E159" s="6">
        <f t="shared" si="2"/>
        <v>62.259347653142413</v>
      </c>
      <c r="F159" s="6">
        <f t="shared" si="3"/>
        <v>271.17117117117118</v>
      </c>
    </row>
    <row r="160" spans="1:6" x14ac:dyDescent="0.3">
      <c r="A160" s="4">
        <f t="shared" si="4"/>
        <v>1937</v>
      </c>
      <c r="B160" s="6">
        <v>59.7</v>
      </c>
      <c r="C160" s="6"/>
      <c r="D160" s="6"/>
      <c r="E160" s="6">
        <f t="shared" si="2"/>
        <v>61.742243436754187</v>
      </c>
      <c r="F160" s="6">
        <f t="shared" si="3"/>
        <v>268.91891891891896</v>
      </c>
    </row>
    <row r="161" spans="1:6" x14ac:dyDescent="0.3">
      <c r="A161" s="4">
        <f t="shared" si="4"/>
        <v>1938</v>
      </c>
      <c r="B161" s="6">
        <v>61.4</v>
      </c>
      <c r="C161" s="6"/>
      <c r="D161" s="6"/>
      <c r="E161" s="6">
        <f t="shared" si="2"/>
        <v>63.500397772474152</v>
      </c>
      <c r="F161" s="6">
        <f t="shared" si="3"/>
        <v>276.5765765765766</v>
      </c>
    </row>
    <row r="162" spans="1:6" x14ac:dyDescent="0.3">
      <c r="A162" s="4">
        <f t="shared" si="4"/>
        <v>1939</v>
      </c>
      <c r="B162" s="6">
        <v>63.6</v>
      </c>
      <c r="C162" s="6"/>
      <c r="D162" s="6"/>
      <c r="E162" s="6">
        <f t="shared" si="2"/>
        <v>65.775656324582357</v>
      </c>
      <c r="F162" s="6">
        <f t="shared" si="3"/>
        <v>286.48648648648657</v>
      </c>
    </row>
    <row r="163" spans="1:6" x14ac:dyDescent="0.3">
      <c r="A163" s="4">
        <f t="shared" si="4"/>
        <v>1940</v>
      </c>
      <c r="B163" s="6">
        <v>66.099999999999994</v>
      </c>
      <c r="C163" s="6"/>
      <c r="D163" s="6"/>
      <c r="E163" s="6">
        <f t="shared" si="2"/>
        <v>68.361177406523467</v>
      </c>
      <c r="F163" s="6">
        <f t="shared" si="3"/>
        <v>297.74774774774772</v>
      </c>
    </row>
    <row r="164" spans="1:6" x14ac:dyDescent="0.3">
      <c r="A164" s="4">
        <f t="shared" si="4"/>
        <v>1941</v>
      </c>
      <c r="B164" s="6">
        <v>67.2</v>
      </c>
      <c r="C164" s="6"/>
      <c r="D164" s="6"/>
      <c r="E164" s="6">
        <f t="shared" si="2"/>
        <v>69.49880668257758</v>
      </c>
      <c r="F164" s="6">
        <f t="shared" si="3"/>
        <v>302.70270270270271</v>
      </c>
    </row>
    <row r="165" spans="1:6" x14ac:dyDescent="0.3">
      <c r="A165" s="4">
        <f t="shared" si="4"/>
        <v>1942</v>
      </c>
      <c r="B165" s="6">
        <v>66.7</v>
      </c>
      <c r="C165" s="6"/>
      <c r="D165" s="6"/>
      <c r="E165" s="6">
        <f t="shared" si="2"/>
        <v>68.981702466189347</v>
      </c>
      <c r="F165" s="6">
        <f t="shared" si="3"/>
        <v>300.45045045045043</v>
      </c>
    </row>
    <row r="166" spans="1:6" x14ac:dyDescent="0.3">
      <c r="A166" s="4">
        <f t="shared" si="4"/>
        <v>1943</v>
      </c>
      <c r="B166" s="6">
        <v>67.400000000000006</v>
      </c>
      <c r="C166" s="6"/>
      <c r="D166" s="6"/>
      <c r="E166" s="6">
        <f t="shared" si="2"/>
        <v>69.705648369132874</v>
      </c>
      <c r="F166" s="6">
        <f t="shared" si="3"/>
        <v>303.60360360360369</v>
      </c>
    </row>
    <row r="167" spans="1:6" x14ac:dyDescent="0.3">
      <c r="A167" s="4">
        <f t="shared" si="4"/>
        <v>1944</v>
      </c>
      <c r="B167" s="6">
        <v>72.7</v>
      </c>
      <c r="C167" s="6"/>
      <c r="D167" s="6"/>
      <c r="E167" s="6">
        <f t="shared" si="2"/>
        <v>75.186953062848062</v>
      </c>
      <c r="F167" s="6">
        <f t="shared" si="3"/>
        <v>327.47747747747746</v>
      </c>
    </row>
    <row r="168" spans="1:6" x14ac:dyDescent="0.3">
      <c r="A168" s="4">
        <f t="shared" si="4"/>
        <v>1945</v>
      </c>
      <c r="B168" s="6">
        <v>76.8</v>
      </c>
      <c r="C168" s="6"/>
      <c r="D168" s="6"/>
      <c r="E168" s="6">
        <f t="shared" si="2"/>
        <v>79.427207637231518</v>
      </c>
      <c r="F168" s="6">
        <f t="shared" si="3"/>
        <v>345.94594594594599</v>
      </c>
    </row>
    <row r="169" spans="1:6" x14ac:dyDescent="0.3">
      <c r="A169" s="4">
        <f t="shared" si="4"/>
        <v>1946</v>
      </c>
      <c r="B169" s="6">
        <v>73.3</v>
      </c>
      <c r="C169" s="6"/>
      <c r="D169" s="6"/>
      <c r="E169" s="6">
        <f t="shared" si="2"/>
        <v>75.807478122513928</v>
      </c>
      <c r="F169" s="6">
        <f t="shared" si="3"/>
        <v>330.18018018018017</v>
      </c>
    </row>
    <row r="170" spans="1:6" x14ac:dyDescent="0.3">
      <c r="A170" s="4">
        <f t="shared" si="4"/>
        <v>1947</v>
      </c>
      <c r="B170" s="6">
        <v>72.8</v>
      </c>
      <c r="C170" s="6"/>
      <c r="D170" s="6"/>
      <c r="E170" s="6">
        <f t="shared" si="2"/>
        <v>75.290373906125708</v>
      </c>
      <c r="F170" s="6">
        <f t="shared" si="3"/>
        <v>327.92792792792795</v>
      </c>
    </row>
    <row r="171" spans="1:6" x14ac:dyDescent="0.3">
      <c r="A171" s="4">
        <f t="shared" si="4"/>
        <v>1948</v>
      </c>
      <c r="B171" s="7">
        <v>74.8</v>
      </c>
      <c r="C171" s="7"/>
      <c r="D171" s="7"/>
      <c r="E171" s="6">
        <f t="shared" si="2"/>
        <v>77.358790771678613</v>
      </c>
      <c r="F171" s="6">
        <f t="shared" si="3"/>
        <v>336.93693693693695</v>
      </c>
    </row>
    <row r="172" spans="1:6" x14ac:dyDescent="0.3">
      <c r="A172" s="4">
        <f t="shared" si="4"/>
        <v>1949</v>
      </c>
      <c r="B172" s="7">
        <v>78.400000000000006</v>
      </c>
      <c r="C172" s="7"/>
      <c r="D172" s="7"/>
      <c r="E172" s="6">
        <f t="shared" si="2"/>
        <v>81.081941129673851</v>
      </c>
      <c r="F172" s="6">
        <f t="shared" si="3"/>
        <v>353.15315315315326</v>
      </c>
    </row>
    <row r="173" spans="1:6" x14ac:dyDescent="0.3">
      <c r="A173" s="4">
        <f t="shared" si="4"/>
        <v>1950</v>
      </c>
      <c r="B173" s="7">
        <v>83.8</v>
      </c>
      <c r="C173" s="7">
        <v>19.5</v>
      </c>
      <c r="D173" s="7">
        <f>C173*100/$C$181</f>
        <v>86.666666666666671</v>
      </c>
      <c r="E173" s="6">
        <f>+D173</f>
        <v>86.666666666666671</v>
      </c>
      <c r="F173" s="6">
        <f t="shared" si="3"/>
        <v>377.47747747747752</v>
      </c>
    </row>
    <row r="174" spans="1:6" x14ac:dyDescent="0.3">
      <c r="A174" s="4">
        <f t="shared" si="4"/>
        <v>1951</v>
      </c>
      <c r="B174" s="7">
        <v>85.1</v>
      </c>
      <c r="C174" s="7">
        <v>20.2</v>
      </c>
      <c r="D174" s="7">
        <f t="shared" ref="D174:D233" si="5">C174*100/$C$181</f>
        <v>89.777777777777771</v>
      </c>
      <c r="E174" s="6">
        <f t="shared" ref="E174:E232" si="6">+D174</f>
        <v>89.777777777777771</v>
      </c>
      <c r="F174" s="6">
        <f t="shared" si="3"/>
        <v>391.02795102795096</v>
      </c>
    </row>
    <row r="175" spans="1:6" x14ac:dyDescent="0.3">
      <c r="A175" s="4">
        <f t="shared" si="4"/>
        <v>1952</v>
      </c>
      <c r="B175" s="7">
        <v>85.6</v>
      </c>
      <c r="C175" s="7">
        <v>20.6</v>
      </c>
      <c r="D175" s="7">
        <f t="shared" si="5"/>
        <v>91.555555555555557</v>
      </c>
      <c r="E175" s="6">
        <f t="shared" si="6"/>
        <v>91.555555555555557</v>
      </c>
      <c r="F175" s="6">
        <f t="shared" si="3"/>
        <v>398.77107877107881</v>
      </c>
    </row>
    <row r="176" spans="1:6" x14ac:dyDescent="0.3">
      <c r="A176" s="4">
        <f t="shared" si="4"/>
        <v>1953</v>
      </c>
      <c r="B176" s="7">
        <v>88.8</v>
      </c>
      <c r="C176" s="7">
        <v>20.9</v>
      </c>
      <c r="D176" s="7">
        <f t="shared" si="5"/>
        <v>92.888888888888886</v>
      </c>
      <c r="E176" s="6">
        <f t="shared" si="6"/>
        <v>92.888888888888886</v>
      </c>
      <c r="F176" s="6">
        <f t="shared" si="3"/>
        <v>404.57842457842452</v>
      </c>
    </row>
    <row r="177" spans="1:6" x14ac:dyDescent="0.3">
      <c r="A177" s="4">
        <f t="shared" si="4"/>
        <v>1954</v>
      </c>
      <c r="B177" s="7">
        <v>91.2</v>
      </c>
      <c r="C177" s="7">
        <v>21.3</v>
      </c>
      <c r="D177" s="7">
        <f t="shared" si="5"/>
        <v>94.666666666666671</v>
      </c>
      <c r="E177" s="6">
        <f t="shared" si="6"/>
        <v>94.666666666666671</v>
      </c>
      <c r="F177" s="6">
        <f t="shared" ref="F177:F233" si="7">E177*100/$E$112</f>
        <v>412.32155232155236</v>
      </c>
    </row>
    <row r="178" spans="1:6" x14ac:dyDescent="0.3">
      <c r="A178" s="4">
        <f t="shared" si="4"/>
        <v>1955</v>
      </c>
      <c r="B178" s="7">
        <v>95.9</v>
      </c>
      <c r="C178" s="7">
        <v>22.3</v>
      </c>
      <c r="D178" s="7">
        <f t="shared" si="5"/>
        <v>99.111111111111114</v>
      </c>
      <c r="E178" s="6">
        <f t="shared" si="6"/>
        <v>99.111111111111114</v>
      </c>
      <c r="F178" s="6">
        <f t="shared" si="7"/>
        <v>431.67937167937163</v>
      </c>
    </row>
    <row r="179" spans="1:6" x14ac:dyDescent="0.3">
      <c r="A179" s="4">
        <f t="shared" si="4"/>
        <v>1956</v>
      </c>
      <c r="B179" s="7">
        <v>95.6</v>
      </c>
      <c r="C179" s="7">
        <v>21.8</v>
      </c>
      <c r="D179" s="7">
        <f t="shared" si="5"/>
        <v>96.888888888888886</v>
      </c>
      <c r="E179" s="6">
        <f t="shared" si="6"/>
        <v>96.888888888888886</v>
      </c>
      <c r="F179" s="6">
        <f t="shared" si="7"/>
        <v>422.00046200046194</v>
      </c>
    </row>
    <row r="180" spans="1:6" x14ac:dyDescent="0.3">
      <c r="A180" s="4">
        <f t="shared" si="4"/>
        <v>1957</v>
      </c>
      <c r="B180" s="7">
        <v>97.6</v>
      </c>
      <c r="C180" s="7">
        <v>22.4</v>
      </c>
      <c r="D180" s="7">
        <f t="shared" si="5"/>
        <v>99.555555555555557</v>
      </c>
      <c r="E180" s="6">
        <f t="shared" si="6"/>
        <v>99.555555555555557</v>
      </c>
      <c r="F180" s="6">
        <f t="shared" si="7"/>
        <v>433.61515361515364</v>
      </c>
    </row>
    <row r="181" spans="1:6" x14ac:dyDescent="0.3">
      <c r="A181" s="4">
        <f t="shared" si="4"/>
        <v>1958</v>
      </c>
      <c r="B181" s="7">
        <v>100</v>
      </c>
      <c r="C181" s="7">
        <v>22.5</v>
      </c>
      <c r="D181" s="7">
        <f t="shared" si="5"/>
        <v>100</v>
      </c>
      <c r="E181" s="6">
        <f t="shared" si="6"/>
        <v>100</v>
      </c>
      <c r="F181" s="6">
        <f t="shared" si="7"/>
        <v>435.55093555093549</v>
      </c>
    </row>
    <row r="182" spans="1:6" x14ac:dyDescent="0.3">
      <c r="A182" s="4">
        <f t="shared" si="4"/>
        <v>1959</v>
      </c>
      <c r="B182" s="7">
        <v>103.5</v>
      </c>
      <c r="C182" s="7">
        <v>23.5</v>
      </c>
      <c r="D182" s="7">
        <f t="shared" si="5"/>
        <v>104.44444444444444</v>
      </c>
      <c r="E182" s="6">
        <f t="shared" si="6"/>
        <v>104.44444444444444</v>
      </c>
      <c r="F182" s="6">
        <f t="shared" si="7"/>
        <v>454.90875490875482</v>
      </c>
    </row>
    <row r="183" spans="1:6" x14ac:dyDescent="0.3">
      <c r="A183" s="4">
        <f t="shared" si="4"/>
        <v>1960</v>
      </c>
      <c r="B183" s="7">
        <v>104.7</v>
      </c>
      <c r="C183" s="7">
        <v>23.7</v>
      </c>
      <c r="D183" s="7">
        <f t="shared" si="5"/>
        <v>105.33333333333333</v>
      </c>
      <c r="E183" s="6">
        <f t="shared" si="6"/>
        <v>105.33333333333333</v>
      </c>
      <c r="F183" s="6">
        <f t="shared" si="7"/>
        <v>458.78031878031868</v>
      </c>
    </row>
    <row r="184" spans="1:6" x14ac:dyDescent="0.3">
      <c r="A184" s="4">
        <f t="shared" si="4"/>
        <v>1961</v>
      </c>
      <c r="B184" s="7">
        <v>107.8</v>
      </c>
      <c r="C184" s="7">
        <v>24.3</v>
      </c>
      <c r="D184" s="7">
        <f t="shared" si="5"/>
        <v>108</v>
      </c>
      <c r="E184" s="6">
        <f t="shared" si="6"/>
        <v>108</v>
      </c>
      <c r="F184" s="6">
        <f t="shared" si="7"/>
        <v>470.39501039501033</v>
      </c>
    </row>
    <row r="185" spans="1:6" x14ac:dyDescent="0.3">
      <c r="A185" s="4">
        <f t="shared" si="4"/>
        <v>1962</v>
      </c>
      <c r="B185" s="7">
        <v>113</v>
      </c>
      <c r="C185" s="7">
        <v>25.5</v>
      </c>
      <c r="D185" s="7">
        <f t="shared" si="5"/>
        <v>113.33333333333333</v>
      </c>
      <c r="E185" s="6">
        <f t="shared" si="6"/>
        <v>113.33333333333333</v>
      </c>
      <c r="F185" s="6">
        <f t="shared" si="7"/>
        <v>493.62439362439352</v>
      </c>
    </row>
    <row r="186" spans="1:6" x14ac:dyDescent="0.3">
      <c r="A186" s="4">
        <f t="shared" si="4"/>
        <v>1963</v>
      </c>
      <c r="B186" s="7">
        <v>116.3</v>
      </c>
      <c r="C186" s="7">
        <v>27.2</v>
      </c>
      <c r="D186" s="7">
        <f t="shared" si="5"/>
        <v>120.88888888888889</v>
      </c>
      <c r="E186" s="6">
        <f t="shared" si="6"/>
        <v>120.88888888888889</v>
      </c>
      <c r="F186" s="6">
        <f t="shared" si="7"/>
        <v>526.53268653268651</v>
      </c>
    </row>
    <row r="187" spans="1:6" x14ac:dyDescent="0.3">
      <c r="A187" s="4">
        <f t="shared" si="4"/>
        <v>1964</v>
      </c>
      <c r="B187" s="7">
        <v>120.3</v>
      </c>
      <c r="C187" s="7">
        <v>28.6</v>
      </c>
      <c r="D187" s="7">
        <f t="shared" si="5"/>
        <v>127.11111111111111</v>
      </c>
      <c r="E187" s="6">
        <f t="shared" si="6"/>
        <v>127.11111111111111</v>
      </c>
      <c r="F187" s="6">
        <f t="shared" si="7"/>
        <v>553.63363363363362</v>
      </c>
    </row>
    <row r="188" spans="1:6" x14ac:dyDescent="0.3">
      <c r="A188" s="4">
        <f t="shared" si="4"/>
        <v>1965</v>
      </c>
      <c r="B188" s="7">
        <v>123.8</v>
      </c>
      <c r="C188" s="7">
        <v>29.6</v>
      </c>
      <c r="D188" s="7">
        <f t="shared" si="5"/>
        <v>131.55555555555554</v>
      </c>
      <c r="E188" s="6">
        <f t="shared" si="6"/>
        <v>131.55555555555554</v>
      </c>
      <c r="F188" s="6">
        <f t="shared" si="7"/>
        <v>572.99145299145289</v>
      </c>
    </row>
    <row r="189" spans="1:6" x14ac:dyDescent="0.3">
      <c r="A189" s="4">
        <f t="shared" si="4"/>
        <v>1966</v>
      </c>
      <c r="B189" s="7">
        <v>127.1</v>
      </c>
      <c r="C189" s="7">
        <v>30.2</v>
      </c>
      <c r="D189" s="7">
        <f t="shared" si="5"/>
        <v>134.22222222222223</v>
      </c>
      <c r="E189" s="6">
        <f t="shared" si="6"/>
        <v>134.22222222222223</v>
      </c>
      <c r="F189" s="6">
        <f t="shared" si="7"/>
        <v>584.60614460614454</v>
      </c>
    </row>
    <row r="190" spans="1:6" x14ac:dyDescent="0.3">
      <c r="A190" s="4">
        <f t="shared" si="4"/>
        <v>1967</v>
      </c>
      <c r="B190" s="7"/>
      <c r="C190" s="7">
        <v>30.2</v>
      </c>
      <c r="D190" s="7">
        <f t="shared" si="5"/>
        <v>134.22222222222223</v>
      </c>
      <c r="E190" s="6">
        <f t="shared" si="6"/>
        <v>134.22222222222223</v>
      </c>
      <c r="F190" s="6">
        <f t="shared" si="7"/>
        <v>584.60614460614454</v>
      </c>
    </row>
    <row r="191" spans="1:6" x14ac:dyDescent="0.3">
      <c r="A191" s="4">
        <f t="shared" si="4"/>
        <v>1968</v>
      </c>
      <c r="B191" s="7"/>
      <c r="C191" s="7">
        <v>31.4</v>
      </c>
      <c r="D191" s="7">
        <f t="shared" si="5"/>
        <v>139.55555555555554</v>
      </c>
      <c r="E191" s="6">
        <f t="shared" si="6"/>
        <v>139.55555555555554</v>
      </c>
      <c r="F191" s="6">
        <f t="shared" si="7"/>
        <v>607.83552783552773</v>
      </c>
    </row>
    <row r="192" spans="1:6" x14ac:dyDescent="0.3">
      <c r="A192" s="4">
        <f t="shared" si="4"/>
        <v>1969</v>
      </c>
      <c r="B192" s="7"/>
      <c r="C192" s="7">
        <v>31.8</v>
      </c>
      <c r="D192" s="7">
        <f t="shared" si="5"/>
        <v>141.33333333333334</v>
      </c>
      <c r="E192" s="6">
        <f t="shared" si="6"/>
        <v>141.33333333333334</v>
      </c>
      <c r="F192" s="6">
        <f t="shared" si="7"/>
        <v>615.57865557865557</v>
      </c>
    </row>
    <row r="193" spans="1:6" x14ac:dyDescent="0.3">
      <c r="A193" s="4">
        <f t="shared" si="4"/>
        <v>1970</v>
      </c>
      <c r="B193" s="7"/>
      <c r="C193" s="7">
        <v>31.9</v>
      </c>
      <c r="D193" s="7">
        <f t="shared" si="5"/>
        <v>141.77777777777777</v>
      </c>
      <c r="E193" s="6">
        <f t="shared" si="6"/>
        <v>141.77777777777777</v>
      </c>
      <c r="F193" s="6">
        <f t="shared" si="7"/>
        <v>617.51443751443742</v>
      </c>
    </row>
    <row r="194" spans="1:6" x14ac:dyDescent="0.3">
      <c r="A194" s="4">
        <f t="shared" si="4"/>
        <v>1971</v>
      </c>
      <c r="B194" s="7"/>
      <c r="C194" s="7">
        <v>34</v>
      </c>
      <c r="D194" s="7">
        <f t="shared" si="5"/>
        <v>151.11111111111111</v>
      </c>
      <c r="E194" s="6">
        <f t="shared" si="6"/>
        <v>151.11111111111111</v>
      </c>
      <c r="F194" s="6">
        <f t="shared" si="7"/>
        <v>658.16585816585814</v>
      </c>
    </row>
    <row r="195" spans="1:6" x14ac:dyDescent="0.3">
      <c r="A195" s="4">
        <f t="shared" si="4"/>
        <v>1972</v>
      </c>
      <c r="B195" s="7"/>
      <c r="C195" s="7">
        <v>35.4</v>
      </c>
      <c r="D195" s="7">
        <f t="shared" si="5"/>
        <v>157.33333333333334</v>
      </c>
      <c r="E195" s="6">
        <f t="shared" si="6"/>
        <v>157.33333333333334</v>
      </c>
      <c r="F195" s="6">
        <f t="shared" si="7"/>
        <v>685.26680526680525</v>
      </c>
    </row>
    <row r="196" spans="1:6" x14ac:dyDescent="0.3">
      <c r="A196" s="4">
        <f t="shared" si="4"/>
        <v>1973</v>
      </c>
      <c r="B196" s="7"/>
      <c r="C196" s="7">
        <v>37.200000000000003</v>
      </c>
      <c r="D196" s="7">
        <f t="shared" si="5"/>
        <v>165.33333333333334</v>
      </c>
      <c r="E196" s="6">
        <f t="shared" si="6"/>
        <v>165.33333333333334</v>
      </c>
      <c r="F196" s="6">
        <f t="shared" si="7"/>
        <v>720.1108801108802</v>
      </c>
    </row>
    <row r="197" spans="1:6" x14ac:dyDescent="0.3">
      <c r="A197" s="4">
        <f t="shared" ref="A197:A233" si="8">+A196+1</f>
        <v>1974</v>
      </c>
      <c r="B197" s="7"/>
      <c r="C197" s="7">
        <v>36.299999999999997</v>
      </c>
      <c r="D197" s="7">
        <f t="shared" si="5"/>
        <v>161.33333333333331</v>
      </c>
      <c r="E197" s="6">
        <f t="shared" si="6"/>
        <v>161.33333333333331</v>
      </c>
      <c r="F197" s="6">
        <f t="shared" si="7"/>
        <v>702.68884268884256</v>
      </c>
    </row>
    <row r="198" spans="1:6" x14ac:dyDescent="0.3">
      <c r="A198" s="4">
        <f t="shared" si="8"/>
        <v>1975</v>
      </c>
      <c r="B198" s="7"/>
      <c r="C198" s="7">
        <v>37.6</v>
      </c>
      <c r="D198" s="7">
        <f t="shared" si="5"/>
        <v>167.11111111111111</v>
      </c>
      <c r="E198" s="6">
        <f t="shared" si="6"/>
        <v>167.11111111111111</v>
      </c>
      <c r="F198" s="6">
        <f t="shared" si="7"/>
        <v>727.85400785400793</v>
      </c>
    </row>
    <row r="199" spans="1:6" x14ac:dyDescent="0.3">
      <c r="A199" s="4">
        <f t="shared" si="8"/>
        <v>1976</v>
      </c>
      <c r="B199" s="7"/>
      <c r="C199" s="7">
        <v>39.6</v>
      </c>
      <c r="D199" s="7">
        <f t="shared" si="5"/>
        <v>176</v>
      </c>
      <c r="E199" s="6">
        <f t="shared" si="6"/>
        <v>176</v>
      </c>
      <c r="F199" s="6">
        <f t="shared" si="7"/>
        <v>766.56964656964647</v>
      </c>
    </row>
    <row r="200" spans="1:6" x14ac:dyDescent="0.3">
      <c r="A200" s="4">
        <f t="shared" si="8"/>
        <v>1977</v>
      </c>
      <c r="B200" s="7"/>
      <c r="C200" s="7">
        <v>41.1</v>
      </c>
      <c r="D200" s="7">
        <f t="shared" si="5"/>
        <v>182.66666666666666</v>
      </c>
      <c r="E200" s="6">
        <f t="shared" si="6"/>
        <v>182.66666666666666</v>
      </c>
      <c r="F200" s="6">
        <f t="shared" si="7"/>
        <v>795.60637560637542</v>
      </c>
    </row>
    <row r="201" spans="1:6" x14ac:dyDescent="0.3">
      <c r="A201" s="4">
        <f t="shared" si="8"/>
        <v>1978</v>
      </c>
      <c r="B201" s="7"/>
      <c r="C201" s="7">
        <v>41.5</v>
      </c>
      <c r="D201" s="7">
        <f t="shared" si="5"/>
        <v>184.44444444444446</v>
      </c>
      <c r="E201" s="6">
        <f t="shared" si="6"/>
        <v>184.44444444444446</v>
      </c>
      <c r="F201" s="6">
        <f t="shared" si="7"/>
        <v>803.34950334950327</v>
      </c>
    </row>
    <row r="202" spans="1:6" x14ac:dyDescent="0.3">
      <c r="A202" s="4">
        <f t="shared" si="8"/>
        <v>1979</v>
      </c>
      <c r="B202" s="7"/>
      <c r="C202" s="7">
        <v>42</v>
      </c>
      <c r="D202" s="7">
        <f t="shared" si="5"/>
        <v>186.66666666666666</v>
      </c>
      <c r="E202" s="6">
        <f t="shared" si="6"/>
        <v>186.66666666666666</v>
      </c>
      <c r="F202" s="6">
        <f t="shared" si="7"/>
        <v>813.02841302841284</v>
      </c>
    </row>
    <row r="203" spans="1:6" x14ac:dyDescent="0.3">
      <c r="A203" s="4">
        <f t="shared" si="8"/>
        <v>1980</v>
      </c>
      <c r="B203" s="7"/>
      <c r="C203" s="7">
        <v>41.7</v>
      </c>
      <c r="D203" s="7">
        <f t="shared" si="5"/>
        <v>185.33333333333334</v>
      </c>
      <c r="E203" s="6">
        <f t="shared" si="6"/>
        <v>185.33333333333334</v>
      </c>
      <c r="F203" s="6">
        <f t="shared" si="7"/>
        <v>807.2210672210673</v>
      </c>
    </row>
    <row r="204" spans="1:6" x14ac:dyDescent="0.3">
      <c r="A204" s="4">
        <f t="shared" si="8"/>
        <v>1981</v>
      </c>
      <c r="B204" s="7"/>
      <c r="C204" s="7">
        <v>44</v>
      </c>
      <c r="D204" s="7">
        <f t="shared" si="5"/>
        <v>195.55555555555554</v>
      </c>
      <c r="E204" s="6">
        <f t="shared" si="6"/>
        <v>195.55555555555554</v>
      </c>
      <c r="F204" s="6">
        <f t="shared" si="7"/>
        <v>851.7440517440516</v>
      </c>
    </row>
    <row r="205" spans="1:6" x14ac:dyDescent="0.3">
      <c r="A205" s="4">
        <f t="shared" si="8"/>
        <v>1982</v>
      </c>
      <c r="B205" s="7"/>
      <c r="C205" s="7">
        <v>44.4</v>
      </c>
      <c r="D205" s="7">
        <f t="shared" si="5"/>
        <v>197.33333333333334</v>
      </c>
      <c r="E205" s="6">
        <f t="shared" si="6"/>
        <v>197.33333333333334</v>
      </c>
      <c r="F205" s="6">
        <f t="shared" si="7"/>
        <v>859.48717948717956</v>
      </c>
    </row>
    <row r="206" spans="1:6" x14ac:dyDescent="0.3">
      <c r="A206" s="4">
        <f t="shared" si="8"/>
        <v>1983</v>
      </c>
      <c r="B206" s="7"/>
      <c r="C206" s="7">
        <v>47.5</v>
      </c>
      <c r="D206" s="7">
        <f t="shared" si="5"/>
        <v>211.11111111111111</v>
      </c>
      <c r="E206" s="6">
        <f t="shared" si="6"/>
        <v>211.11111111111111</v>
      </c>
      <c r="F206" s="6">
        <f t="shared" si="7"/>
        <v>919.49641949641955</v>
      </c>
    </row>
    <row r="207" spans="1:6" x14ac:dyDescent="0.3">
      <c r="A207" s="4">
        <f t="shared" si="8"/>
        <v>1984</v>
      </c>
      <c r="B207" s="7"/>
      <c r="C207" s="7">
        <v>48.8</v>
      </c>
      <c r="D207" s="7">
        <f t="shared" si="5"/>
        <v>216.88888888888889</v>
      </c>
      <c r="E207" s="6">
        <f t="shared" si="6"/>
        <v>216.88888888888889</v>
      </c>
      <c r="F207" s="6">
        <f t="shared" si="7"/>
        <v>944.66158466158447</v>
      </c>
    </row>
    <row r="208" spans="1:6" x14ac:dyDescent="0.3">
      <c r="A208" s="4">
        <f t="shared" si="8"/>
        <v>1985</v>
      </c>
      <c r="B208" s="7"/>
      <c r="C208" s="7">
        <v>50.6</v>
      </c>
      <c r="D208" s="7">
        <f t="shared" si="5"/>
        <v>224.88888888888889</v>
      </c>
      <c r="E208" s="6">
        <f t="shared" si="6"/>
        <v>224.88888888888889</v>
      </c>
      <c r="F208" s="6">
        <f t="shared" si="7"/>
        <v>979.50565950565931</v>
      </c>
    </row>
    <row r="209" spans="1:6" x14ac:dyDescent="0.3">
      <c r="A209" s="4">
        <f t="shared" si="8"/>
        <v>1986</v>
      </c>
      <c r="B209" s="7"/>
      <c r="C209" s="7">
        <v>51.4</v>
      </c>
      <c r="D209" s="7">
        <f t="shared" si="5"/>
        <v>228.44444444444446</v>
      </c>
      <c r="E209" s="6">
        <f t="shared" si="6"/>
        <v>228.44444444444446</v>
      </c>
      <c r="F209" s="6">
        <f t="shared" si="7"/>
        <v>994.991914991915</v>
      </c>
    </row>
    <row r="210" spans="1:6" x14ac:dyDescent="0.3">
      <c r="A210" s="4">
        <f t="shared" si="8"/>
        <v>1987</v>
      </c>
      <c r="B210" s="7"/>
      <c r="C210" s="7">
        <v>55</v>
      </c>
      <c r="D210" s="7">
        <f t="shared" si="5"/>
        <v>244.44444444444446</v>
      </c>
      <c r="E210" s="6">
        <f t="shared" si="6"/>
        <v>244.44444444444446</v>
      </c>
      <c r="F210" s="6">
        <f t="shared" si="7"/>
        <v>1064.6800646800646</v>
      </c>
    </row>
    <row r="211" spans="1:6" x14ac:dyDescent="0.3">
      <c r="A211" s="4">
        <f t="shared" si="8"/>
        <v>1988</v>
      </c>
      <c r="B211" s="7"/>
      <c r="C211" s="7">
        <v>57.1</v>
      </c>
      <c r="D211" s="7">
        <f t="shared" si="5"/>
        <v>253.77777777777777</v>
      </c>
      <c r="E211" s="6">
        <f t="shared" si="6"/>
        <v>253.77777777777777</v>
      </c>
      <c r="F211" s="6">
        <f t="shared" si="7"/>
        <v>1105.3314853314853</v>
      </c>
    </row>
    <row r="212" spans="1:6" x14ac:dyDescent="0.3">
      <c r="A212" s="4">
        <f t="shared" si="8"/>
        <v>1989</v>
      </c>
      <c r="B212" s="7"/>
      <c r="C212" s="7">
        <v>57.4</v>
      </c>
      <c r="D212" s="7">
        <f t="shared" si="5"/>
        <v>255.11111111111111</v>
      </c>
      <c r="E212" s="6">
        <f t="shared" si="6"/>
        <v>255.11111111111111</v>
      </c>
      <c r="F212" s="6">
        <f t="shared" si="7"/>
        <v>1111.1388311388312</v>
      </c>
    </row>
    <row r="213" spans="1:6" x14ac:dyDescent="0.3">
      <c r="A213" s="4">
        <f t="shared" si="8"/>
        <v>1990</v>
      </c>
      <c r="B213" s="7"/>
      <c r="C213" s="7">
        <v>58.1</v>
      </c>
      <c r="D213" s="7">
        <f t="shared" si="5"/>
        <v>258.22222222222223</v>
      </c>
      <c r="E213" s="6">
        <f t="shared" si="6"/>
        <v>258.22222222222223</v>
      </c>
      <c r="F213" s="6">
        <f t="shared" si="7"/>
        <v>1124.6893046893047</v>
      </c>
    </row>
    <row r="214" spans="1:6" x14ac:dyDescent="0.3">
      <c r="A214" s="4">
        <f t="shared" si="8"/>
        <v>1991</v>
      </c>
      <c r="B214" s="7"/>
      <c r="C214" s="7">
        <v>59.7</v>
      </c>
      <c r="D214" s="7">
        <f t="shared" si="5"/>
        <v>265.33333333333331</v>
      </c>
      <c r="E214" s="6">
        <f t="shared" si="6"/>
        <v>265.33333333333331</v>
      </c>
      <c r="F214" s="6">
        <f t="shared" si="7"/>
        <v>1155.6618156618156</v>
      </c>
    </row>
    <row r="215" spans="1:6" x14ac:dyDescent="0.3">
      <c r="A215" s="4">
        <f t="shared" si="8"/>
        <v>1992</v>
      </c>
      <c r="B215" s="7"/>
      <c r="C215" s="7">
        <v>62</v>
      </c>
      <c r="D215" s="7">
        <f t="shared" si="5"/>
        <v>275.55555555555554</v>
      </c>
      <c r="E215" s="6">
        <f t="shared" si="6"/>
        <v>275.55555555555554</v>
      </c>
      <c r="F215" s="6">
        <f t="shared" si="7"/>
        <v>1200.1848001848</v>
      </c>
    </row>
    <row r="216" spans="1:6" x14ac:dyDescent="0.3">
      <c r="A216" s="4">
        <f t="shared" si="8"/>
        <v>1993</v>
      </c>
      <c r="B216" s="7"/>
      <c r="C216" s="7">
        <v>63.6</v>
      </c>
      <c r="D216" s="7">
        <f t="shared" si="5"/>
        <v>282.66666666666669</v>
      </c>
      <c r="E216" s="6">
        <f t="shared" si="6"/>
        <v>282.66666666666669</v>
      </c>
      <c r="F216" s="6">
        <f t="shared" si="7"/>
        <v>1231.1573111573111</v>
      </c>
    </row>
    <row r="217" spans="1:6" x14ac:dyDescent="0.3">
      <c r="A217" s="4">
        <f t="shared" si="8"/>
        <v>1994</v>
      </c>
      <c r="B217" s="7"/>
      <c r="C217" s="7">
        <v>66.3</v>
      </c>
      <c r="D217" s="7">
        <f t="shared" si="5"/>
        <v>294.66666666666669</v>
      </c>
      <c r="E217" s="6">
        <f t="shared" si="6"/>
        <v>294.66666666666669</v>
      </c>
      <c r="F217" s="6">
        <f t="shared" si="7"/>
        <v>1283.4234234234234</v>
      </c>
    </row>
    <row r="218" spans="1:6" x14ac:dyDescent="0.3">
      <c r="A218" s="4">
        <f t="shared" si="8"/>
        <v>1995</v>
      </c>
      <c r="B218" s="7"/>
      <c r="C218" s="7">
        <v>68.5</v>
      </c>
      <c r="D218" s="7">
        <f t="shared" si="5"/>
        <v>304.44444444444446</v>
      </c>
      <c r="E218" s="6">
        <f t="shared" si="6"/>
        <v>304.44444444444446</v>
      </c>
      <c r="F218" s="6">
        <f t="shared" si="7"/>
        <v>1326.0106260106259</v>
      </c>
    </row>
    <row r="219" spans="1:6" x14ac:dyDescent="0.3">
      <c r="A219" s="4">
        <f t="shared" si="8"/>
        <v>1996</v>
      </c>
      <c r="B219" s="7"/>
      <c r="C219" s="7">
        <v>70.900000000000006</v>
      </c>
      <c r="D219" s="7">
        <f t="shared" si="5"/>
        <v>315.11111111111114</v>
      </c>
      <c r="E219" s="6">
        <f t="shared" si="6"/>
        <v>315.11111111111114</v>
      </c>
      <c r="F219" s="6">
        <f t="shared" si="7"/>
        <v>1372.4693924693925</v>
      </c>
    </row>
    <row r="220" spans="1:6" x14ac:dyDescent="0.3">
      <c r="A220" s="4">
        <f t="shared" si="8"/>
        <v>1997</v>
      </c>
      <c r="B220" s="7"/>
      <c r="C220" s="7">
        <v>73.8</v>
      </c>
      <c r="D220" s="7">
        <f t="shared" si="5"/>
        <v>328</v>
      </c>
      <c r="E220" s="6">
        <f t="shared" si="6"/>
        <v>328</v>
      </c>
      <c r="F220" s="6">
        <f t="shared" si="7"/>
        <v>1428.6070686070684</v>
      </c>
    </row>
    <row r="221" spans="1:6" x14ac:dyDescent="0.3">
      <c r="A221" s="4">
        <f t="shared" si="8"/>
        <v>1998</v>
      </c>
      <c r="B221" s="7"/>
      <c r="C221" s="7">
        <v>77.7</v>
      </c>
      <c r="D221" s="7">
        <f t="shared" si="5"/>
        <v>345.33333333333331</v>
      </c>
      <c r="E221" s="6">
        <f t="shared" si="6"/>
        <v>345.33333333333331</v>
      </c>
      <c r="F221" s="6">
        <f t="shared" si="7"/>
        <v>1504.1025641025637</v>
      </c>
    </row>
    <row r="222" spans="1:6" x14ac:dyDescent="0.3">
      <c r="A222" s="4">
        <f t="shared" si="8"/>
        <v>1999</v>
      </c>
      <c r="C222">
        <v>82.4</v>
      </c>
      <c r="D222" s="7">
        <f t="shared" si="5"/>
        <v>366.22222222222223</v>
      </c>
      <c r="E222" s="6">
        <f t="shared" si="6"/>
        <v>366.22222222222223</v>
      </c>
      <c r="F222" s="6">
        <f t="shared" si="7"/>
        <v>1595.0843150843152</v>
      </c>
    </row>
    <row r="223" spans="1:6" x14ac:dyDescent="0.3">
      <c r="A223" s="4">
        <f t="shared" si="8"/>
        <v>2000</v>
      </c>
      <c r="C223">
        <v>88.8</v>
      </c>
      <c r="D223" s="7">
        <f t="shared" si="5"/>
        <v>394.66666666666669</v>
      </c>
      <c r="E223" s="6">
        <f t="shared" si="6"/>
        <v>394.66666666666669</v>
      </c>
      <c r="F223" s="6">
        <f t="shared" si="7"/>
        <v>1718.9743589743591</v>
      </c>
    </row>
    <row r="224" spans="1:6" x14ac:dyDescent="0.3">
      <c r="A224" s="4">
        <f t="shared" si="8"/>
        <v>2001</v>
      </c>
      <c r="C224">
        <v>90.7</v>
      </c>
      <c r="D224" s="7">
        <f t="shared" si="5"/>
        <v>403.11111111111109</v>
      </c>
      <c r="E224" s="6">
        <f t="shared" si="6"/>
        <v>403.11111111111109</v>
      </c>
      <c r="F224" s="6">
        <f t="shared" si="7"/>
        <v>1755.7542157542155</v>
      </c>
    </row>
    <row r="225" spans="1:6" x14ac:dyDescent="0.3">
      <c r="A225" s="4">
        <f t="shared" si="8"/>
        <v>2002</v>
      </c>
      <c r="C225">
        <v>100</v>
      </c>
      <c r="D225" s="7">
        <f t="shared" si="5"/>
        <v>444.44444444444446</v>
      </c>
      <c r="E225" s="6">
        <f t="shared" si="6"/>
        <v>444.44444444444446</v>
      </c>
      <c r="F225" s="6">
        <f t="shared" si="7"/>
        <v>1935.7819357819355</v>
      </c>
    </row>
    <row r="226" spans="1:6" x14ac:dyDescent="0.3">
      <c r="A226" s="4">
        <f t="shared" si="8"/>
        <v>2003</v>
      </c>
      <c r="C226">
        <v>108.2</v>
      </c>
      <c r="D226" s="7">
        <f t="shared" si="5"/>
        <v>480.88888888888891</v>
      </c>
      <c r="E226" s="6">
        <f t="shared" si="6"/>
        <v>480.88888888888891</v>
      </c>
      <c r="F226" s="6">
        <f t="shared" si="7"/>
        <v>2094.5160545160543</v>
      </c>
    </row>
    <row r="227" spans="1:6" x14ac:dyDescent="0.3">
      <c r="A227" s="4">
        <f t="shared" si="8"/>
        <v>2004</v>
      </c>
      <c r="C227">
        <v>117.5</v>
      </c>
      <c r="D227" s="7">
        <f t="shared" si="5"/>
        <v>522.22222222222217</v>
      </c>
      <c r="E227" s="6">
        <f t="shared" si="6"/>
        <v>522.22222222222217</v>
      </c>
      <c r="F227" s="6">
        <f t="shared" si="7"/>
        <v>2274.5437745437744</v>
      </c>
    </row>
    <row r="228" spans="1:6" x14ac:dyDescent="0.3">
      <c r="A228" s="4">
        <f t="shared" si="8"/>
        <v>2005</v>
      </c>
      <c r="C228">
        <v>122.8</v>
      </c>
      <c r="D228" s="7">
        <f t="shared" si="5"/>
        <v>545.77777777777783</v>
      </c>
      <c r="E228" s="6">
        <f t="shared" si="6"/>
        <v>545.77777777777783</v>
      </c>
      <c r="F228" s="6">
        <f t="shared" si="7"/>
        <v>2377.1402171402169</v>
      </c>
    </row>
    <row r="229" spans="1:6" x14ac:dyDescent="0.3">
      <c r="A229" s="4">
        <f t="shared" si="8"/>
        <v>2006</v>
      </c>
      <c r="C229">
        <v>127.2</v>
      </c>
      <c r="D229" s="7">
        <f t="shared" si="5"/>
        <v>565.33333333333337</v>
      </c>
      <c r="E229" s="6">
        <f t="shared" si="6"/>
        <v>565.33333333333337</v>
      </c>
      <c r="F229" s="6">
        <f t="shared" si="7"/>
        <v>2462.3146223146223</v>
      </c>
    </row>
    <row r="230" spans="1:6" x14ac:dyDescent="0.3">
      <c r="A230" s="4">
        <f t="shared" si="8"/>
        <v>2007</v>
      </c>
      <c r="C230">
        <v>135.19999999999999</v>
      </c>
      <c r="D230" s="7">
        <f t="shared" si="5"/>
        <v>600.8888888888888</v>
      </c>
      <c r="E230" s="6">
        <f t="shared" si="6"/>
        <v>600.8888888888888</v>
      </c>
      <c r="F230" s="6">
        <f t="shared" si="7"/>
        <v>2617.1771771771769</v>
      </c>
    </row>
    <row r="231" spans="1:6" x14ac:dyDescent="0.3">
      <c r="A231" s="4">
        <f t="shared" si="8"/>
        <v>2008</v>
      </c>
      <c r="C231">
        <v>135.69999999999999</v>
      </c>
      <c r="D231" s="7">
        <f t="shared" si="5"/>
        <v>603.11111111111109</v>
      </c>
      <c r="E231" s="6">
        <f t="shared" si="6"/>
        <v>603.11111111111109</v>
      </c>
      <c r="F231" s="6">
        <f t="shared" si="7"/>
        <v>2626.8560868560867</v>
      </c>
    </row>
    <row r="232" spans="1:6" x14ac:dyDescent="0.3">
      <c r="A232" s="4">
        <f t="shared" si="8"/>
        <v>2009</v>
      </c>
      <c r="C232">
        <v>146.19999999999999</v>
      </c>
      <c r="D232" s="7">
        <f t="shared" si="5"/>
        <v>649.77777777777771</v>
      </c>
      <c r="E232" s="6">
        <f t="shared" si="6"/>
        <v>649.77777777777771</v>
      </c>
      <c r="F232" s="6">
        <f t="shared" si="7"/>
        <v>2830.1131901131898</v>
      </c>
    </row>
    <row r="233" spans="1:6" x14ac:dyDescent="0.3">
      <c r="A233" s="4">
        <f t="shared" si="8"/>
        <v>2010</v>
      </c>
      <c r="C233" s="7"/>
      <c r="D233" s="7"/>
      <c r="E233" s="6"/>
      <c r="F233" s="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A</dc:creator>
  <cp:lastModifiedBy>Nick A</cp:lastModifiedBy>
  <dcterms:created xsi:type="dcterms:W3CDTF">2025-10-02T01:00:06Z</dcterms:created>
  <dcterms:modified xsi:type="dcterms:W3CDTF">2025-10-02T03:24:15Z</dcterms:modified>
</cp:coreProperties>
</file>
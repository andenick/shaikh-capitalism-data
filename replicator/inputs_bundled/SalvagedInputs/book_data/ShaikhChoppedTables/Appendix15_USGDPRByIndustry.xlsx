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69" documentId="8_{637DD7FE-372E-4242-A119-3630636330F8}" xr6:coauthVersionLast="47" xr6:coauthVersionMax="47" xr10:uidLastSave="{BE245E52-FC18-4AE0-A490-ED2826D3D17A}"/>
  <bookViews>
    <workbookView xWindow="2205" yWindow="1035" windowWidth="21600" windowHeight="13215" xr2:uid="{523AAA1B-0F95-47BC-A4FC-403DBBDD0F0D}"/>
  </bookViews>
  <sheets>
    <sheet name="Data" sheetId="1" r:id="rId1"/>
    <sheet name="Foot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4" i="1"/>
</calcChain>
</file>

<file path=xl/sharedStrings.xml><?xml version="1.0" encoding="utf-8"?>
<sst xmlns="http://schemas.openxmlformats.org/spreadsheetml/2006/main" count="82" uniqueCount="27">
  <si>
    <t>Chain-Type Quantity Indexes for Gross Output by Industry_2005=100_BEA_2012.11.13</t>
  </si>
  <si>
    <t>Year</t>
  </si>
  <si>
    <t>Private industries</t>
  </si>
  <si>
    <t>All industries</t>
  </si>
  <si>
    <t>Agriculture, forestry, fishing, and hunting</t>
  </si>
  <si>
    <t>Mining</t>
  </si>
  <si>
    <t>Utilities</t>
  </si>
  <si>
    <t>Construction</t>
  </si>
  <si>
    <t>Durable Mfg. goods</t>
  </si>
  <si>
    <t>Nondurable Mfg. goods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</si>
  <si>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</si>
  <si>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</si>
  <si>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</si>
  <si>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</si>
  <si>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</si>
  <si>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</si>
  <si>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</si>
  <si>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</si>
  <si>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</si>
  <si>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Federal government</t>
  </si>
  <si>
    <t>State and local government</t>
  </si>
  <si>
    <t>1. Consists of agriculture, forestry, fishing, and hunting; mining; construction; and manufacturing.</t>
  </si>
  <si>
    <t>Legend / Footnotes:</t>
  </si>
  <si>
    <t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</si>
  <si>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>3. Consists of computer and electronic products; publishing industries (includes software); information and data processing services; and computer systems design and related services.</t>
  </si>
  <si>
    <t>Calculated Growth Rate</t>
  </si>
  <si>
    <t>BEA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</si>
</sst>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164" fontId="2" fillId="0" borderId="0" xfId="0" applyNumberFormat="1" applyFont="1"/>
  </cellXfs>
  <cellStyles count="2">
    <cellStyle name="Normal" xfId="0" builtinId="0"/>
    <cellStyle name="Normal 2" xfId="1" xr:uid="{7A5BDDDF-80EC-45EE-81D8-3B7B1B76B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10E0-6DC1-448D-844D-5F06B815C427}">
  <dimension ref="A1:AM10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39" x14ac:dyDescent="0.25">
      <c r="A1" t="s">
        <v>0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26</v>
      </c>
      <c r="I1" t="s">
        <v>26</v>
      </c>
      <c r="J1" t="s">
        <v>26</v>
      </c>
      <c r="K1" t="s">
        <v>26</v>
      </c>
      <c r="L1" t="s">
        <v>26</v>
      </c>
      <c r="M1" t="s">
        <v>26</v>
      </c>
      <c r="N1" t="s">
        <v>26</v>
      </c>
      <c r="O1" t="s">
        <v>26</v>
      </c>
      <c r="P1" t="s">
        <v>26</v>
      </c>
      <c r="Q1" t="s">
        <v>26</v>
      </c>
      <c r="R1" t="s">
        <v>26</v>
      </c>
      <c r="S1" t="s">
        <v>26</v>
      </c>
      <c r="T1" t="s">
        <v>26</v>
      </c>
      <c r="U1" t="s">
        <v>25</v>
      </c>
      <c r="V1" t="s">
        <v>25</v>
      </c>
      <c r="W1" t="s">
        <v>25</v>
      </c>
      <c r="X1" t="s">
        <v>25</v>
      </c>
      <c r="Y1" t="s">
        <v>25</v>
      </c>
      <c r="Z1" t="s">
        <v>25</v>
      </c>
      <c r="AA1" t="s">
        <v>25</v>
      </c>
      <c r="AB1" t="s">
        <v>25</v>
      </c>
      <c r="AC1" t="s">
        <v>25</v>
      </c>
      <c r="AD1" t="s">
        <v>25</v>
      </c>
      <c r="AE1" t="s">
        <v>25</v>
      </c>
      <c r="AF1" t="s">
        <v>25</v>
      </c>
      <c r="AG1" t="s">
        <v>25</v>
      </c>
      <c r="AH1" t="s">
        <v>25</v>
      </c>
      <c r="AI1" t="s">
        <v>25</v>
      </c>
      <c r="AJ1" t="s">
        <v>25</v>
      </c>
      <c r="AK1" t="s">
        <v>25</v>
      </c>
      <c r="AL1" t="s">
        <v>25</v>
      </c>
      <c r="AM1" t="s">
        <v>25</v>
      </c>
    </row>
    <row r="2" spans="1:39" x14ac:dyDescent="0.25">
      <c r="A2" t="s">
        <v>1</v>
      </c>
      <c r="B2" t="s">
        <v>3</v>
      </c>
      <c r="C2" t="s">
        <v>2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3</v>
      </c>
      <c r="V2" t="s">
        <v>2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</row>
    <row r="3" spans="1:39" x14ac:dyDescent="0.25">
      <c r="A3">
        <v>1987</v>
      </c>
      <c r="B3">
        <v>57.119</v>
      </c>
      <c r="C3">
        <v>55.348999999999997</v>
      </c>
      <c r="D3">
        <v>74.328000000000003</v>
      </c>
      <c r="E3">
        <v>88.792000000000002</v>
      </c>
      <c r="F3">
        <v>78.673000000000002</v>
      </c>
      <c r="G3">
        <v>75.100999999999999</v>
      </c>
      <c r="H3">
        <v>53.213000000000001</v>
      </c>
      <c r="I3">
        <v>80.825999999999993</v>
      </c>
      <c r="J3">
        <v>42.826999999999998</v>
      </c>
      <c r="K3">
        <v>52.237000000000002</v>
      </c>
      <c r="L3">
        <v>57.820999999999998</v>
      </c>
      <c r="M3">
        <v>36.707999999999998</v>
      </c>
      <c r="N3">
        <v>48.406999999999996</v>
      </c>
      <c r="O3">
        <v>45.116</v>
      </c>
      <c r="P3">
        <v>55.636000000000003</v>
      </c>
      <c r="Q3">
        <v>57.606999999999999</v>
      </c>
      <c r="R3">
        <v>66.855000000000004</v>
      </c>
      <c r="S3">
        <v>88.698999999999998</v>
      </c>
      <c r="T3">
        <v>65.180000000000007</v>
      </c>
    </row>
    <row r="4" spans="1:39" x14ac:dyDescent="0.25">
      <c r="A4">
        <v>1988</v>
      </c>
      <c r="B4">
        <v>59.813000000000002</v>
      </c>
      <c r="C4">
        <v>58.180999999999997</v>
      </c>
      <c r="D4">
        <v>71.900999999999996</v>
      </c>
      <c r="E4">
        <v>93.89</v>
      </c>
      <c r="F4">
        <v>82.89</v>
      </c>
      <c r="G4">
        <v>74.858999999999995</v>
      </c>
      <c r="H4">
        <v>56.591000000000001</v>
      </c>
      <c r="I4">
        <v>83.489000000000004</v>
      </c>
      <c r="J4">
        <v>45.377000000000002</v>
      </c>
      <c r="K4">
        <v>55.182000000000002</v>
      </c>
      <c r="L4">
        <v>62.523000000000003</v>
      </c>
      <c r="M4">
        <v>38.622999999999998</v>
      </c>
      <c r="N4">
        <v>50.889000000000003</v>
      </c>
      <c r="O4">
        <v>48.984999999999999</v>
      </c>
      <c r="P4">
        <v>59.064999999999998</v>
      </c>
      <c r="Q4">
        <v>61.34</v>
      </c>
      <c r="R4">
        <v>71.153000000000006</v>
      </c>
      <c r="S4">
        <v>88.552999999999997</v>
      </c>
      <c r="T4">
        <v>67.198999999999998</v>
      </c>
      <c r="U4" s="3">
        <f>+B4/B3-1</f>
        <v>4.7164691258600566E-2</v>
      </c>
      <c r="V4" s="3">
        <f t="shared" ref="V4:AM18" si="0">+C4/C3-1</f>
        <v>5.116623606569215E-2</v>
      </c>
      <c r="W4" s="3">
        <f t="shared" si="0"/>
        <v>-3.265256700032293E-2</v>
      </c>
      <c r="X4" s="3">
        <f t="shared" si="0"/>
        <v>5.7415082439859377E-2</v>
      </c>
      <c r="Y4" s="3">
        <f t="shared" si="0"/>
        <v>5.3601616818984787E-2</v>
      </c>
      <c r="Z4" s="3">
        <f t="shared" si="0"/>
        <v>-3.2223272659486213E-3</v>
      </c>
      <c r="AA4" s="3">
        <f t="shared" si="0"/>
        <v>6.3480728393437769E-2</v>
      </c>
      <c r="AB4" s="3">
        <f t="shared" si="0"/>
        <v>3.294731893202707E-2</v>
      </c>
      <c r="AC4" s="3">
        <f t="shared" si="0"/>
        <v>5.9541877787377295E-2</v>
      </c>
      <c r="AD4" s="3">
        <f t="shared" si="0"/>
        <v>5.6377663342075612E-2</v>
      </c>
      <c r="AE4" s="3">
        <f t="shared" si="0"/>
        <v>8.1319935663513254E-2</v>
      </c>
      <c r="AF4" s="3">
        <f t="shared" si="0"/>
        <v>5.2168464639860579E-2</v>
      </c>
      <c r="AG4" s="3">
        <f t="shared" si="0"/>
        <v>5.1273576135683063E-2</v>
      </c>
      <c r="AH4" s="3">
        <f t="shared" si="0"/>
        <v>8.5756716020923829E-2</v>
      </c>
      <c r="AI4" s="3">
        <f t="shared" si="0"/>
        <v>6.1632755769645442E-2</v>
      </c>
      <c r="AJ4" s="3">
        <f t="shared" si="0"/>
        <v>6.4801152637700365E-2</v>
      </c>
      <c r="AK4" s="3">
        <f t="shared" si="0"/>
        <v>6.4288385311495055E-2</v>
      </c>
      <c r="AL4" s="3">
        <f t="shared" si="0"/>
        <v>-1.6460163023258589E-3</v>
      </c>
      <c r="AM4" s="3">
        <f t="shared" si="0"/>
        <v>3.0975759435409422E-2</v>
      </c>
    </row>
    <row r="5" spans="1:39" x14ac:dyDescent="0.25">
      <c r="A5">
        <v>1989</v>
      </c>
      <c r="B5">
        <v>61.328000000000003</v>
      </c>
      <c r="C5">
        <v>59.654000000000003</v>
      </c>
      <c r="D5">
        <v>75.445999999999998</v>
      </c>
      <c r="E5">
        <v>91.316000000000003</v>
      </c>
      <c r="F5">
        <v>86.951999999999998</v>
      </c>
      <c r="G5">
        <v>74.620999999999995</v>
      </c>
      <c r="H5">
        <v>57.165999999999997</v>
      </c>
      <c r="I5">
        <v>84.802000000000007</v>
      </c>
      <c r="J5">
        <v>46.639000000000003</v>
      </c>
      <c r="K5">
        <v>56.838000000000001</v>
      </c>
      <c r="L5">
        <v>64.685000000000002</v>
      </c>
      <c r="M5">
        <v>39.96</v>
      </c>
      <c r="N5">
        <v>52.146999999999998</v>
      </c>
      <c r="O5">
        <v>52.493000000000002</v>
      </c>
      <c r="P5">
        <v>61.146999999999998</v>
      </c>
      <c r="Q5">
        <v>62.511000000000003</v>
      </c>
      <c r="R5">
        <v>74.406999999999996</v>
      </c>
      <c r="S5">
        <v>89.980999999999995</v>
      </c>
      <c r="T5">
        <v>69.344999999999999</v>
      </c>
      <c r="U5" s="3">
        <f t="shared" ref="U5:U27" si="1">+B5/B4-1</f>
        <v>2.5328941868824506E-2</v>
      </c>
      <c r="V5" s="3">
        <f t="shared" si="0"/>
        <v>2.531754352795601E-2</v>
      </c>
      <c r="W5" s="3">
        <f t="shared" si="0"/>
        <v>4.9303903979082353E-2</v>
      </c>
      <c r="X5" s="3">
        <f t="shared" si="0"/>
        <v>-2.7415060176802619E-2</v>
      </c>
      <c r="Y5" s="3">
        <f t="shared" si="0"/>
        <v>4.9004705030763596E-2</v>
      </c>
      <c r="Z5" s="3">
        <f t="shared" si="0"/>
        <v>-3.1793104369548519E-3</v>
      </c>
      <c r="AA5" s="3">
        <f t="shared" si="0"/>
        <v>1.0160626247989857E-2</v>
      </c>
      <c r="AB5" s="3">
        <f t="shared" si="0"/>
        <v>1.5726622668854606E-2</v>
      </c>
      <c r="AC5" s="3">
        <f t="shared" si="0"/>
        <v>2.7811446327434597E-2</v>
      </c>
      <c r="AD5" s="3">
        <f t="shared" si="0"/>
        <v>3.0009785799717248E-2</v>
      </c>
      <c r="AE5" s="3">
        <f t="shared" si="0"/>
        <v>3.4579274826863626E-2</v>
      </c>
      <c r="AF5" s="3">
        <f t="shared" si="0"/>
        <v>3.4616679180799137E-2</v>
      </c>
      <c r="AG5" s="3">
        <f t="shared" si="0"/>
        <v>2.4720470042641773E-2</v>
      </c>
      <c r="AH5" s="3">
        <f t="shared" si="0"/>
        <v>7.1613759314075764E-2</v>
      </c>
      <c r="AI5" s="3">
        <f t="shared" si="0"/>
        <v>3.5249301616862683E-2</v>
      </c>
      <c r="AJ5" s="3">
        <f t="shared" si="0"/>
        <v>1.9090316269970709E-2</v>
      </c>
      <c r="AK5" s="3">
        <f t="shared" si="0"/>
        <v>4.5732435737073418E-2</v>
      </c>
      <c r="AL5" s="3">
        <f t="shared" si="0"/>
        <v>1.6125935880207276E-2</v>
      </c>
      <c r="AM5" s="3">
        <f t="shared" si="0"/>
        <v>3.1934999032723788E-2</v>
      </c>
    </row>
    <row r="6" spans="1:39" x14ac:dyDescent="0.25">
      <c r="A6">
        <v>1990</v>
      </c>
      <c r="B6">
        <v>62.408999999999999</v>
      </c>
      <c r="C6">
        <v>60.651000000000003</v>
      </c>
      <c r="D6">
        <v>78.349000000000004</v>
      </c>
      <c r="E6">
        <v>93.483999999999995</v>
      </c>
      <c r="F6">
        <v>87.561999999999998</v>
      </c>
      <c r="G6">
        <v>73.438999999999993</v>
      </c>
      <c r="H6">
        <v>56.734999999999999</v>
      </c>
      <c r="I6" s="1">
        <v>84.885999999999996</v>
      </c>
      <c r="J6" s="1">
        <v>47.408000000000001</v>
      </c>
      <c r="K6" s="1">
        <v>58.052</v>
      </c>
      <c r="L6" s="1">
        <v>67.182000000000002</v>
      </c>
      <c r="M6" s="1">
        <v>41.281999999999996</v>
      </c>
      <c r="N6" s="1">
        <v>53.28</v>
      </c>
      <c r="O6" s="1">
        <v>54.860999999999997</v>
      </c>
      <c r="P6" s="1">
        <v>64.108999999999995</v>
      </c>
      <c r="Q6" s="1">
        <v>64.846999999999994</v>
      </c>
      <c r="R6" s="1">
        <v>76.063000000000002</v>
      </c>
      <c r="S6" s="1">
        <v>91.775000000000006</v>
      </c>
      <c r="T6" s="1">
        <v>71.251000000000005</v>
      </c>
      <c r="U6" s="3">
        <f t="shared" si="1"/>
        <v>1.7626532741977563E-2</v>
      </c>
      <c r="V6" s="3">
        <f t="shared" si="0"/>
        <v>1.6713045227478407E-2</v>
      </c>
      <c r="W6" s="3">
        <f t="shared" si="0"/>
        <v>3.8477851708506927E-2</v>
      </c>
      <c r="X6" s="3">
        <f t="shared" si="0"/>
        <v>2.3741732007534155E-2</v>
      </c>
      <c r="Y6" s="3">
        <f t="shared" si="0"/>
        <v>7.0153647989694701E-3</v>
      </c>
      <c r="Z6" s="3">
        <f t="shared" si="0"/>
        <v>-1.5840045027539218E-2</v>
      </c>
      <c r="AA6" s="3">
        <f t="shared" si="0"/>
        <v>-7.5394465241577224E-3</v>
      </c>
      <c r="AB6" s="3">
        <f t="shared" si="0"/>
        <v>9.9054267588005729E-4</v>
      </c>
      <c r="AC6" s="3">
        <f t="shared" si="0"/>
        <v>1.6488346662664188E-2</v>
      </c>
      <c r="AD6" s="3">
        <f t="shared" si="0"/>
        <v>2.1358949998240506E-2</v>
      </c>
      <c r="AE6" s="3">
        <f t="shared" si="0"/>
        <v>3.8602458066012257E-2</v>
      </c>
      <c r="AF6" s="3">
        <f t="shared" si="0"/>
        <v>3.3083083083083054E-2</v>
      </c>
      <c r="AG6" s="3">
        <f t="shared" si="0"/>
        <v>2.172704086524635E-2</v>
      </c>
      <c r="AH6" s="3">
        <f t="shared" si="0"/>
        <v>4.5110776674985198E-2</v>
      </c>
      <c r="AI6" s="3">
        <f t="shared" si="0"/>
        <v>4.844064304054152E-2</v>
      </c>
      <c r="AJ6" s="3">
        <f t="shared" si="0"/>
        <v>3.73694229815551E-2</v>
      </c>
      <c r="AK6" s="3">
        <f t="shared" si="0"/>
        <v>2.2255970540406178E-2</v>
      </c>
      <c r="AL6" s="3">
        <f t="shared" si="0"/>
        <v>1.9937542370056072E-2</v>
      </c>
      <c r="AM6" s="3">
        <f t="shared" si="0"/>
        <v>2.7485759607758453E-2</v>
      </c>
    </row>
    <row r="7" spans="1:39" x14ac:dyDescent="0.25">
      <c r="A7">
        <v>1991</v>
      </c>
      <c r="B7">
        <v>61.953000000000003</v>
      </c>
      <c r="C7">
        <v>60.06</v>
      </c>
      <c r="D7">
        <v>79.004000000000005</v>
      </c>
      <c r="E7">
        <v>95.308000000000007</v>
      </c>
      <c r="F7">
        <v>90.956999999999994</v>
      </c>
      <c r="G7">
        <v>67.058000000000007</v>
      </c>
      <c r="H7">
        <v>54.481000000000002</v>
      </c>
      <c r="I7" s="1">
        <v>85.16</v>
      </c>
      <c r="J7" s="1">
        <v>47.527999999999999</v>
      </c>
      <c r="K7" s="1">
        <v>57.427</v>
      </c>
      <c r="L7" s="1">
        <v>67.673000000000002</v>
      </c>
      <c r="M7" s="1">
        <v>41.844999999999999</v>
      </c>
      <c r="N7" s="1">
        <v>53.393000000000001</v>
      </c>
      <c r="O7" s="1">
        <v>53.906999999999996</v>
      </c>
      <c r="P7" s="1">
        <v>65.897999999999996</v>
      </c>
      <c r="Q7" s="1">
        <v>63.835000000000001</v>
      </c>
      <c r="R7" s="1">
        <v>73.36</v>
      </c>
      <c r="S7" s="1">
        <v>91.474000000000004</v>
      </c>
      <c r="T7" s="1">
        <v>72.707999999999998</v>
      </c>
      <c r="U7" s="3">
        <f t="shared" si="1"/>
        <v>-7.3066384656058636E-3</v>
      </c>
      <c r="V7" s="3">
        <f t="shared" si="0"/>
        <v>-9.7442746203689756E-3</v>
      </c>
      <c r="W7" s="3">
        <f t="shared" si="0"/>
        <v>8.3600301216353312E-3</v>
      </c>
      <c r="X7" s="3">
        <f t="shared" si="0"/>
        <v>1.9511360232767228E-2</v>
      </c>
      <c r="Y7" s="3">
        <f t="shared" si="0"/>
        <v>3.8772526895228587E-2</v>
      </c>
      <c r="Z7" s="3">
        <f t="shared" si="0"/>
        <v>-8.6888438023393411E-2</v>
      </c>
      <c r="AA7" s="3">
        <f t="shared" si="0"/>
        <v>-3.9728562615669261E-2</v>
      </c>
      <c r="AB7" s="3">
        <f t="shared" si="0"/>
        <v>3.227858539688544E-3</v>
      </c>
      <c r="AC7" s="3">
        <f t="shared" si="0"/>
        <v>2.5312183597705484E-3</v>
      </c>
      <c r="AD7" s="3">
        <f t="shared" si="0"/>
        <v>-1.0766209605181598E-2</v>
      </c>
      <c r="AE7" s="3">
        <f t="shared" si="0"/>
        <v>7.3085052543835349E-3</v>
      </c>
      <c r="AF7" s="3">
        <f t="shared" si="0"/>
        <v>1.3637905140254869E-2</v>
      </c>
      <c r="AG7" s="3">
        <f t="shared" si="0"/>
        <v>2.1208708708708723E-3</v>
      </c>
      <c r="AH7" s="3">
        <f t="shared" si="0"/>
        <v>-1.7389402307650292E-2</v>
      </c>
      <c r="AI7" s="3">
        <f t="shared" si="0"/>
        <v>2.7905598277932819E-2</v>
      </c>
      <c r="AJ7" s="3">
        <f t="shared" si="0"/>
        <v>-1.5605964809474515E-2</v>
      </c>
      <c r="AK7" s="3">
        <f t="shared" si="0"/>
        <v>-3.5536331725017467E-2</v>
      </c>
      <c r="AL7" s="3">
        <f t="shared" si="0"/>
        <v>-3.2797602833015693E-3</v>
      </c>
      <c r="AM7" s="3">
        <f t="shared" si="0"/>
        <v>2.0448835805813248E-2</v>
      </c>
    </row>
    <row r="8" spans="1:39" x14ac:dyDescent="0.25">
      <c r="A8">
        <v>1992</v>
      </c>
      <c r="B8">
        <v>64.007999999999996</v>
      </c>
      <c r="C8">
        <v>62.268999999999998</v>
      </c>
      <c r="D8">
        <v>83.043999999999997</v>
      </c>
      <c r="E8">
        <v>93.022999999999996</v>
      </c>
      <c r="F8">
        <v>92.626000000000005</v>
      </c>
      <c r="G8">
        <v>69.765000000000001</v>
      </c>
      <c r="H8">
        <v>57.463999999999999</v>
      </c>
      <c r="I8" s="1">
        <v>87.35</v>
      </c>
      <c r="J8" s="1">
        <v>50.652000000000001</v>
      </c>
      <c r="K8" s="1">
        <v>60.091000000000001</v>
      </c>
      <c r="L8" s="1">
        <v>71.08</v>
      </c>
      <c r="M8" s="1">
        <v>43.648000000000003</v>
      </c>
      <c r="N8" s="1">
        <v>54.22</v>
      </c>
      <c r="O8" s="1">
        <v>55.55</v>
      </c>
      <c r="P8" s="1">
        <v>68.683000000000007</v>
      </c>
      <c r="Q8" s="1">
        <v>66.216999999999999</v>
      </c>
      <c r="R8" s="1">
        <v>78.012</v>
      </c>
      <c r="S8" s="1">
        <v>89.831000000000003</v>
      </c>
      <c r="T8" s="1">
        <v>74.412999999999997</v>
      </c>
      <c r="U8" s="3">
        <f t="shared" si="1"/>
        <v>3.3170306522686488E-2</v>
      </c>
      <c r="V8" s="3">
        <f t="shared" si="0"/>
        <v>3.677988677988675E-2</v>
      </c>
      <c r="W8" s="3">
        <f t="shared" si="0"/>
        <v>5.1136651308794301E-2</v>
      </c>
      <c r="X8" s="3">
        <f t="shared" si="0"/>
        <v>-2.397490242162259E-2</v>
      </c>
      <c r="Y8" s="3">
        <f t="shared" si="0"/>
        <v>1.8349329903141198E-2</v>
      </c>
      <c r="Z8" s="3">
        <f t="shared" si="0"/>
        <v>4.0368039607503903E-2</v>
      </c>
      <c r="AA8" s="3">
        <f t="shared" si="0"/>
        <v>5.4753033167526333E-2</v>
      </c>
      <c r="AB8" s="3">
        <f t="shared" si="0"/>
        <v>2.5716298731798926E-2</v>
      </c>
      <c r="AC8" s="3">
        <f t="shared" si="0"/>
        <v>6.5729675138865629E-2</v>
      </c>
      <c r="AD8" s="3">
        <f t="shared" si="0"/>
        <v>4.6389329061242934E-2</v>
      </c>
      <c r="AE8" s="3">
        <f t="shared" si="0"/>
        <v>5.0345041597091855E-2</v>
      </c>
      <c r="AF8" s="3">
        <f t="shared" si="0"/>
        <v>4.308758513561961E-2</v>
      </c>
      <c r="AG8" s="3">
        <f t="shared" si="0"/>
        <v>1.5488921768771258E-2</v>
      </c>
      <c r="AH8" s="3">
        <f t="shared" si="0"/>
        <v>3.0478416532175867E-2</v>
      </c>
      <c r="AI8" s="3">
        <f t="shared" si="0"/>
        <v>4.2262284136089345E-2</v>
      </c>
      <c r="AJ8" s="3">
        <f t="shared" si="0"/>
        <v>3.7314952612203411E-2</v>
      </c>
      <c r="AK8" s="3">
        <f t="shared" si="0"/>
        <v>6.3413304252998959E-2</v>
      </c>
      <c r="AL8" s="3">
        <f t="shared" si="0"/>
        <v>-1.796138793536961E-2</v>
      </c>
      <c r="AM8" s="3">
        <f t="shared" si="0"/>
        <v>2.3449964240523702E-2</v>
      </c>
    </row>
    <row r="9" spans="1:39" x14ac:dyDescent="0.25">
      <c r="A9">
        <v>1993</v>
      </c>
      <c r="B9">
        <v>66.022000000000006</v>
      </c>
      <c r="C9">
        <v>64.45</v>
      </c>
      <c r="D9">
        <v>80.241</v>
      </c>
      <c r="E9">
        <v>92.775999999999996</v>
      </c>
      <c r="F9">
        <v>94.617000000000004</v>
      </c>
      <c r="G9">
        <v>71.974999999999994</v>
      </c>
      <c r="H9">
        <v>60.588000000000001</v>
      </c>
      <c r="I9" s="1">
        <v>88.52</v>
      </c>
      <c r="J9" s="1">
        <v>53.289000000000001</v>
      </c>
      <c r="K9" s="1">
        <v>62.978000000000002</v>
      </c>
      <c r="L9" s="1">
        <v>73.382999999999996</v>
      </c>
      <c r="M9" s="1">
        <v>46.302</v>
      </c>
      <c r="N9" s="1">
        <v>56.674999999999997</v>
      </c>
      <c r="O9" s="1">
        <v>57.121000000000002</v>
      </c>
      <c r="P9" s="1">
        <v>69.882999999999996</v>
      </c>
      <c r="Q9" s="1">
        <v>69.135000000000005</v>
      </c>
      <c r="R9" s="1">
        <v>79.481999999999999</v>
      </c>
      <c r="S9" s="1">
        <v>87.352000000000004</v>
      </c>
      <c r="T9" s="1">
        <v>76.355000000000004</v>
      </c>
      <c r="U9" s="3">
        <f t="shared" si="1"/>
        <v>3.1464816897887937E-2</v>
      </c>
      <c r="V9" s="3">
        <f t="shared" si="0"/>
        <v>3.5025454078273288E-2</v>
      </c>
      <c r="W9" s="3">
        <f t="shared" si="0"/>
        <v>-3.3753191079427758E-2</v>
      </c>
      <c r="X9" s="3">
        <f t="shared" si="0"/>
        <v>-2.655257301957592E-3</v>
      </c>
      <c r="Y9" s="3">
        <f t="shared" si="0"/>
        <v>2.1495044587912737E-2</v>
      </c>
      <c r="Z9" s="3">
        <f t="shared" si="0"/>
        <v>3.1677775388805118E-2</v>
      </c>
      <c r="AA9" s="3">
        <f t="shared" si="0"/>
        <v>5.4364471669219094E-2</v>
      </c>
      <c r="AB9" s="3">
        <f t="shared" si="0"/>
        <v>1.3394390383514532E-2</v>
      </c>
      <c r="AC9" s="3">
        <f t="shared" si="0"/>
        <v>5.2061122956645445E-2</v>
      </c>
      <c r="AD9" s="3">
        <f t="shared" si="0"/>
        <v>4.8043800236308165E-2</v>
      </c>
      <c r="AE9" s="3">
        <f t="shared" si="0"/>
        <v>3.2400112549240356E-2</v>
      </c>
      <c r="AF9" s="3">
        <f t="shared" si="0"/>
        <v>6.0804618768328433E-2</v>
      </c>
      <c r="AG9" s="3">
        <f t="shared" si="0"/>
        <v>4.5278495020287579E-2</v>
      </c>
      <c r="AH9" s="3">
        <f t="shared" si="0"/>
        <v>2.8280828082808407E-2</v>
      </c>
      <c r="AI9" s="3">
        <f t="shared" si="0"/>
        <v>1.7471572295910009E-2</v>
      </c>
      <c r="AJ9" s="3">
        <f t="shared" si="0"/>
        <v>4.4067233489889501E-2</v>
      </c>
      <c r="AK9" s="3">
        <f t="shared" si="0"/>
        <v>1.8843254883863958E-2</v>
      </c>
      <c r="AL9" s="3">
        <f t="shared" si="0"/>
        <v>-2.7596264095913425E-2</v>
      </c>
      <c r="AM9" s="3">
        <f t="shared" si="0"/>
        <v>2.6097590474782661E-2</v>
      </c>
    </row>
    <row r="10" spans="1:39" x14ac:dyDescent="0.25">
      <c r="A10">
        <v>1994</v>
      </c>
      <c r="B10">
        <v>69.076999999999998</v>
      </c>
      <c r="C10">
        <v>67.724000000000004</v>
      </c>
      <c r="D10">
        <v>87.47</v>
      </c>
      <c r="E10">
        <v>94.313999999999993</v>
      </c>
      <c r="F10">
        <v>95.26</v>
      </c>
      <c r="G10">
        <v>75.635000000000005</v>
      </c>
      <c r="H10">
        <v>65.805000000000007</v>
      </c>
      <c r="I10" s="1">
        <v>91.483999999999995</v>
      </c>
      <c r="J10" s="1">
        <v>56.609000000000002</v>
      </c>
      <c r="K10" s="1">
        <v>67.623000000000005</v>
      </c>
      <c r="L10" s="1">
        <v>77.921999999999997</v>
      </c>
      <c r="M10" s="1">
        <v>49.122</v>
      </c>
      <c r="N10" s="1">
        <v>58.884</v>
      </c>
      <c r="O10" s="1">
        <v>59.957999999999998</v>
      </c>
      <c r="P10" s="1">
        <v>70.715000000000003</v>
      </c>
      <c r="Q10" s="1">
        <v>71.867000000000004</v>
      </c>
      <c r="R10" s="1">
        <v>83.950999999999993</v>
      </c>
      <c r="S10" s="1">
        <v>85.908000000000001</v>
      </c>
      <c r="T10" s="1">
        <v>78.596000000000004</v>
      </c>
      <c r="U10" s="3">
        <f t="shared" si="1"/>
        <v>4.6272454636333338E-2</v>
      </c>
      <c r="V10" s="3">
        <f t="shared" si="0"/>
        <v>5.0799069045772027E-2</v>
      </c>
      <c r="W10" s="3">
        <f t="shared" si="0"/>
        <v>9.0091100559564374E-2</v>
      </c>
      <c r="X10" s="3">
        <f t="shared" si="0"/>
        <v>1.6577563162886833E-2</v>
      </c>
      <c r="Y10" s="3">
        <f t="shared" si="0"/>
        <v>6.7958189331727148E-3</v>
      </c>
      <c r="Z10" s="3">
        <f t="shared" si="0"/>
        <v>5.0850989927058166E-2</v>
      </c>
      <c r="AA10" s="3">
        <f t="shared" si="0"/>
        <v>8.6106159635571444E-2</v>
      </c>
      <c r="AB10" s="3">
        <f t="shared" si="0"/>
        <v>3.3483958427473981E-2</v>
      </c>
      <c r="AC10" s="3">
        <f t="shared" si="0"/>
        <v>6.2301788361575516E-2</v>
      </c>
      <c r="AD10" s="3">
        <f t="shared" si="0"/>
        <v>7.3755914763885766E-2</v>
      </c>
      <c r="AE10" s="3">
        <f t="shared" si="0"/>
        <v>6.1853562814275787E-2</v>
      </c>
      <c r="AF10" s="3">
        <f t="shared" si="0"/>
        <v>6.0904496566023036E-2</v>
      </c>
      <c r="AG10" s="3">
        <f t="shared" si="0"/>
        <v>3.8976621085134555E-2</v>
      </c>
      <c r="AH10" s="3">
        <f t="shared" si="0"/>
        <v>4.9666497435268964E-2</v>
      </c>
      <c r="AI10" s="3">
        <f t="shared" si="0"/>
        <v>1.1905613668560466E-2</v>
      </c>
      <c r="AJ10" s="3">
        <f t="shared" si="0"/>
        <v>3.9516887249584132E-2</v>
      </c>
      <c r="AK10" s="3">
        <f t="shared" si="0"/>
        <v>5.6226567021463891E-2</v>
      </c>
      <c r="AL10" s="3">
        <f t="shared" si="0"/>
        <v>-1.653081784046162E-2</v>
      </c>
      <c r="AM10" s="3">
        <f t="shared" si="0"/>
        <v>2.9349747888153921E-2</v>
      </c>
    </row>
    <row r="11" spans="1:39" x14ac:dyDescent="0.25">
      <c r="A11">
        <v>1995</v>
      </c>
      <c r="B11">
        <v>71.484999999999999</v>
      </c>
      <c r="C11">
        <v>70.343000000000004</v>
      </c>
      <c r="D11">
        <v>84.516000000000005</v>
      </c>
      <c r="E11">
        <v>92.412000000000006</v>
      </c>
      <c r="F11">
        <v>95.802000000000007</v>
      </c>
      <c r="G11">
        <v>76.653000000000006</v>
      </c>
      <c r="H11">
        <v>70.917000000000002</v>
      </c>
      <c r="I11" s="1">
        <v>92.799000000000007</v>
      </c>
      <c r="J11" s="1">
        <v>59.472000000000001</v>
      </c>
      <c r="K11" s="1">
        <v>70.766999999999996</v>
      </c>
      <c r="L11" s="1">
        <v>80.786000000000001</v>
      </c>
      <c r="M11" s="1">
        <v>53.006</v>
      </c>
      <c r="N11" s="1">
        <v>60.448999999999998</v>
      </c>
      <c r="O11" s="1">
        <v>63.292000000000002</v>
      </c>
      <c r="P11" s="1">
        <v>72.662000000000006</v>
      </c>
      <c r="Q11" s="1">
        <v>74.346999999999994</v>
      </c>
      <c r="R11" s="1">
        <v>87.995999999999995</v>
      </c>
      <c r="S11" s="1">
        <v>83.149000000000001</v>
      </c>
      <c r="T11" s="1">
        <v>80.700999999999993</v>
      </c>
      <c r="U11" s="3">
        <f t="shared" si="1"/>
        <v>3.4859649376782542E-2</v>
      </c>
      <c r="V11" s="3">
        <f t="shared" si="0"/>
        <v>3.8671667355737904E-2</v>
      </c>
      <c r="W11" s="3">
        <f t="shared" si="0"/>
        <v>-3.3771578827026305E-2</v>
      </c>
      <c r="X11" s="3">
        <f t="shared" si="0"/>
        <v>-2.016667726954624E-2</v>
      </c>
      <c r="Y11" s="3">
        <f t="shared" si="0"/>
        <v>5.6896913709847396E-3</v>
      </c>
      <c r="Z11" s="3">
        <f t="shared" si="0"/>
        <v>1.3459377272426742E-2</v>
      </c>
      <c r="AA11" s="3">
        <f t="shared" si="0"/>
        <v>7.7684066560291587E-2</v>
      </c>
      <c r="AB11" s="3">
        <f t="shared" si="0"/>
        <v>1.4374098202964536E-2</v>
      </c>
      <c r="AC11" s="3">
        <f t="shared" si="0"/>
        <v>5.0574996908618663E-2</v>
      </c>
      <c r="AD11" s="3">
        <f t="shared" si="0"/>
        <v>4.6493057095958301E-2</v>
      </c>
      <c r="AE11" s="3">
        <f t="shared" si="0"/>
        <v>3.6754703421370216E-2</v>
      </c>
      <c r="AF11" s="3">
        <f t="shared" si="0"/>
        <v>7.9068441838687331E-2</v>
      </c>
      <c r="AG11" s="3">
        <f t="shared" si="0"/>
        <v>2.6577678146864958E-2</v>
      </c>
      <c r="AH11" s="3">
        <f t="shared" si="0"/>
        <v>5.560559058007275E-2</v>
      </c>
      <c r="AI11" s="3">
        <f t="shared" si="0"/>
        <v>2.7533055221664382E-2</v>
      </c>
      <c r="AJ11" s="3">
        <f t="shared" si="0"/>
        <v>3.4508188737528922E-2</v>
      </c>
      <c r="AK11" s="3">
        <f t="shared" si="0"/>
        <v>4.8182868578099169E-2</v>
      </c>
      <c r="AL11" s="3">
        <f t="shared" si="0"/>
        <v>-3.2115751734413611E-2</v>
      </c>
      <c r="AM11" s="3">
        <f t="shared" si="0"/>
        <v>2.678253346226267E-2</v>
      </c>
    </row>
    <row r="12" spans="1:39" x14ac:dyDescent="0.25">
      <c r="A12">
        <v>1996</v>
      </c>
      <c r="B12">
        <v>74.522999999999996</v>
      </c>
      <c r="C12">
        <v>73.634</v>
      </c>
      <c r="D12">
        <v>85.715000000000003</v>
      </c>
      <c r="E12">
        <v>94.072000000000003</v>
      </c>
      <c r="F12">
        <v>97.052000000000007</v>
      </c>
      <c r="G12">
        <v>82.034000000000006</v>
      </c>
      <c r="H12">
        <v>75.492000000000004</v>
      </c>
      <c r="I12" s="1">
        <v>92.65</v>
      </c>
      <c r="J12" s="1">
        <v>62.155000000000001</v>
      </c>
      <c r="K12" s="1">
        <v>75.09</v>
      </c>
      <c r="L12" s="1">
        <v>84.606999999999999</v>
      </c>
      <c r="M12" s="1">
        <v>57.722999999999999</v>
      </c>
      <c r="N12" s="1">
        <v>63.45</v>
      </c>
      <c r="O12" s="1">
        <v>68.47</v>
      </c>
      <c r="P12" s="1">
        <v>74.718000000000004</v>
      </c>
      <c r="Q12" s="1">
        <v>76.903999999999996</v>
      </c>
      <c r="R12" s="1">
        <v>90.686000000000007</v>
      </c>
      <c r="S12" s="1">
        <v>82.24</v>
      </c>
      <c r="T12" s="1">
        <v>82.224999999999994</v>
      </c>
      <c r="U12" s="3">
        <f t="shared" si="1"/>
        <v>4.2498426243267717E-2</v>
      </c>
      <c r="V12" s="3">
        <f t="shared" si="0"/>
        <v>4.6785039023072628E-2</v>
      </c>
      <c r="W12" s="3">
        <f t="shared" si="0"/>
        <v>1.4186662880401268E-2</v>
      </c>
      <c r="X12" s="3">
        <f t="shared" si="0"/>
        <v>1.7963035103666147E-2</v>
      </c>
      <c r="Y12" s="3">
        <f t="shared" si="0"/>
        <v>1.3047744305964448E-2</v>
      </c>
      <c r="Z12" s="3">
        <f t="shared" si="0"/>
        <v>7.0199470340365E-2</v>
      </c>
      <c r="AA12" s="3">
        <f t="shared" si="0"/>
        <v>6.4512035196074402E-2</v>
      </c>
      <c r="AB12" s="3">
        <f t="shared" si="0"/>
        <v>-1.6056207502236353E-3</v>
      </c>
      <c r="AC12" s="3">
        <f t="shared" si="0"/>
        <v>4.5113666935700847E-2</v>
      </c>
      <c r="AD12" s="3">
        <f t="shared" si="0"/>
        <v>6.1087795158760505E-2</v>
      </c>
      <c r="AE12" s="3">
        <f t="shared" si="0"/>
        <v>4.729779912361054E-2</v>
      </c>
      <c r="AF12" s="3">
        <f t="shared" si="0"/>
        <v>8.8989925668792269E-2</v>
      </c>
      <c r="AG12" s="3">
        <f t="shared" si="0"/>
        <v>4.9645155420271703E-2</v>
      </c>
      <c r="AH12" s="3">
        <f t="shared" si="0"/>
        <v>8.1811287366491792E-2</v>
      </c>
      <c r="AI12" s="3">
        <f t="shared" si="0"/>
        <v>2.829539511711765E-2</v>
      </c>
      <c r="AJ12" s="3">
        <f t="shared" si="0"/>
        <v>3.439277980281652E-2</v>
      </c>
      <c r="AK12" s="3">
        <f t="shared" si="0"/>
        <v>3.0569571344152058E-2</v>
      </c>
      <c r="AL12" s="3">
        <f t="shared" si="0"/>
        <v>-1.0932181986554323E-2</v>
      </c>
      <c r="AM12" s="3">
        <f t="shared" si="0"/>
        <v>1.8884524355336385E-2</v>
      </c>
    </row>
    <row r="13" spans="1:39" x14ac:dyDescent="0.25">
      <c r="A13">
        <v>1997</v>
      </c>
      <c r="B13">
        <v>78.34</v>
      </c>
      <c r="C13">
        <v>77.704999999999998</v>
      </c>
      <c r="D13">
        <v>90.028999999999996</v>
      </c>
      <c r="E13">
        <v>98.241</v>
      </c>
      <c r="F13">
        <v>97.777000000000001</v>
      </c>
      <c r="G13">
        <v>85.320999999999998</v>
      </c>
      <c r="H13">
        <v>82.564999999999998</v>
      </c>
      <c r="I13" s="1">
        <v>96.468000000000004</v>
      </c>
      <c r="J13" s="1">
        <v>66.894000000000005</v>
      </c>
      <c r="K13" s="1">
        <v>78.8</v>
      </c>
      <c r="L13" s="1">
        <v>88.097999999999999</v>
      </c>
      <c r="M13" s="1">
        <v>63.280999999999999</v>
      </c>
      <c r="N13" s="1">
        <v>66.066000000000003</v>
      </c>
      <c r="O13" s="1">
        <v>74.052999999999997</v>
      </c>
      <c r="P13" s="1">
        <v>76.828999999999994</v>
      </c>
      <c r="Q13" s="1">
        <v>79.3</v>
      </c>
      <c r="R13" s="1">
        <v>91.581000000000003</v>
      </c>
      <c r="S13" s="1">
        <v>82.268000000000001</v>
      </c>
      <c r="T13" s="1">
        <v>84.518000000000001</v>
      </c>
      <c r="U13" s="3">
        <f t="shared" si="1"/>
        <v>5.1219086724903828E-2</v>
      </c>
      <c r="V13" s="3">
        <f t="shared" si="0"/>
        <v>5.5286959828340088E-2</v>
      </c>
      <c r="W13" s="3">
        <f t="shared" si="0"/>
        <v>5.032958058682846E-2</v>
      </c>
      <c r="X13" s="3">
        <f t="shared" si="0"/>
        <v>4.4317118802619238E-2</v>
      </c>
      <c r="Y13" s="3">
        <f t="shared" si="0"/>
        <v>7.4702221489511E-3</v>
      </c>
      <c r="Z13" s="3">
        <f t="shared" si="0"/>
        <v>4.0068751980885775E-2</v>
      </c>
      <c r="AA13" s="3">
        <f t="shared" si="0"/>
        <v>9.3692046839400023E-2</v>
      </c>
      <c r="AB13" s="3">
        <f t="shared" si="0"/>
        <v>4.1208850512682194E-2</v>
      </c>
      <c r="AC13" s="3">
        <f t="shared" si="0"/>
        <v>7.6244871691738547E-2</v>
      </c>
      <c r="AD13" s="3">
        <f t="shared" si="0"/>
        <v>4.9407377813290632E-2</v>
      </c>
      <c r="AE13" s="3">
        <f t="shared" si="0"/>
        <v>4.1261361353079451E-2</v>
      </c>
      <c r="AF13" s="3">
        <f t="shared" si="0"/>
        <v>9.628744174765691E-2</v>
      </c>
      <c r="AG13" s="3">
        <f t="shared" si="0"/>
        <v>4.1229314420803798E-2</v>
      </c>
      <c r="AH13" s="3">
        <f t="shared" si="0"/>
        <v>8.1539360303782615E-2</v>
      </c>
      <c r="AI13" s="3">
        <f t="shared" si="0"/>
        <v>2.8252897561497736E-2</v>
      </c>
      <c r="AJ13" s="3">
        <f t="shared" si="0"/>
        <v>3.1155726620201829E-2</v>
      </c>
      <c r="AK13" s="3">
        <f t="shared" si="0"/>
        <v>9.8692190635820687E-3</v>
      </c>
      <c r="AL13" s="3">
        <f t="shared" si="0"/>
        <v>3.404669260700377E-4</v>
      </c>
      <c r="AM13" s="3">
        <f t="shared" si="0"/>
        <v>2.7886895712982751E-2</v>
      </c>
    </row>
    <row r="14" spans="1:39" x14ac:dyDescent="0.25">
      <c r="A14">
        <v>1998</v>
      </c>
      <c r="B14">
        <v>82.734999999999999</v>
      </c>
      <c r="C14">
        <v>82.382000000000005</v>
      </c>
      <c r="D14">
        <v>91.962999999999994</v>
      </c>
      <c r="E14">
        <v>98.460999999999999</v>
      </c>
      <c r="F14">
        <v>100.497</v>
      </c>
      <c r="G14">
        <v>92.081000000000003</v>
      </c>
      <c r="H14">
        <v>89.180999999999997</v>
      </c>
      <c r="I14" s="1">
        <v>97.709000000000003</v>
      </c>
      <c r="J14" s="1">
        <v>73.484999999999999</v>
      </c>
      <c r="K14" s="1">
        <v>81.933000000000007</v>
      </c>
      <c r="L14" s="1">
        <v>91.239000000000004</v>
      </c>
      <c r="M14" s="1">
        <v>69.847999999999999</v>
      </c>
      <c r="N14" s="1">
        <v>70.563999999999993</v>
      </c>
      <c r="O14" s="1">
        <v>80.816999999999993</v>
      </c>
      <c r="P14" s="1">
        <v>79.600999999999999</v>
      </c>
      <c r="Q14" s="1">
        <v>81.914000000000001</v>
      </c>
      <c r="R14" s="1">
        <v>96.942999999999998</v>
      </c>
      <c r="S14" s="1">
        <v>81.495999999999995</v>
      </c>
      <c r="T14" s="1">
        <v>87.733999999999995</v>
      </c>
      <c r="U14" s="3">
        <f t="shared" si="1"/>
        <v>5.6101608373755329E-2</v>
      </c>
      <c r="V14" s="3">
        <f t="shared" si="0"/>
        <v>6.0189177015636197E-2</v>
      </c>
      <c r="W14" s="3">
        <f t="shared" si="0"/>
        <v>2.1481966921769624E-2</v>
      </c>
      <c r="X14" s="3">
        <f t="shared" si="0"/>
        <v>2.2393908856790379E-3</v>
      </c>
      <c r="Y14" s="3">
        <f t="shared" si="0"/>
        <v>2.7818403100933642E-2</v>
      </c>
      <c r="Z14" s="3">
        <f t="shared" si="0"/>
        <v>7.9230201240023002E-2</v>
      </c>
      <c r="AA14" s="3">
        <f t="shared" si="0"/>
        <v>8.013080603161149E-2</v>
      </c>
      <c r="AB14" s="3">
        <f t="shared" si="0"/>
        <v>1.2864369531865538E-2</v>
      </c>
      <c r="AC14" s="3">
        <f t="shared" si="0"/>
        <v>9.8529016055251439E-2</v>
      </c>
      <c r="AD14" s="3">
        <f t="shared" si="0"/>
        <v>3.9758883248731003E-2</v>
      </c>
      <c r="AE14" s="3">
        <f t="shared" si="0"/>
        <v>3.5653476809916373E-2</v>
      </c>
      <c r="AF14" s="3">
        <f t="shared" si="0"/>
        <v>0.10377522479101153</v>
      </c>
      <c r="AG14" s="3">
        <f t="shared" si="0"/>
        <v>6.808343171979514E-2</v>
      </c>
      <c r="AH14" s="3">
        <f t="shared" si="0"/>
        <v>9.1339986226081304E-2</v>
      </c>
      <c r="AI14" s="3">
        <f t="shared" si="0"/>
        <v>3.6080125994090828E-2</v>
      </c>
      <c r="AJ14" s="3">
        <f t="shared" si="0"/>
        <v>3.2963430012610484E-2</v>
      </c>
      <c r="AK14" s="3">
        <f t="shared" si="0"/>
        <v>5.8549262401589752E-2</v>
      </c>
      <c r="AL14" s="3">
        <f t="shared" si="0"/>
        <v>-9.3839646034911128E-3</v>
      </c>
      <c r="AM14" s="3">
        <f t="shared" si="0"/>
        <v>3.8051066045102777E-2</v>
      </c>
    </row>
    <row r="15" spans="1:39" x14ac:dyDescent="0.25">
      <c r="A15">
        <v>1999</v>
      </c>
      <c r="B15">
        <v>86.917000000000002</v>
      </c>
      <c r="C15">
        <v>86.78</v>
      </c>
      <c r="D15">
        <v>95.212999999999994</v>
      </c>
      <c r="E15">
        <v>93.317999999999998</v>
      </c>
      <c r="F15">
        <v>118.434</v>
      </c>
      <c r="G15">
        <v>93.444000000000003</v>
      </c>
      <c r="H15">
        <v>95.254999999999995</v>
      </c>
      <c r="I15" s="1">
        <v>98.634</v>
      </c>
      <c r="J15" s="1">
        <v>79.078000000000003</v>
      </c>
      <c r="K15" s="1">
        <v>86.671000000000006</v>
      </c>
      <c r="L15" s="1">
        <v>93.495000000000005</v>
      </c>
      <c r="M15" s="1">
        <v>78.385000000000005</v>
      </c>
      <c r="N15" s="1">
        <v>75.891999999999996</v>
      </c>
      <c r="O15" s="1">
        <v>85.23</v>
      </c>
      <c r="P15" s="1">
        <v>81.585999999999999</v>
      </c>
      <c r="Q15" s="1">
        <v>84.052999999999997</v>
      </c>
      <c r="R15" s="1">
        <v>98.825999999999993</v>
      </c>
      <c r="S15" s="1">
        <v>82.313000000000002</v>
      </c>
      <c r="T15" s="1">
        <v>90.76</v>
      </c>
      <c r="U15" s="3">
        <f t="shared" si="1"/>
        <v>5.0546926935396197E-2</v>
      </c>
      <c r="V15" s="3">
        <f t="shared" si="0"/>
        <v>5.3385448277536218E-2</v>
      </c>
      <c r="W15" s="3">
        <f t="shared" si="0"/>
        <v>3.5340299903221961E-2</v>
      </c>
      <c r="X15" s="3">
        <f t="shared" si="0"/>
        <v>-5.2233879404028016E-2</v>
      </c>
      <c r="Y15" s="3">
        <f t="shared" si="0"/>
        <v>0.17848293978924734</v>
      </c>
      <c r="Z15" s="3">
        <f t="shared" si="0"/>
        <v>1.4802185032742887E-2</v>
      </c>
      <c r="AA15" s="3">
        <f t="shared" si="0"/>
        <v>6.8108677857391164E-2</v>
      </c>
      <c r="AB15" s="3">
        <f t="shared" si="0"/>
        <v>9.4668863666602654E-3</v>
      </c>
      <c r="AC15" s="3">
        <f t="shared" si="0"/>
        <v>7.6110770905627012E-2</v>
      </c>
      <c r="AD15" s="3">
        <f t="shared" si="0"/>
        <v>5.7827737297547976E-2</v>
      </c>
      <c r="AE15" s="3">
        <f t="shared" si="0"/>
        <v>2.4726268372077698E-2</v>
      </c>
      <c r="AF15" s="3">
        <f t="shared" si="0"/>
        <v>0.12222254037338232</v>
      </c>
      <c r="AG15" s="3">
        <f t="shared" si="0"/>
        <v>7.550592370047049E-2</v>
      </c>
      <c r="AH15" s="3">
        <f t="shared" si="0"/>
        <v>5.4604847989903282E-2</v>
      </c>
      <c r="AI15" s="3">
        <f t="shared" si="0"/>
        <v>2.4936872652353559E-2</v>
      </c>
      <c r="AJ15" s="3">
        <f t="shared" si="0"/>
        <v>2.6112752398857353E-2</v>
      </c>
      <c r="AK15" s="3">
        <f t="shared" si="0"/>
        <v>1.942378511083831E-2</v>
      </c>
      <c r="AL15" s="3">
        <f t="shared" si="0"/>
        <v>1.0025031903406312E-2</v>
      </c>
      <c r="AM15" s="3">
        <f t="shared" si="0"/>
        <v>3.4490619372193443E-2</v>
      </c>
    </row>
    <row r="16" spans="1:39" x14ac:dyDescent="0.25">
      <c r="A16">
        <v>2000</v>
      </c>
      <c r="B16">
        <v>90.789000000000001</v>
      </c>
      <c r="C16">
        <v>90.885999999999996</v>
      </c>
      <c r="D16">
        <v>93.796000000000006</v>
      </c>
      <c r="E16">
        <v>94.561999999999998</v>
      </c>
      <c r="F16">
        <v>130.55500000000001</v>
      </c>
      <c r="G16">
        <v>96.638000000000005</v>
      </c>
      <c r="H16">
        <v>98.647000000000006</v>
      </c>
      <c r="I16" s="1">
        <v>98.441000000000003</v>
      </c>
      <c r="J16" s="1">
        <v>84.108000000000004</v>
      </c>
      <c r="K16" s="1">
        <v>89.417000000000002</v>
      </c>
      <c r="L16" s="1">
        <v>95.340999999999994</v>
      </c>
      <c r="M16" s="1">
        <v>86.513000000000005</v>
      </c>
      <c r="N16" s="1">
        <v>82.69</v>
      </c>
      <c r="O16" s="1">
        <v>89.197999999999993</v>
      </c>
      <c r="P16" s="1">
        <v>84.353999999999999</v>
      </c>
      <c r="Q16" s="1">
        <v>88.055000000000007</v>
      </c>
      <c r="R16" s="1">
        <v>101.114</v>
      </c>
      <c r="S16" s="1">
        <v>83.379000000000005</v>
      </c>
      <c r="T16" s="1">
        <v>93.001000000000005</v>
      </c>
      <c r="U16" s="3">
        <f t="shared" si="1"/>
        <v>4.4548247178342493E-2</v>
      </c>
      <c r="V16" s="3">
        <f t="shared" si="0"/>
        <v>4.7315049550587629E-2</v>
      </c>
      <c r="W16" s="3">
        <f t="shared" si="0"/>
        <v>-1.4882421518069844E-2</v>
      </c>
      <c r="X16" s="3">
        <f t="shared" si="0"/>
        <v>1.3330761482243547E-2</v>
      </c>
      <c r="Y16" s="3">
        <f t="shared" si="0"/>
        <v>0.10234392150902627</v>
      </c>
      <c r="Z16" s="3">
        <f t="shared" si="0"/>
        <v>3.4180899790248631E-2</v>
      </c>
      <c r="AA16" s="3">
        <f t="shared" si="0"/>
        <v>3.5609679281927598E-2</v>
      </c>
      <c r="AB16" s="3">
        <f t="shared" si="0"/>
        <v>-1.9567289170062674E-3</v>
      </c>
      <c r="AC16" s="3">
        <f t="shared" si="0"/>
        <v>6.3608083158400497E-2</v>
      </c>
      <c r="AD16" s="3">
        <f t="shared" si="0"/>
        <v>3.1683031233053605E-2</v>
      </c>
      <c r="AE16" s="3">
        <f t="shared" si="0"/>
        <v>1.9744371356756885E-2</v>
      </c>
      <c r="AF16" s="3">
        <f t="shared" si="0"/>
        <v>0.10369330866875037</v>
      </c>
      <c r="AG16" s="3">
        <f t="shared" si="0"/>
        <v>8.9574658725557477E-2</v>
      </c>
      <c r="AH16" s="3">
        <f t="shared" si="0"/>
        <v>4.6556376862606941E-2</v>
      </c>
      <c r="AI16" s="3">
        <f t="shared" si="0"/>
        <v>3.3927389503100924E-2</v>
      </c>
      <c r="AJ16" s="3">
        <f t="shared" si="0"/>
        <v>4.7612815723412805E-2</v>
      </c>
      <c r="AK16" s="3">
        <f t="shared" si="0"/>
        <v>2.315180215732715E-2</v>
      </c>
      <c r="AL16" s="3">
        <f t="shared" si="0"/>
        <v>1.295056673915429E-2</v>
      </c>
      <c r="AM16" s="3">
        <f t="shared" si="0"/>
        <v>2.4691494050242291E-2</v>
      </c>
    </row>
    <row r="17" spans="1:39" x14ac:dyDescent="0.25">
      <c r="A17">
        <v>2001</v>
      </c>
      <c r="B17">
        <v>91.015000000000001</v>
      </c>
      <c r="C17">
        <v>90.781999999999996</v>
      </c>
      <c r="D17">
        <v>93.370999999999995</v>
      </c>
      <c r="E17">
        <v>99.498000000000005</v>
      </c>
      <c r="F17">
        <v>140.84800000000001</v>
      </c>
      <c r="G17">
        <v>96.495999999999995</v>
      </c>
      <c r="H17">
        <v>92.186999999999998</v>
      </c>
      <c r="I17" s="1">
        <v>95.825999999999993</v>
      </c>
      <c r="J17" s="1">
        <v>85.236999999999995</v>
      </c>
      <c r="K17" s="1">
        <v>88.525000000000006</v>
      </c>
      <c r="L17" s="1">
        <v>92.057000000000002</v>
      </c>
      <c r="M17" s="1">
        <v>88.54</v>
      </c>
      <c r="N17" s="1">
        <v>84.867999999999995</v>
      </c>
      <c r="O17" s="1">
        <v>89.498000000000005</v>
      </c>
      <c r="P17" s="1">
        <v>88.25</v>
      </c>
      <c r="Q17" s="1">
        <v>87.566000000000003</v>
      </c>
      <c r="R17" s="1">
        <v>100.82299999999999</v>
      </c>
      <c r="S17" s="1">
        <v>85.855999999999995</v>
      </c>
      <c r="T17" s="1">
        <v>96.302000000000007</v>
      </c>
      <c r="U17" s="3">
        <f t="shared" si="1"/>
        <v>2.4892883499101348E-3</v>
      </c>
      <c r="V17" s="3">
        <f t="shared" si="0"/>
        <v>-1.1442906498250194E-3</v>
      </c>
      <c r="W17" s="3">
        <f t="shared" si="0"/>
        <v>-4.5311100686598049E-3</v>
      </c>
      <c r="X17" s="3">
        <f t="shared" si="0"/>
        <v>5.2198557560119374E-2</v>
      </c>
      <c r="Y17" s="3">
        <f t="shared" si="0"/>
        <v>7.8840335490789393E-2</v>
      </c>
      <c r="Z17" s="3">
        <f t="shared" si="0"/>
        <v>-1.4694012707218151E-3</v>
      </c>
      <c r="AA17" s="3">
        <f t="shared" si="0"/>
        <v>-6.5486025930844405E-2</v>
      </c>
      <c r="AB17" s="3">
        <f t="shared" si="0"/>
        <v>-2.6564134862506528E-2</v>
      </c>
      <c r="AC17" s="3">
        <f t="shared" si="0"/>
        <v>1.342321776763189E-2</v>
      </c>
      <c r="AD17" s="3">
        <f t="shared" si="0"/>
        <v>-9.9757316841315724E-3</v>
      </c>
      <c r="AE17" s="3">
        <f t="shared" si="0"/>
        <v>-3.444478241260307E-2</v>
      </c>
      <c r="AF17" s="3">
        <f t="shared" si="0"/>
        <v>2.3430004739172228E-2</v>
      </c>
      <c r="AG17" s="3">
        <f t="shared" si="0"/>
        <v>2.633933970250335E-2</v>
      </c>
      <c r="AH17" s="3">
        <f t="shared" si="0"/>
        <v>3.3633041099576655E-3</v>
      </c>
      <c r="AI17" s="3">
        <f t="shared" si="0"/>
        <v>4.6186310074211034E-2</v>
      </c>
      <c r="AJ17" s="3">
        <f t="shared" si="0"/>
        <v>-5.5533473397308963E-3</v>
      </c>
      <c r="AK17" s="3">
        <f t="shared" si="0"/>
        <v>-2.8779397511720095E-3</v>
      </c>
      <c r="AL17" s="3">
        <f t="shared" si="0"/>
        <v>2.9707720169346974E-2</v>
      </c>
      <c r="AM17" s="3">
        <f t="shared" si="0"/>
        <v>3.5494241997397813E-2</v>
      </c>
    </row>
    <row r="18" spans="1:39" x14ac:dyDescent="0.25">
      <c r="A18">
        <v>2002</v>
      </c>
      <c r="B18">
        <v>91.572000000000003</v>
      </c>
      <c r="C18">
        <v>90.995999999999995</v>
      </c>
      <c r="D18">
        <v>93.561000000000007</v>
      </c>
      <c r="E18">
        <v>96.379000000000005</v>
      </c>
      <c r="F18">
        <v>108.161</v>
      </c>
      <c r="G18">
        <v>93.629000000000005</v>
      </c>
      <c r="H18">
        <v>91.382000000000005</v>
      </c>
      <c r="I18" s="1">
        <v>96.58</v>
      </c>
      <c r="J18" s="1">
        <v>88.722999999999999</v>
      </c>
      <c r="K18" s="1">
        <v>92.557000000000002</v>
      </c>
      <c r="L18" s="1">
        <v>91.643000000000001</v>
      </c>
      <c r="M18" s="1">
        <v>89.936999999999998</v>
      </c>
      <c r="N18" s="1">
        <v>85.447000000000003</v>
      </c>
      <c r="O18" s="1">
        <v>89.102999999999994</v>
      </c>
      <c r="P18" s="1">
        <v>91.978999999999999</v>
      </c>
      <c r="Q18" s="1">
        <v>89.947000000000003</v>
      </c>
      <c r="R18" s="1">
        <v>101.026</v>
      </c>
      <c r="S18" s="1">
        <v>90.296999999999997</v>
      </c>
      <c r="T18" s="1">
        <v>99.153999999999996</v>
      </c>
      <c r="U18" s="3">
        <f t="shared" si="1"/>
        <v>6.1198703510410013E-3</v>
      </c>
      <c r="V18" s="3">
        <f t="shared" si="0"/>
        <v>2.3572954991077921E-3</v>
      </c>
      <c r="W18" s="3">
        <f t="shared" si="0"/>
        <v>2.0348930610147864E-3</v>
      </c>
      <c r="X18" s="3">
        <f t="shared" si="0"/>
        <v>-3.1347363766105807E-2</v>
      </c>
      <c r="Y18" s="3">
        <f t="shared" ref="Y18:Y27" si="2">+F18/F17-1</f>
        <v>-0.23207287288424405</v>
      </c>
      <c r="Z18" s="3">
        <f t="shared" ref="Z18:Z27" si="3">+G18/G17-1</f>
        <v>-2.9711076106781475E-2</v>
      </c>
      <c r="AA18" s="3">
        <f t="shared" ref="AA18:AA27" si="4">+H18/H17-1</f>
        <v>-8.7322507511904401E-3</v>
      </c>
      <c r="AB18" s="3">
        <f t="shared" ref="AB18:AB27" si="5">+I18/I17-1</f>
        <v>7.8684281927661193E-3</v>
      </c>
      <c r="AC18" s="3">
        <f t="shared" ref="AC18:AC27" si="6">+J18/J17-1</f>
        <v>4.089773220549775E-2</v>
      </c>
      <c r="AD18" s="3">
        <f t="shared" ref="AD18:AD27" si="7">+K18/K17-1</f>
        <v>4.5546455803445296E-2</v>
      </c>
      <c r="AE18" s="3">
        <f t="shared" ref="AE18:AE27" si="8">+L18/L17-1</f>
        <v>-4.4972136828269615E-3</v>
      </c>
      <c r="AF18" s="3">
        <f t="shared" ref="AF18:AF27" si="9">+M18/M17-1</f>
        <v>1.5778179353964195E-2</v>
      </c>
      <c r="AG18" s="3">
        <f t="shared" ref="AG18:AG27" si="10">+N18/N17-1</f>
        <v>6.822359428759972E-3</v>
      </c>
      <c r="AH18" s="3">
        <f t="shared" ref="AH18:AH27" si="11">+O18/O17-1</f>
        <v>-4.4135064470715024E-3</v>
      </c>
      <c r="AI18" s="3">
        <f t="shared" ref="AI18:AI27" si="12">+P18/P17-1</f>
        <v>4.225495750708208E-2</v>
      </c>
      <c r="AJ18" s="3">
        <f t="shared" ref="AJ18:AJ27" si="13">+Q18/Q17-1</f>
        <v>2.7190918849781864E-2</v>
      </c>
      <c r="AK18" s="3">
        <f t="shared" ref="AK18:AK27" si="14">+R18/R17-1</f>
        <v>2.0134294754172721E-3</v>
      </c>
      <c r="AL18" s="3">
        <f t="shared" ref="AL18:AL27" si="15">+S18/S17-1</f>
        <v>5.1726146105106174E-2</v>
      </c>
      <c r="AM18" s="3">
        <f t="shared" ref="AM18:AM27" si="16">+T18/T17-1</f>
        <v>2.9615168947685344E-2</v>
      </c>
    </row>
    <row r="19" spans="1:39" x14ac:dyDescent="0.25">
      <c r="A19">
        <v>2003</v>
      </c>
      <c r="B19">
        <v>93.432000000000002</v>
      </c>
      <c r="C19">
        <v>92.867000000000004</v>
      </c>
      <c r="D19">
        <v>96.828000000000003</v>
      </c>
      <c r="E19">
        <v>95.04</v>
      </c>
      <c r="F19">
        <v>99.981999999999999</v>
      </c>
      <c r="G19">
        <v>95.888999999999996</v>
      </c>
      <c r="H19">
        <v>93.1</v>
      </c>
      <c r="I19" s="1">
        <v>95.664000000000001</v>
      </c>
      <c r="J19" s="1">
        <v>91.292000000000002</v>
      </c>
      <c r="K19" s="1">
        <v>95.438000000000002</v>
      </c>
      <c r="L19" s="1">
        <v>94.132999999999996</v>
      </c>
      <c r="M19" s="1">
        <v>90.370999999999995</v>
      </c>
      <c r="N19" s="1">
        <v>88.606999999999999</v>
      </c>
      <c r="O19" s="1">
        <v>91.569000000000003</v>
      </c>
      <c r="P19" s="1">
        <v>94.852999999999994</v>
      </c>
      <c r="Q19" s="1">
        <v>93.289000000000001</v>
      </c>
      <c r="R19" s="1">
        <v>100.502</v>
      </c>
      <c r="S19" s="1">
        <v>95.546000000000006</v>
      </c>
      <c r="T19" s="1">
        <v>99.161000000000001</v>
      </c>
      <c r="U19" s="3">
        <f t="shared" si="1"/>
        <v>2.0311885729262125E-2</v>
      </c>
      <c r="V19" s="3">
        <f t="shared" ref="V19:V27" si="17">+C19/C18-1</f>
        <v>2.0561343355752104E-2</v>
      </c>
      <c r="W19" s="3">
        <f t="shared" ref="W19:W27" si="18">+D19/D18-1</f>
        <v>3.4918395485298293E-2</v>
      </c>
      <c r="X19" s="3">
        <f t="shared" ref="X19:X27" si="19">+E19/E18-1</f>
        <v>-1.3893067991989971E-2</v>
      </c>
      <c r="Y19" s="3">
        <f t="shared" si="2"/>
        <v>-7.5618753524838045E-2</v>
      </c>
      <c r="Z19" s="3">
        <f t="shared" si="3"/>
        <v>2.4137820547052602E-2</v>
      </c>
      <c r="AA19" s="3">
        <f t="shared" si="4"/>
        <v>1.8800201352563883E-2</v>
      </c>
      <c r="AB19" s="3">
        <f t="shared" si="5"/>
        <v>-9.484365293021324E-3</v>
      </c>
      <c r="AC19" s="3">
        <f t="shared" si="6"/>
        <v>2.8955287805867647E-2</v>
      </c>
      <c r="AD19" s="3">
        <f t="shared" si="7"/>
        <v>3.1126765128515421E-2</v>
      </c>
      <c r="AE19" s="3">
        <f t="shared" si="8"/>
        <v>2.7170651331798412E-2</v>
      </c>
      <c r="AF19" s="3">
        <f t="shared" si="9"/>
        <v>4.8256001423219175E-3</v>
      </c>
      <c r="AG19" s="3">
        <f t="shared" si="10"/>
        <v>3.6981988835184332E-2</v>
      </c>
      <c r="AH19" s="3">
        <f t="shared" si="11"/>
        <v>2.7675835830443418E-2</v>
      </c>
      <c r="AI19" s="3">
        <f t="shared" si="12"/>
        <v>3.1246262733884755E-2</v>
      </c>
      <c r="AJ19" s="3">
        <f t="shared" si="13"/>
        <v>3.7155213625801764E-2</v>
      </c>
      <c r="AK19" s="3">
        <f t="shared" si="14"/>
        <v>-5.1867836002613688E-3</v>
      </c>
      <c r="AL19" s="3">
        <f t="shared" si="15"/>
        <v>5.8130391928857161E-2</v>
      </c>
      <c r="AM19" s="3">
        <f t="shared" si="16"/>
        <v>7.0597252758375362E-5</v>
      </c>
    </row>
    <row r="20" spans="1:39" x14ac:dyDescent="0.25">
      <c r="A20">
        <v>2004</v>
      </c>
      <c r="B20">
        <v>96.477000000000004</v>
      </c>
      <c r="C20">
        <v>96.120999999999995</v>
      </c>
      <c r="D20">
        <v>99.102000000000004</v>
      </c>
      <c r="E20">
        <v>98.346000000000004</v>
      </c>
      <c r="F20">
        <v>95.471999999999994</v>
      </c>
      <c r="G20">
        <v>96.873000000000005</v>
      </c>
      <c r="H20">
        <v>95.647999999999996</v>
      </c>
      <c r="I20" s="1">
        <v>97.569000000000003</v>
      </c>
      <c r="J20" s="1">
        <v>97.364000000000004</v>
      </c>
      <c r="K20" s="1">
        <v>99.183000000000007</v>
      </c>
      <c r="L20" s="1">
        <v>97.876000000000005</v>
      </c>
      <c r="M20" s="1">
        <v>94.67</v>
      </c>
      <c r="N20" s="1">
        <v>93.150999999999996</v>
      </c>
      <c r="O20" s="1">
        <v>95.537999999999997</v>
      </c>
      <c r="P20" s="1">
        <v>97.186999999999998</v>
      </c>
      <c r="Q20" s="1">
        <v>97.307000000000002</v>
      </c>
      <c r="R20" s="1">
        <v>101.075</v>
      </c>
      <c r="S20" s="1">
        <v>98.91</v>
      </c>
      <c r="T20" s="1">
        <v>99.52</v>
      </c>
      <c r="U20" s="3">
        <f t="shared" si="1"/>
        <v>3.259054713588494E-2</v>
      </c>
      <c r="V20" s="3">
        <f t="shared" si="17"/>
        <v>3.5039357360526324E-2</v>
      </c>
      <c r="W20" s="3">
        <f t="shared" si="18"/>
        <v>2.3484942372041129E-2</v>
      </c>
      <c r="X20" s="3">
        <f t="shared" si="19"/>
        <v>3.4785353535353503E-2</v>
      </c>
      <c r="Y20" s="3">
        <f t="shared" si="2"/>
        <v>-4.5108119461503171E-2</v>
      </c>
      <c r="Z20" s="3">
        <f t="shared" si="3"/>
        <v>1.0261865281732119E-2</v>
      </c>
      <c r="AA20" s="3">
        <f t="shared" si="4"/>
        <v>2.7368421052631708E-2</v>
      </c>
      <c r="AB20" s="3">
        <f t="shared" si="5"/>
        <v>1.9913447064726641E-2</v>
      </c>
      <c r="AC20" s="3">
        <f t="shared" si="6"/>
        <v>6.6511852079043088E-2</v>
      </c>
      <c r="AD20" s="3">
        <f t="shared" si="7"/>
        <v>3.9240134956725958E-2</v>
      </c>
      <c r="AE20" s="3">
        <f t="shared" si="8"/>
        <v>3.9762888678784414E-2</v>
      </c>
      <c r="AF20" s="3">
        <f t="shared" si="9"/>
        <v>4.7570570205043738E-2</v>
      </c>
      <c r="AG20" s="3">
        <f t="shared" si="10"/>
        <v>5.1282630040516031E-2</v>
      </c>
      <c r="AH20" s="3">
        <f t="shared" si="11"/>
        <v>4.3344363267044494E-2</v>
      </c>
      <c r="AI20" s="3">
        <f t="shared" si="12"/>
        <v>2.4606496368064334E-2</v>
      </c>
      <c r="AJ20" s="3">
        <f t="shared" si="13"/>
        <v>4.3070458467772132E-2</v>
      </c>
      <c r="AK20" s="3">
        <f t="shared" si="14"/>
        <v>5.7013790770332751E-3</v>
      </c>
      <c r="AL20" s="3">
        <f t="shared" si="15"/>
        <v>3.5208171979988601E-2</v>
      </c>
      <c r="AM20" s="3">
        <f t="shared" si="16"/>
        <v>3.6203749457952572E-3</v>
      </c>
    </row>
    <row r="21" spans="1:39" x14ac:dyDescent="0.25">
      <c r="A21">
        <v>2005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3">
        <f t="shared" si="1"/>
        <v>3.6516475429376971E-2</v>
      </c>
      <c r="V21" s="3">
        <f t="shared" si="17"/>
        <v>4.0355385399652555E-2</v>
      </c>
      <c r="W21" s="3">
        <f t="shared" si="18"/>
        <v>9.0613711125910879E-3</v>
      </c>
      <c r="X21" s="3">
        <f t="shared" si="19"/>
        <v>1.6818172574380119E-2</v>
      </c>
      <c r="Y21" s="3">
        <f t="shared" si="2"/>
        <v>4.7427518015753289E-2</v>
      </c>
      <c r="Z21" s="3">
        <f t="shared" si="3"/>
        <v>3.2279376090345036E-2</v>
      </c>
      <c r="AA21" s="3">
        <f t="shared" si="4"/>
        <v>4.5500167280026815E-2</v>
      </c>
      <c r="AB21" s="3">
        <f t="shared" si="5"/>
        <v>2.4915700683618702E-2</v>
      </c>
      <c r="AC21" s="3">
        <f t="shared" si="6"/>
        <v>2.7073661723018727E-2</v>
      </c>
      <c r="AD21" s="3">
        <f t="shared" si="7"/>
        <v>8.2372987306291723E-3</v>
      </c>
      <c r="AE21" s="3">
        <f t="shared" si="8"/>
        <v>2.1700927704442208E-2</v>
      </c>
      <c r="AF21" s="3">
        <f t="shared" si="9"/>
        <v>5.6300834477659212E-2</v>
      </c>
      <c r="AG21" s="3">
        <f t="shared" si="10"/>
        <v>7.3525780721624079E-2</v>
      </c>
      <c r="AH21" s="3">
        <f t="shared" si="11"/>
        <v>4.6703929326550764E-2</v>
      </c>
      <c r="AI21" s="3">
        <f t="shared" si="12"/>
        <v>2.8944200356014749E-2</v>
      </c>
      <c r="AJ21" s="3">
        <f t="shared" si="13"/>
        <v>2.7675295713566417E-2</v>
      </c>
      <c r="AK21" s="3">
        <f t="shared" si="14"/>
        <v>-1.0635666584219661E-2</v>
      </c>
      <c r="AL21" s="3">
        <f t="shared" si="15"/>
        <v>1.1020119300374054E-2</v>
      </c>
      <c r="AM21" s="3">
        <f t="shared" si="16"/>
        <v>4.8231511254019921E-3</v>
      </c>
    </row>
    <row r="22" spans="1:39" x14ac:dyDescent="0.25">
      <c r="A22">
        <v>2006</v>
      </c>
      <c r="B22">
        <v>102.32299999999999</v>
      </c>
      <c r="C22">
        <v>102.491</v>
      </c>
      <c r="D22">
        <v>99.772999999999996</v>
      </c>
      <c r="E22">
        <v>106.033</v>
      </c>
      <c r="F22">
        <v>93.91</v>
      </c>
      <c r="G22">
        <v>99.007999999999996</v>
      </c>
      <c r="H22">
        <v>102.684</v>
      </c>
      <c r="I22" s="1">
        <v>99.48</v>
      </c>
      <c r="J22" s="1">
        <v>103.52</v>
      </c>
      <c r="K22" s="1">
        <v>103.154</v>
      </c>
      <c r="L22" s="1">
        <v>102.80500000000001</v>
      </c>
      <c r="M22" s="1">
        <v>104.068</v>
      </c>
      <c r="N22" s="1">
        <v>104.161</v>
      </c>
      <c r="O22" s="1">
        <v>103.13800000000001</v>
      </c>
      <c r="P22" s="1">
        <v>102.52800000000001</v>
      </c>
      <c r="Q22" s="1">
        <v>104.35899999999999</v>
      </c>
      <c r="R22" s="1">
        <v>101.768</v>
      </c>
      <c r="S22" s="1">
        <v>100.968</v>
      </c>
      <c r="T22" s="1">
        <v>101.014</v>
      </c>
      <c r="U22" s="3">
        <f t="shared" si="1"/>
        <v>2.3229999999999862E-2</v>
      </c>
      <c r="V22" s="3">
        <f t="shared" si="17"/>
        <v>2.4909999999999988E-2</v>
      </c>
      <c r="W22" s="3">
        <f t="shared" si="18"/>
        <v>-2.2699999999999942E-3</v>
      </c>
      <c r="X22" s="3">
        <f t="shared" si="19"/>
        <v>6.0329999999999995E-2</v>
      </c>
      <c r="Y22" s="3">
        <f t="shared" si="2"/>
        <v>-6.0900000000000065E-2</v>
      </c>
      <c r="Z22" s="3">
        <f t="shared" si="3"/>
        <v>-9.9200000000000399E-3</v>
      </c>
      <c r="AA22" s="3">
        <f t="shared" si="4"/>
        <v>2.6839999999999975E-2</v>
      </c>
      <c r="AB22" s="3">
        <f t="shared" si="5"/>
        <v>-5.1999999999999824E-3</v>
      </c>
      <c r="AC22" s="3">
        <f t="shared" si="6"/>
        <v>3.5199999999999898E-2</v>
      </c>
      <c r="AD22" s="3">
        <f t="shared" si="7"/>
        <v>3.1539999999999901E-2</v>
      </c>
      <c r="AE22" s="3">
        <f t="shared" si="8"/>
        <v>2.805000000000013E-2</v>
      </c>
      <c r="AF22" s="3">
        <f t="shared" si="9"/>
        <v>4.0680000000000049E-2</v>
      </c>
      <c r="AG22" s="3">
        <f t="shared" si="10"/>
        <v>4.1609999999999925E-2</v>
      </c>
      <c r="AH22" s="3">
        <f t="shared" si="11"/>
        <v>3.1379999999999963E-2</v>
      </c>
      <c r="AI22" s="3">
        <f t="shared" si="12"/>
        <v>2.5279999999999969E-2</v>
      </c>
      <c r="AJ22" s="3">
        <f t="shared" si="13"/>
        <v>4.3590000000000018E-2</v>
      </c>
      <c r="AK22" s="3">
        <f t="shared" si="14"/>
        <v>1.7679999999999918E-2</v>
      </c>
      <c r="AL22" s="3">
        <f t="shared" si="15"/>
        <v>9.6800000000001329E-3</v>
      </c>
      <c r="AM22" s="3">
        <f t="shared" si="16"/>
        <v>1.0140000000000038E-2</v>
      </c>
    </row>
    <row r="23" spans="1:39" x14ac:dyDescent="0.25">
      <c r="A23">
        <v>2007</v>
      </c>
      <c r="B23">
        <v>104.364</v>
      </c>
      <c r="C23">
        <v>104.629</v>
      </c>
      <c r="D23">
        <v>99.509</v>
      </c>
      <c r="E23">
        <v>109.55200000000001</v>
      </c>
      <c r="F23">
        <v>97.054000000000002</v>
      </c>
      <c r="G23">
        <v>93.89</v>
      </c>
      <c r="H23">
        <v>107.06399999999999</v>
      </c>
      <c r="I23" s="1">
        <v>101.259</v>
      </c>
      <c r="J23" s="1">
        <v>105.988</v>
      </c>
      <c r="K23" s="1">
        <v>104.01</v>
      </c>
      <c r="L23" s="1">
        <v>104.733</v>
      </c>
      <c r="M23" s="1">
        <v>108.364</v>
      </c>
      <c r="N23" s="1">
        <v>106.274</v>
      </c>
      <c r="O23" s="1">
        <v>107.354</v>
      </c>
      <c r="P23" s="1">
        <v>104.99</v>
      </c>
      <c r="Q23" s="1">
        <v>106.72199999999999</v>
      </c>
      <c r="R23" s="1">
        <v>101.485</v>
      </c>
      <c r="S23" s="1">
        <v>101.393</v>
      </c>
      <c r="T23" s="1">
        <v>102.73699999999999</v>
      </c>
      <c r="U23" s="3">
        <f t="shared" si="1"/>
        <v>1.9946639562952617E-2</v>
      </c>
      <c r="V23" s="3">
        <f t="shared" si="17"/>
        <v>2.0860368227454185E-2</v>
      </c>
      <c r="W23" s="3">
        <f t="shared" si="18"/>
        <v>-2.6460064346065515E-3</v>
      </c>
      <c r="X23" s="3">
        <f t="shared" si="19"/>
        <v>3.3187781162468344E-2</v>
      </c>
      <c r="Y23" s="3">
        <f t="shared" si="2"/>
        <v>3.3478862740922155E-2</v>
      </c>
      <c r="Z23" s="3">
        <f t="shared" si="3"/>
        <v>-5.1692792501615958E-2</v>
      </c>
      <c r="AA23" s="3">
        <f t="shared" si="4"/>
        <v>4.2655136145845374E-2</v>
      </c>
      <c r="AB23" s="3">
        <f t="shared" si="5"/>
        <v>1.7882991556091632E-2</v>
      </c>
      <c r="AC23" s="3">
        <f t="shared" si="6"/>
        <v>2.3840803709428204E-2</v>
      </c>
      <c r="AD23" s="3">
        <f t="shared" si="7"/>
        <v>8.2982724857980639E-3</v>
      </c>
      <c r="AE23" s="3">
        <f t="shared" si="8"/>
        <v>1.8753951656047763E-2</v>
      </c>
      <c r="AF23" s="3">
        <f t="shared" si="9"/>
        <v>4.1280701080063098E-2</v>
      </c>
      <c r="AG23" s="3">
        <f t="shared" si="10"/>
        <v>2.0285903553153295E-2</v>
      </c>
      <c r="AH23" s="3">
        <f t="shared" si="11"/>
        <v>4.0877271228838996E-2</v>
      </c>
      <c r="AI23" s="3">
        <f t="shared" si="12"/>
        <v>2.4012952559300693E-2</v>
      </c>
      <c r="AJ23" s="3">
        <f t="shared" si="13"/>
        <v>2.2642991979608951E-2</v>
      </c>
      <c r="AK23" s="3">
        <f t="shared" si="14"/>
        <v>-2.7808348400283345E-3</v>
      </c>
      <c r="AL23" s="3">
        <f t="shared" si="15"/>
        <v>4.2092544172411817E-3</v>
      </c>
      <c r="AM23" s="3">
        <f t="shared" si="16"/>
        <v>1.7057041598194322E-2</v>
      </c>
    </row>
    <row r="24" spans="1:39" x14ac:dyDescent="0.25">
      <c r="A24">
        <v>2008</v>
      </c>
      <c r="B24">
        <v>102.631</v>
      </c>
      <c r="C24">
        <v>102.47499999999999</v>
      </c>
      <c r="D24">
        <v>98.548000000000002</v>
      </c>
      <c r="E24">
        <v>112.054</v>
      </c>
      <c r="F24">
        <v>101.096</v>
      </c>
      <c r="G24">
        <v>87.096999999999994</v>
      </c>
      <c r="H24">
        <v>101.075</v>
      </c>
      <c r="I24" s="1">
        <v>95.027000000000001</v>
      </c>
      <c r="J24" s="1">
        <v>106.875</v>
      </c>
      <c r="K24" s="1">
        <v>98.192999999999998</v>
      </c>
      <c r="L24" s="1">
        <v>102.699</v>
      </c>
      <c r="M24" s="1">
        <v>111.053</v>
      </c>
      <c r="N24" s="1">
        <v>103.518</v>
      </c>
      <c r="O24" s="1">
        <v>109.52800000000001</v>
      </c>
      <c r="P24" s="1">
        <v>108.31399999999999</v>
      </c>
      <c r="Q24" s="1">
        <v>105.14700000000001</v>
      </c>
      <c r="R24" s="1">
        <v>100.489</v>
      </c>
      <c r="S24" s="1">
        <v>106.711</v>
      </c>
      <c r="T24" s="1">
        <v>102.378</v>
      </c>
      <c r="U24" s="3">
        <f t="shared" si="1"/>
        <v>-1.6605342838526771E-2</v>
      </c>
      <c r="V24" s="3">
        <f t="shared" si="17"/>
        <v>-2.0587026541398767E-2</v>
      </c>
      <c r="W24" s="3">
        <f t="shared" si="18"/>
        <v>-9.6574179219970357E-3</v>
      </c>
      <c r="X24" s="3">
        <f t="shared" si="19"/>
        <v>2.283846940265799E-2</v>
      </c>
      <c r="Y24" s="3">
        <f t="shared" si="2"/>
        <v>4.1646918210480832E-2</v>
      </c>
      <c r="Z24" s="3">
        <f t="shared" si="3"/>
        <v>-7.2350623069549536E-2</v>
      </c>
      <c r="AA24" s="3">
        <f t="shared" si="4"/>
        <v>-5.5938504072330475E-2</v>
      </c>
      <c r="AB24" s="3">
        <f t="shared" si="5"/>
        <v>-6.1545146604252476E-2</v>
      </c>
      <c r="AC24" s="3">
        <f t="shared" si="6"/>
        <v>8.3688719477676976E-3</v>
      </c>
      <c r="AD24" s="3">
        <f t="shared" si="7"/>
        <v>-5.592731468128076E-2</v>
      </c>
      <c r="AE24" s="3">
        <f t="shared" si="8"/>
        <v>-1.9420812924293207E-2</v>
      </c>
      <c r="AF24" s="3">
        <f t="shared" si="9"/>
        <v>2.4814514045254921E-2</v>
      </c>
      <c r="AG24" s="3">
        <f t="shared" si="10"/>
        <v>-2.593296573009396E-2</v>
      </c>
      <c r="AH24" s="3">
        <f t="shared" si="11"/>
        <v>2.025075917059449E-2</v>
      </c>
      <c r="AI24" s="3">
        <f t="shared" si="12"/>
        <v>3.166015811029621E-2</v>
      </c>
      <c r="AJ24" s="3">
        <f t="shared" si="13"/>
        <v>-1.4757969303423768E-2</v>
      </c>
      <c r="AK24" s="3">
        <f t="shared" si="14"/>
        <v>-9.8142582647681165E-3</v>
      </c>
      <c r="AL24" s="3">
        <f t="shared" si="15"/>
        <v>5.2449380134723222E-2</v>
      </c>
      <c r="AM24" s="3">
        <f t="shared" si="16"/>
        <v>-3.4943593836689324E-3</v>
      </c>
    </row>
    <row r="25" spans="1:39" x14ac:dyDescent="0.25">
      <c r="A25">
        <v>2009</v>
      </c>
      <c r="B25">
        <v>97.033000000000001</v>
      </c>
      <c r="C25">
        <v>95.668999999999997</v>
      </c>
      <c r="D25">
        <v>102.395</v>
      </c>
      <c r="E25">
        <v>102.863</v>
      </c>
      <c r="F25">
        <v>85.71</v>
      </c>
      <c r="G25">
        <v>76.265000000000001</v>
      </c>
      <c r="H25">
        <v>80.847999999999999</v>
      </c>
      <c r="I25" s="1">
        <v>89.757999999999996</v>
      </c>
      <c r="J25" s="1">
        <v>85.373999999999995</v>
      </c>
      <c r="K25" s="1">
        <v>91.123000000000005</v>
      </c>
      <c r="L25" s="1">
        <v>91.039000000000001</v>
      </c>
      <c r="M25" s="1">
        <v>107.602</v>
      </c>
      <c r="N25" s="1">
        <v>104.265</v>
      </c>
      <c r="O25" s="1">
        <v>104.14400000000001</v>
      </c>
      <c r="P25" s="1">
        <v>109.809</v>
      </c>
      <c r="Q25" s="1">
        <v>99.347999999999999</v>
      </c>
      <c r="R25" s="1">
        <v>93.430999999999997</v>
      </c>
      <c r="S25" s="1">
        <v>111.886</v>
      </c>
      <c r="T25" s="1">
        <v>105.236</v>
      </c>
      <c r="U25" s="3">
        <f t="shared" si="1"/>
        <v>-5.4544923073925E-2</v>
      </c>
      <c r="V25" s="3">
        <f t="shared" si="17"/>
        <v>-6.6416199072944604E-2</v>
      </c>
      <c r="W25" s="3">
        <f t="shared" si="18"/>
        <v>3.903681454722574E-2</v>
      </c>
      <c r="X25" s="3">
        <f t="shared" si="19"/>
        <v>-8.2022953218983674E-2</v>
      </c>
      <c r="Y25" s="3">
        <f t="shared" si="2"/>
        <v>-0.15219197594365763</v>
      </c>
      <c r="Z25" s="3">
        <f t="shared" si="3"/>
        <v>-0.12436708497422411</v>
      </c>
      <c r="AA25" s="3">
        <f t="shared" si="4"/>
        <v>-0.20011872372000994</v>
      </c>
      <c r="AB25" s="3">
        <f t="shared" si="5"/>
        <v>-5.5447399160238775E-2</v>
      </c>
      <c r="AC25" s="3">
        <f t="shared" si="6"/>
        <v>-0.20117894736842112</v>
      </c>
      <c r="AD25" s="3">
        <f t="shared" si="7"/>
        <v>-7.2001059138635082E-2</v>
      </c>
      <c r="AE25" s="3">
        <f t="shared" si="8"/>
        <v>-0.11353567220712957</v>
      </c>
      <c r="AF25" s="3">
        <f t="shared" si="9"/>
        <v>-3.1075252356982608E-2</v>
      </c>
      <c r="AG25" s="3">
        <f t="shared" si="10"/>
        <v>7.2161363241174392E-3</v>
      </c>
      <c r="AH25" s="3">
        <f t="shared" si="11"/>
        <v>-4.9156380103717812E-2</v>
      </c>
      <c r="AI25" s="3">
        <f t="shared" si="12"/>
        <v>1.3802463208818949E-2</v>
      </c>
      <c r="AJ25" s="3">
        <f t="shared" si="13"/>
        <v>-5.5151359525236199E-2</v>
      </c>
      <c r="AK25" s="3">
        <f t="shared" si="14"/>
        <v>-7.0236543303247134E-2</v>
      </c>
      <c r="AL25" s="3">
        <f t="shared" si="15"/>
        <v>4.8495469070667374E-2</v>
      </c>
      <c r="AM25" s="3">
        <f t="shared" si="16"/>
        <v>2.7916153861181181E-2</v>
      </c>
    </row>
    <row r="26" spans="1:39" x14ac:dyDescent="0.25">
      <c r="A26">
        <v>2010</v>
      </c>
      <c r="B26">
        <v>99.412000000000006</v>
      </c>
      <c r="C26">
        <v>98.27</v>
      </c>
      <c r="D26">
        <v>100.955</v>
      </c>
      <c r="E26">
        <v>108.214</v>
      </c>
      <c r="F26">
        <v>90.552000000000007</v>
      </c>
      <c r="G26">
        <v>69.861999999999995</v>
      </c>
      <c r="H26">
        <v>89.72</v>
      </c>
      <c r="I26" s="1">
        <v>91.376999999999995</v>
      </c>
      <c r="J26" s="1">
        <v>97.028999999999996</v>
      </c>
      <c r="K26" s="1">
        <v>100.991</v>
      </c>
      <c r="L26" s="1">
        <v>95.411000000000001</v>
      </c>
      <c r="M26" s="1">
        <v>110.914</v>
      </c>
      <c r="N26" s="1">
        <v>102.57599999999999</v>
      </c>
      <c r="O26" s="1">
        <v>106.37</v>
      </c>
      <c r="P26" s="1">
        <v>112.35899999999999</v>
      </c>
      <c r="Q26" s="1">
        <v>101.27</v>
      </c>
      <c r="R26" s="1">
        <v>93.162999999999997</v>
      </c>
      <c r="S26" s="1">
        <v>116.002</v>
      </c>
      <c r="T26" s="1">
        <v>104.274</v>
      </c>
      <c r="U26" s="3">
        <f t="shared" si="1"/>
        <v>2.4517432213782886E-2</v>
      </c>
      <c r="V26" s="3">
        <f t="shared" si="17"/>
        <v>2.7187490200587527E-2</v>
      </c>
      <c r="W26" s="3">
        <f t="shared" si="18"/>
        <v>-1.4063186679037054E-2</v>
      </c>
      <c r="X26" s="3">
        <f t="shared" si="19"/>
        <v>5.2020648824164128E-2</v>
      </c>
      <c r="Y26" s="3">
        <f t="shared" si="2"/>
        <v>5.6492824641232176E-2</v>
      </c>
      <c r="Z26" s="3">
        <f t="shared" si="3"/>
        <v>-8.3957254310627505E-2</v>
      </c>
      <c r="AA26" s="3">
        <f t="shared" si="4"/>
        <v>0.10973679002572734</v>
      </c>
      <c r="AB26" s="3">
        <f t="shared" si="5"/>
        <v>1.8037389424897965E-2</v>
      </c>
      <c r="AC26" s="3">
        <f t="shared" si="6"/>
        <v>0.1365169723803501</v>
      </c>
      <c r="AD26" s="3">
        <f t="shared" si="7"/>
        <v>0.10829318613302896</v>
      </c>
      <c r="AE26" s="3">
        <f t="shared" si="8"/>
        <v>4.8023374597699897E-2</v>
      </c>
      <c r="AF26" s="3">
        <f t="shared" si="9"/>
        <v>3.0780097024218911E-2</v>
      </c>
      <c r="AG26" s="3">
        <f t="shared" si="10"/>
        <v>-1.6199108042008414E-2</v>
      </c>
      <c r="AH26" s="3">
        <f t="shared" si="11"/>
        <v>2.1374251037025616E-2</v>
      </c>
      <c r="AI26" s="3">
        <f t="shared" si="12"/>
        <v>2.3222140261727198E-2</v>
      </c>
      <c r="AJ26" s="3">
        <f t="shared" si="13"/>
        <v>1.9346136812014247E-2</v>
      </c>
      <c r="AK26" s="3">
        <f t="shared" si="14"/>
        <v>-2.868426967494786E-3</v>
      </c>
      <c r="AL26" s="3">
        <f t="shared" si="15"/>
        <v>3.6787444363012289E-2</v>
      </c>
      <c r="AM26" s="3">
        <f t="shared" si="16"/>
        <v>-9.1413584704853612E-3</v>
      </c>
    </row>
    <row r="27" spans="1:39" x14ac:dyDescent="0.25">
      <c r="A27">
        <v>2011</v>
      </c>
      <c r="B27">
        <v>101.003</v>
      </c>
      <c r="C27">
        <v>100.3</v>
      </c>
      <c r="D27">
        <v>96.325000000000003</v>
      </c>
      <c r="E27">
        <v>117.527</v>
      </c>
      <c r="F27">
        <v>86.283000000000001</v>
      </c>
      <c r="G27">
        <v>66.590999999999994</v>
      </c>
      <c r="H27">
        <v>96.051000000000002</v>
      </c>
      <c r="I27" s="1">
        <v>91.233999999999995</v>
      </c>
      <c r="J27" s="1">
        <v>103.851</v>
      </c>
      <c r="K27" s="1">
        <v>102.44499999999999</v>
      </c>
      <c r="L27" s="1">
        <v>98.91</v>
      </c>
      <c r="M27" s="1">
        <v>116.349</v>
      </c>
      <c r="N27" s="1">
        <v>101.684</v>
      </c>
      <c r="O27" s="1">
        <v>109.974</v>
      </c>
      <c r="P27" s="1">
        <v>116.333</v>
      </c>
      <c r="Q27" s="1">
        <v>105.584</v>
      </c>
      <c r="R27" s="1">
        <v>94.444999999999993</v>
      </c>
      <c r="S27" s="1">
        <v>113.691</v>
      </c>
      <c r="T27" s="1">
        <v>102.846</v>
      </c>
      <c r="U27" s="3">
        <f t="shared" si="1"/>
        <v>1.6004104132297803E-2</v>
      </c>
      <c r="V27" s="3">
        <f t="shared" si="17"/>
        <v>2.0657372545028974E-2</v>
      </c>
      <c r="W27" s="3">
        <f t="shared" si="18"/>
        <v>-4.5862017730672E-2</v>
      </c>
      <c r="X27" s="3">
        <f t="shared" si="19"/>
        <v>8.6060953296246412E-2</v>
      </c>
      <c r="Y27" s="3">
        <f t="shared" si="2"/>
        <v>-4.7144182348264008E-2</v>
      </c>
      <c r="Z27" s="3">
        <f t="shared" si="3"/>
        <v>-4.6820875440153453E-2</v>
      </c>
      <c r="AA27" s="3">
        <f t="shared" si="4"/>
        <v>7.0563976816763407E-2</v>
      </c>
      <c r="AB27" s="3">
        <f t="shared" si="5"/>
        <v>-1.5649452269170805E-3</v>
      </c>
      <c r="AC27" s="3">
        <f t="shared" si="6"/>
        <v>7.0308876727576353E-2</v>
      </c>
      <c r="AD27" s="3">
        <f t="shared" si="7"/>
        <v>1.4397322533691082E-2</v>
      </c>
      <c r="AE27" s="3">
        <f t="shared" si="8"/>
        <v>3.6672920313171486E-2</v>
      </c>
      <c r="AF27" s="3">
        <f t="shared" si="9"/>
        <v>4.9001929422796131E-2</v>
      </c>
      <c r="AG27" s="3">
        <f t="shared" si="10"/>
        <v>-8.6959912650131921E-3</v>
      </c>
      <c r="AH27" s="3">
        <f t="shared" si="11"/>
        <v>3.388173357149582E-2</v>
      </c>
      <c r="AI27" s="3">
        <f t="shared" si="12"/>
        <v>3.5368773306989176E-2</v>
      </c>
      <c r="AJ27" s="3">
        <f t="shared" si="13"/>
        <v>4.259899279154733E-2</v>
      </c>
      <c r="AK27" s="3">
        <f t="shared" si="14"/>
        <v>1.3760827796442721E-2</v>
      </c>
      <c r="AL27" s="3">
        <f t="shared" si="15"/>
        <v>-1.9922070309132511E-2</v>
      </c>
      <c r="AM27" s="3">
        <f t="shared" si="16"/>
        <v>-1.3694688992462178E-2</v>
      </c>
    </row>
    <row r="28" spans="1:39" x14ac:dyDescent="0.25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9" x14ac:dyDescent="0.25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39" x14ac:dyDescent="0.25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39" x14ac:dyDescent="0.25">
      <c r="U31" s="1"/>
      <c r="V31" s="1"/>
    </row>
    <row r="32" spans="1:39" x14ac:dyDescent="0.25">
      <c r="U32" s="1"/>
      <c r="V32" s="1"/>
    </row>
    <row r="33" spans="21:22" x14ac:dyDescent="0.25">
      <c r="U33" s="1"/>
      <c r="V33" s="1"/>
    </row>
    <row r="34" spans="21:22" x14ac:dyDescent="0.25">
      <c r="U34" s="1"/>
      <c r="V34" s="1"/>
    </row>
    <row r="35" spans="21:22" x14ac:dyDescent="0.25">
      <c r="U35" s="1"/>
      <c r="V35" s="1"/>
    </row>
    <row r="53" spans="21:22" x14ac:dyDescent="0.25">
      <c r="U53" s="1"/>
      <c r="V53" s="1"/>
    </row>
    <row r="54" spans="21:22" x14ac:dyDescent="0.25">
      <c r="U54" s="1"/>
      <c r="V54" s="1"/>
    </row>
    <row r="55" spans="21:22" x14ac:dyDescent="0.25">
      <c r="U55" s="1"/>
      <c r="V55" s="1"/>
    </row>
    <row r="74" spans="21:39" x14ac:dyDescent="0.25"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21:39" x14ac:dyDescent="0.25"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21:39" x14ac:dyDescent="0.25"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21:39" x14ac:dyDescent="0.25"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21:39" x14ac:dyDescent="0.25"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21:39" x14ac:dyDescent="0.25"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21:39" x14ac:dyDescent="0.25"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21:39" x14ac:dyDescent="0.25"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21:39" x14ac:dyDescent="0.25"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21:39" x14ac:dyDescent="0.25"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21:39" x14ac:dyDescent="0.25"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21:39" x14ac:dyDescent="0.25"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21:39" x14ac:dyDescent="0.25"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21:39" x14ac:dyDescent="0.25"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21:39" x14ac:dyDescent="0.25"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21:39" x14ac:dyDescent="0.25"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21:39" x14ac:dyDescent="0.25"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21:39" x14ac:dyDescent="0.25"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21:39" x14ac:dyDescent="0.25"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21:39" x14ac:dyDescent="0.25"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21:39" x14ac:dyDescent="0.25"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21:39" x14ac:dyDescent="0.25"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21:39" x14ac:dyDescent="0.25"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21:39" x14ac:dyDescent="0.25"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21:39" x14ac:dyDescent="0.25"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21:39" x14ac:dyDescent="0.25"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21:39" x14ac:dyDescent="0.25"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21:39" x14ac:dyDescent="0.25"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21:39" x14ac:dyDescent="0.25"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21:39" x14ac:dyDescent="0.25"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EDFC-8981-4455-AEE0-84B3D91ABD96}">
  <dimension ref="A1:A4"/>
  <sheetViews>
    <sheetView workbookViewId="0">
      <selection sqref="A1:AA4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21</v>
      </c>
    </row>
    <row r="3" spans="1:1" x14ac:dyDescent="0.25">
      <c r="A3" t="s">
        <v>23</v>
      </c>
    </row>
    <row r="4" spans="1:1" x14ac:dyDescent="0.25">
      <c r="A4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Footnotes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2025-10-01T21:24:39Z</dcterms:created>
  <dcterms:modified xsi:type="dcterms:W3CDTF">2025-10-02T20:34:50Z</dcterms:modified>
</cp:coreProperties>
</file>
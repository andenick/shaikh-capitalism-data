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367" documentId="8_{9F0E418A-F1C7-4C73-A716-E26490597F16}" xr6:coauthVersionLast="47" xr6:coauthVersionMax="47" xr10:uidLastSave="{43FF170C-A7EE-4CAF-95C5-B1C14E91A932}"/>
  <bookViews>
    <workbookView xWindow="-28920" yWindow="-300" windowWidth="29040" windowHeight="15720" xr2:uid="{E3626429-2A4D-406E-81E4-B8E1526B5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74" i="1" l="1"/>
  <c r="AN74" i="1"/>
  <c r="AO73" i="1"/>
  <c r="AN73" i="1"/>
  <c r="AO72" i="1"/>
  <c r="AN72" i="1"/>
  <c r="AO71" i="1"/>
  <c r="AN71" i="1"/>
  <c r="AO70" i="1"/>
  <c r="AN70" i="1"/>
  <c r="AO69" i="1"/>
  <c r="AN69" i="1"/>
  <c r="AO68" i="1"/>
  <c r="AN68" i="1"/>
  <c r="AO67" i="1"/>
  <c r="AN67" i="1"/>
  <c r="AO66" i="1"/>
  <c r="AN66" i="1"/>
  <c r="AO65" i="1"/>
  <c r="AN65" i="1"/>
  <c r="AO64" i="1"/>
  <c r="AN64" i="1"/>
  <c r="AO63" i="1"/>
  <c r="AN63" i="1"/>
  <c r="AO62" i="1"/>
  <c r="AN62" i="1"/>
  <c r="AO61" i="1"/>
  <c r="AN61" i="1"/>
  <c r="AO60" i="1"/>
  <c r="AN60" i="1"/>
  <c r="AO59" i="1"/>
  <c r="AN59" i="1"/>
  <c r="AO58" i="1"/>
  <c r="AN58" i="1"/>
  <c r="AO57" i="1"/>
  <c r="AN57" i="1"/>
  <c r="AO56" i="1"/>
  <c r="AN56" i="1"/>
  <c r="AO55" i="1"/>
  <c r="AN55" i="1"/>
  <c r="AO54" i="1"/>
  <c r="AN54" i="1"/>
  <c r="AO53" i="1"/>
  <c r="AN53" i="1"/>
  <c r="AO52" i="1"/>
  <c r="AN52" i="1"/>
  <c r="AO51" i="1"/>
  <c r="AN51" i="1"/>
  <c r="AO50" i="1"/>
  <c r="AN50" i="1"/>
  <c r="AO49" i="1"/>
  <c r="AN49" i="1"/>
  <c r="AO48" i="1"/>
  <c r="AN48" i="1"/>
  <c r="AO47" i="1"/>
  <c r="AN47" i="1"/>
  <c r="AO46" i="1"/>
  <c r="AN46" i="1"/>
  <c r="AO45" i="1"/>
  <c r="AN45" i="1"/>
  <c r="AO44" i="1"/>
  <c r="AN44" i="1"/>
  <c r="AO43" i="1"/>
  <c r="AN43" i="1"/>
  <c r="AO42" i="1"/>
  <c r="AN42" i="1"/>
  <c r="AO41" i="1"/>
  <c r="AN41" i="1"/>
  <c r="AO40" i="1"/>
  <c r="AN40" i="1"/>
  <c r="AO39" i="1"/>
  <c r="AN39" i="1"/>
  <c r="AO38" i="1"/>
  <c r="AN38" i="1"/>
  <c r="AO37" i="1"/>
  <c r="AN37" i="1"/>
  <c r="AO36" i="1"/>
  <c r="AN36" i="1"/>
  <c r="AO35" i="1"/>
  <c r="AN35" i="1"/>
  <c r="AO34" i="1"/>
  <c r="AN34" i="1"/>
  <c r="AO33" i="1"/>
  <c r="AN33" i="1"/>
  <c r="AO32" i="1"/>
  <c r="AN32" i="1"/>
  <c r="AO31" i="1"/>
  <c r="AN31" i="1"/>
  <c r="AO30" i="1"/>
  <c r="AN30" i="1"/>
  <c r="AO29" i="1"/>
  <c r="AN29" i="1"/>
  <c r="AO28" i="1"/>
  <c r="AN28" i="1"/>
  <c r="AO27" i="1"/>
  <c r="AN27" i="1"/>
  <c r="AO26" i="1"/>
  <c r="AN26" i="1"/>
  <c r="AO25" i="1"/>
  <c r="AN25" i="1"/>
  <c r="AO24" i="1"/>
  <c r="AN24" i="1"/>
  <c r="AO23" i="1"/>
  <c r="AN23" i="1"/>
  <c r="AO22" i="1"/>
  <c r="AN22" i="1"/>
  <c r="AO21" i="1"/>
  <c r="AN21" i="1"/>
  <c r="AO20" i="1"/>
  <c r="AN20" i="1"/>
  <c r="AO19" i="1"/>
  <c r="AN19" i="1"/>
  <c r="AO18" i="1"/>
  <c r="AN18" i="1"/>
  <c r="AO17" i="1"/>
  <c r="AN17" i="1"/>
  <c r="AO16" i="1"/>
  <c r="AN16" i="1"/>
  <c r="AO15" i="1"/>
  <c r="AN15" i="1"/>
  <c r="AO14" i="1"/>
  <c r="AN14" i="1"/>
  <c r="AO13" i="1"/>
  <c r="AN13" i="1"/>
  <c r="AO12" i="1"/>
  <c r="AN12" i="1"/>
  <c r="AO11" i="1"/>
  <c r="AN11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9" i="1"/>
  <c r="AL3" i="1"/>
  <c r="AH10" i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AH72" i="1" s="1"/>
  <c r="AH73" i="1" s="1"/>
  <c r="AH74" i="1" s="1"/>
  <c r="AI74" i="1"/>
  <c r="AI73" i="1"/>
  <c r="AI72" i="1" s="1"/>
  <c r="AI71" i="1" s="1"/>
  <c r="AI70" i="1" s="1"/>
  <c r="AI69" i="1" s="1"/>
  <c r="AI68" i="1" s="1"/>
  <c r="AI67" i="1" s="1"/>
  <c r="AI66" i="1" s="1"/>
  <c r="AI65" i="1" s="1"/>
  <c r="AI64" i="1" s="1"/>
  <c r="AI63" i="1" s="1"/>
  <c r="AI62" i="1" s="1"/>
  <c r="AI61" i="1" s="1"/>
  <c r="AI60" i="1" s="1"/>
  <c r="AI59" i="1" s="1"/>
  <c r="AI58" i="1" s="1"/>
  <c r="AI57" i="1" s="1"/>
  <c r="AI56" i="1" s="1"/>
  <c r="AI55" i="1" s="1"/>
  <c r="AI54" i="1" s="1"/>
  <c r="AI53" i="1" s="1"/>
  <c r="AI52" i="1" s="1"/>
  <c r="AI51" i="1" s="1"/>
  <c r="AI50" i="1" s="1"/>
  <c r="AI49" i="1" s="1"/>
  <c r="AI48" i="1" s="1"/>
  <c r="AI47" i="1" s="1"/>
  <c r="AI46" i="1" s="1"/>
  <c r="AI45" i="1" s="1"/>
  <c r="AI44" i="1" s="1"/>
  <c r="AI43" i="1" s="1"/>
  <c r="AI42" i="1" s="1"/>
  <c r="AI41" i="1" s="1"/>
  <c r="AI40" i="1" s="1"/>
  <c r="AI39" i="1" s="1"/>
  <c r="AI38" i="1" s="1"/>
  <c r="AI37" i="1" s="1"/>
  <c r="AI36" i="1" s="1"/>
  <c r="AI35" i="1" s="1"/>
  <c r="AI34" i="1" s="1"/>
  <c r="AI33" i="1" s="1"/>
  <c r="AI32" i="1" s="1"/>
  <c r="AI31" i="1" s="1"/>
  <c r="AI30" i="1" s="1"/>
  <c r="AI29" i="1" s="1"/>
  <c r="AI28" i="1" s="1"/>
  <c r="AI27" i="1" s="1"/>
  <c r="AI26" i="1" s="1"/>
  <c r="AI25" i="1" s="1"/>
  <c r="AI24" i="1" s="1"/>
  <c r="AI23" i="1" s="1"/>
  <c r="AI22" i="1" s="1"/>
  <c r="AI21" i="1" s="1"/>
  <c r="AI20" i="1" s="1"/>
  <c r="AI19" i="1" s="1"/>
  <c r="AI18" i="1" s="1"/>
  <c r="AI17" i="1" s="1"/>
  <c r="AI16" i="1" s="1"/>
  <c r="AI15" i="1" s="1"/>
  <c r="AI14" i="1" s="1"/>
  <c r="AI13" i="1" s="1"/>
  <c r="AI12" i="1" s="1"/>
  <c r="AI11" i="1" s="1"/>
  <c r="AI10" i="1" s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12" i="1"/>
  <c r="AC13" i="1"/>
  <c r="AC14" i="1"/>
  <c r="AC11" i="1"/>
  <c r="AA11" i="1"/>
  <c r="AB11" i="1"/>
  <c r="AA12" i="1"/>
  <c r="AB12" i="1"/>
  <c r="AA13" i="1"/>
  <c r="AB13" i="1"/>
  <c r="AA14" i="1"/>
  <c r="AB14" i="1"/>
  <c r="AA15" i="1"/>
  <c r="AB15" i="1"/>
  <c r="AA16" i="1"/>
  <c r="AB16" i="1"/>
  <c r="AA17" i="1"/>
  <c r="AB17" i="1"/>
  <c r="AA18" i="1"/>
  <c r="AB18" i="1"/>
  <c r="AA19" i="1"/>
  <c r="AB19" i="1"/>
  <c r="AA20" i="1"/>
  <c r="AB20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7" i="1"/>
  <c r="AB27" i="1"/>
  <c r="AA28" i="1"/>
  <c r="AB28" i="1"/>
  <c r="AA29" i="1"/>
  <c r="AB29" i="1"/>
  <c r="AA30" i="1"/>
  <c r="AB30" i="1"/>
  <c r="AA31" i="1"/>
  <c r="AB31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8" i="1"/>
  <c r="AB38" i="1"/>
  <c r="AA39" i="1"/>
  <c r="AB39" i="1"/>
  <c r="AA40" i="1"/>
  <c r="AB40" i="1"/>
  <c r="AA41" i="1"/>
  <c r="AB41" i="1"/>
  <c r="AA42" i="1"/>
  <c r="AB42" i="1"/>
  <c r="AA43" i="1"/>
  <c r="AB43" i="1"/>
  <c r="AA44" i="1"/>
  <c r="AB44" i="1"/>
  <c r="AA45" i="1"/>
  <c r="AB45" i="1"/>
  <c r="AA46" i="1"/>
  <c r="AB46" i="1"/>
  <c r="AA47" i="1"/>
  <c r="AB47" i="1"/>
  <c r="AA48" i="1"/>
  <c r="AB48" i="1"/>
  <c r="AA49" i="1"/>
  <c r="AB49" i="1"/>
  <c r="AA50" i="1"/>
  <c r="AB50" i="1"/>
  <c r="AA51" i="1"/>
  <c r="AB51" i="1"/>
  <c r="AA52" i="1"/>
  <c r="AB52" i="1"/>
  <c r="AA53" i="1"/>
  <c r="AB53" i="1"/>
  <c r="AA54" i="1"/>
  <c r="AB54" i="1"/>
  <c r="AA55" i="1"/>
  <c r="AB55" i="1"/>
  <c r="AA56" i="1"/>
  <c r="AB56" i="1"/>
  <c r="AA57" i="1"/>
  <c r="AB57" i="1"/>
  <c r="AA58" i="1"/>
  <c r="AB58" i="1"/>
  <c r="AA59" i="1"/>
  <c r="AB59" i="1"/>
  <c r="AA60" i="1"/>
  <c r="AB60" i="1"/>
  <c r="AA61" i="1"/>
  <c r="AB61" i="1"/>
  <c r="AA62" i="1"/>
  <c r="AB62" i="1"/>
  <c r="AA63" i="1"/>
  <c r="AB63" i="1"/>
  <c r="AA64" i="1"/>
  <c r="AB64" i="1"/>
  <c r="AA65" i="1"/>
  <c r="AB65" i="1"/>
  <c r="AA66" i="1"/>
  <c r="AB66" i="1"/>
  <c r="AA67" i="1"/>
  <c r="AB67" i="1"/>
  <c r="AA68" i="1"/>
  <c r="AB68" i="1"/>
  <c r="AA69" i="1"/>
  <c r="AB69" i="1"/>
  <c r="AA70" i="1"/>
  <c r="AB70" i="1"/>
  <c r="AA71" i="1"/>
  <c r="AB71" i="1"/>
  <c r="AA72" i="1"/>
  <c r="AB72" i="1"/>
  <c r="AA73" i="1"/>
  <c r="AB73" i="1"/>
  <c r="AA74" i="1"/>
  <c r="AB74" i="1"/>
  <c r="AB10" i="1"/>
  <c r="AA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10" i="1"/>
  <c r="X11" i="1" l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W75" i="1"/>
  <c r="X10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4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M3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3" i="1"/>
  <c r="H33" i="1"/>
  <c r="H32" i="1"/>
  <c r="H31" i="1"/>
  <c r="H30" i="1"/>
  <c r="H29" i="1"/>
  <c r="H28" i="1"/>
  <c r="H27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27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C Anderson</author>
    <author>shaikh@newschool.edu</author>
  </authors>
  <commentList>
    <comment ref="AG1" authorId="0" shapeId="0" xr:uid="{8613932B-3356-4411-A9BA-94049DC7A27F}">
      <text>
        <r>
          <rPr>
            <b/>
            <sz val="9"/>
            <color indexed="81"/>
            <rFont val="Tahoma"/>
            <family val="2"/>
          </rPr>
          <t xml:space="preserve">shaikh@newschool.edu:
</t>
        </r>
        <r>
          <rPr>
            <sz val="9"/>
            <color indexed="81"/>
            <rFont val="Tahoma"/>
            <family val="2"/>
          </rPr>
          <t>Shiller, Robert J. 2014. "Speculative Asset Prices (Nobel Prize Lecture) " Cowles Foundation, Discussion Paper No. 1936, 1-45</t>
        </r>
      </text>
    </comment>
    <comment ref="AK1" authorId="0" shapeId="0" xr:uid="{6E736962-E946-4A71-9F1F-F505CF16ACBD}">
      <text>
        <r>
          <rPr>
            <b/>
            <sz val="9"/>
            <color indexed="81"/>
            <rFont val="Tahoma"/>
            <family val="2"/>
          </rPr>
          <t>ashaikh@newschool.edu:</t>
        </r>
        <r>
          <rPr>
            <sz val="9"/>
            <color indexed="81"/>
            <rFont val="Tahoma"/>
            <family val="2"/>
          </rPr>
          <t xml:space="preserve">
 long term stock, bond, interest rate and consumption data
http://www.econ.yale.edu/~shiller/data.htm</t>
        </r>
      </text>
    </comment>
    <comment ref="AH2" authorId="0" shapeId="0" xr:uid="{462E26BC-3BBD-41A8-B4C8-F506BBD6FBFF}">
      <text>
        <r>
          <rPr>
            <b/>
            <sz val="9"/>
            <color indexed="81"/>
            <rFont val="Tahoma"/>
            <family val="2"/>
          </rPr>
          <t xml:space="preserve">shaikh@newschool.edu:
</t>
        </r>
        <r>
          <rPr>
            <sz val="9"/>
            <color indexed="81"/>
            <rFont val="Tahoma"/>
            <family val="2"/>
          </rPr>
          <t xml:space="preserve">forward and backward iteration give the same results if the criterion is to have the same the average over some period </t>
        </r>
      </text>
    </comment>
    <comment ref="AI2" authorId="0" shapeId="0" xr:uid="{44EBA757-88D9-4FAF-9983-E8081DB28ADE}">
      <text>
        <r>
          <rPr>
            <b/>
            <sz val="9"/>
            <color indexed="81"/>
            <rFont val="Tahoma"/>
            <family val="2"/>
          </rPr>
          <t xml:space="preserve">shaikh@newschool.edu:
</t>
        </r>
        <r>
          <rPr>
            <sz val="9"/>
            <color indexed="81"/>
            <rFont val="Tahoma"/>
            <family val="2"/>
          </rPr>
          <t xml:space="preserve">forward and backward iteration give the same results if the criterion is to have the same the average over some period </t>
        </r>
      </text>
    </comment>
    <comment ref="AH10" authorId="1" shapeId="0" xr:uid="{5CF11893-A7F5-4DE4-A35C-B7391466E1BF}">
      <text>
        <r>
          <rPr>
            <b/>
            <sz val="9"/>
            <color indexed="81"/>
            <rFont val="Tahoma"/>
            <family val="2"/>
          </rPr>
          <t>shaikh@newschool.edu:</t>
        </r>
        <r>
          <rPr>
            <sz val="9"/>
            <color indexed="81"/>
            <rFont val="Tahoma"/>
            <family val="2"/>
          </rPr>
          <t xml:space="preserve">
initial value = real peq + adj parameter</t>
        </r>
      </text>
    </comment>
    <comment ref="AI74" authorId="0" shapeId="0" xr:uid="{C67F7DE3-297E-488D-82D4-C5766B6402B3}">
      <text>
        <r>
          <rPr>
            <b/>
            <sz val="9"/>
            <color indexed="81"/>
            <rFont val="Tahoma"/>
            <family val="2"/>
          </rPr>
          <t xml:space="preserve">shaikh@newschool.edu:
</t>
        </r>
        <r>
          <rPr>
            <sz val="9"/>
            <color indexed="81"/>
            <rFont val="Tahoma"/>
            <family val="2"/>
          </rPr>
          <t>final value = real peq + adj parameter</t>
        </r>
      </text>
    </comment>
    <comment ref="W75" authorId="0" shapeId="0" xr:uid="{DDA8D468-7AB4-4591-95C0-3FDC26CBA9A9}">
      <text>
        <r>
          <rPr>
            <b/>
            <sz val="9"/>
            <color indexed="81"/>
            <rFont val="Tahoma"/>
            <family val="2"/>
          </rPr>
          <t xml:space="preserve">shaikh@newschool.edu:
</t>
        </r>
        <r>
          <rPr>
            <sz val="9"/>
            <color indexed="81"/>
            <rFont val="Tahoma"/>
            <family val="2"/>
          </rPr>
          <t>Earnings per share for 2012 were constructed by applying the ratio of 2012 to 2011 S&amp;P earnings per share = (30.44/26.02 = 1.17) taken from http://pages.stern.nyu.edu/~adamodar/New_Home_Page/datafile/spearn.htm</t>
        </r>
      </text>
    </comment>
    <comment ref="Y75" authorId="0" shapeId="0" xr:uid="{C0AB97A8-6266-42AE-B01D-E7E240C125EA}">
      <text>
        <r>
          <rPr>
            <b/>
            <sz val="9"/>
            <color indexed="81"/>
            <rFont val="Tahoma"/>
            <family val="2"/>
          </rPr>
          <t>shaikh@newschool.edu:</t>
        </r>
        <r>
          <rPr>
            <sz val="9"/>
            <color indexed="81"/>
            <rFont val="Tahoma"/>
            <charset val="1"/>
          </rPr>
          <t xml:space="preserve">
updated   using FA T.6.7 and 6.8, lines2,  1/31/15,  see Appndx 6.8.II.1, </t>
        </r>
      </text>
    </comment>
    <comment ref="Y76" authorId="0" shapeId="0" xr:uid="{C04DDF89-1633-4D53-9D8B-9EBDEDD77B8D}">
      <text>
        <r>
          <rPr>
            <b/>
            <sz val="9"/>
            <color indexed="81"/>
            <rFont val="Tahoma"/>
            <family val="2"/>
          </rPr>
          <t xml:space="preserve">shaikh@newschool.edu:
</t>
        </r>
        <r>
          <rPr>
            <sz val="9"/>
            <color indexed="81"/>
            <rFont val="Tahoma"/>
            <family val="2"/>
          </rPr>
          <t xml:space="preserve">updated   using FA T.6.7 and 6.8, lines2,  1/31/15,  see Appndx 6.8.II.1, </t>
        </r>
      </text>
    </comment>
  </commentList>
</comments>
</file>

<file path=xl/sharedStrings.xml><?xml version="1.0" encoding="utf-8"?>
<sst xmlns="http://schemas.openxmlformats.org/spreadsheetml/2006/main" count="78" uniqueCount="67">
  <si>
    <t>Year</t>
  </si>
  <si>
    <t>Adjustment Credit 1940-2002, Primary Credit 2003+</t>
  </si>
  <si>
    <t>Discount Rate</t>
  </si>
  <si>
    <t>Fed Funds</t>
  </si>
  <si>
    <t>FF/Disc</t>
  </si>
  <si>
    <t>3 mo CD</t>
  </si>
  <si>
    <t>CD/Disc</t>
  </si>
  <si>
    <t>ERP 2012, Table B-73</t>
  </si>
  <si>
    <t>FRB, H.15 1966+</t>
  </si>
  <si>
    <t>Calculated</t>
  </si>
  <si>
    <t>ERP2012, B-73</t>
  </si>
  <si>
    <t>3-mo TBill</t>
  </si>
  <si>
    <t>TBill/CD</t>
  </si>
  <si>
    <t>Hi-grade Munis</t>
  </si>
  <si>
    <t>Corp Aaa</t>
  </si>
  <si>
    <t>Munis/Disc</t>
  </si>
  <si>
    <t>Corp Aaa/Disc</t>
  </si>
  <si>
    <t>Hi-Grade Munis/Corp Aaa</t>
  </si>
  <si>
    <t>Prime Rate</t>
  </si>
  <si>
    <t>Prime Rate*100</t>
  </si>
  <si>
    <t>Appendix 6.8A.3</t>
  </si>
  <si>
    <t>Business Profit Rate rbus</t>
  </si>
  <si>
    <t>rbcorp</t>
  </si>
  <si>
    <t>rb1Aaa</t>
  </si>
  <si>
    <t>Est using ib Corp Aaa</t>
  </si>
  <si>
    <t>rbcorplong</t>
  </si>
  <si>
    <t>Ibbotson rbcorplong*100</t>
  </si>
  <si>
    <t>Ibbotson rbcorp*100</t>
  </si>
  <si>
    <t>Business failure rate2</t>
  </si>
  <si>
    <t>Shiller S&amp;P Composite Stock Price Index</t>
  </si>
  <si>
    <t>Price.eq</t>
  </si>
  <si>
    <t>Div.eq</t>
  </si>
  <si>
    <t>eps.eq</t>
  </si>
  <si>
    <t>p-eRatio.eq</t>
  </si>
  <si>
    <t>Appendix Table 6.8.II.7 - pIGcorpbea</t>
  </si>
  <si>
    <t>Price index Corporate Gross Investment (2005 = 100)</t>
  </si>
  <si>
    <t>Calculated_peq / pIGcorpbea</t>
  </si>
  <si>
    <t>Calculated_dv /pIGcorpbea</t>
  </si>
  <si>
    <t>Real Price.eq - Real equity price deflated by gross investment price index</t>
  </si>
  <si>
    <t>Real Div.eq - Real equity dividends deflated by gross investment price index</t>
  </si>
  <si>
    <t>Calculated_e / pIGcorpbea</t>
  </si>
  <si>
    <t>Real eps.eq</t>
  </si>
  <si>
    <t>Calculated_(Δpreq + dvr)/preq(-1)</t>
  </si>
  <si>
    <t>rreq - Real equity rate of return</t>
  </si>
  <si>
    <t>Appendix Table 6.8.II.7 - iroprcorp</t>
  </si>
  <si>
    <t>Appendix Table 6.8.II.7 - iroprcorpnipa</t>
  </si>
  <si>
    <t>Adjusted Corp. Real Incremental Rate of Profit</t>
  </si>
  <si>
    <t>NIPA Corp. Real Incremental Rate of Profit</t>
  </si>
  <si>
    <t>Appendix Table 6.8.II.7 - rcorp</t>
  </si>
  <si>
    <t>Shiller (2014, p. 10) discount rate</t>
  </si>
  <si>
    <t>rstarshiller</t>
  </si>
  <si>
    <t>rcorp</t>
  </si>
  <si>
    <t>prw.eq - warranted real equity price forward iteration</t>
  </si>
  <si>
    <t>prw.eq' - warranted real equity price backward iteration</t>
  </si>
  <si>
    <t>Calculated_final value = real peq + adj parameter (290)</t>
  </si>
  <si>
    <t>Calculated_initial value = real peq + adj parameter (6.75)</t>
  </si>
  <si>
    <t>PRStarShiller</t>
  </si>
  <si>
    <t xml:space="preserve">cpi </t>
  </si>
  <si>
    <t>Shiller Real P* = PV of Real Dividends w/ Constant r - http://www.econ.yale.edu/~shiller/data.htm</t>
  </si>
  <si>
    <t>Shiller</t>
  </si>
  <si>
    <t>Real Present Value of Real Dividends using Constant Discount Rate converted to nominal using his CPI set 2005 = 100</t>
  </si>
  <si>
    <t>Calculated_pstarshiller='= prstarshiller*cpi/cpi2005</t>
  </si>
  <si>
    <t>Calculated_pstarshiller*100/pIGcorpbea</t>
  </si>
  <si>
    <t>prstarshiller1</t>
  </si>
  <si>
    <t>rreq - iroprcorp</t>
  </si>
  <si>
    <t>(rreq - iroprcorp)HP</t>
  </si>
  <si>
    <t>HP filtered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</si>
</sst>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  <font>
      <sz val="9"/>
      <color indexed="81"/>
      <name val="Tahoma"/>
      <charset val="1"/>
    </font>
    <font>
      <sz val="11"/>
      <color rgb="FF0070C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2" fontId="5" fillId="0" borderId="0" xfId="0" applyNumberFormat="1" applyFont="1" applyAlignment="1">
      <alignment horizontal="right"/>
    </xf>
    <xf numFmtId="2" fontId="0" fillId="0" borderId="0" xfId="0" applyNumberFormat="1"/>
    <xf numFmtId="2" fontId="7" fillId="0" borderId="0" xfId="0" applyNumberFormat="1" applyFont="1" applyAlignment="1">
      <alignment horizontal="right"/>
    </xf>
    <xf numFmtId="164" fontId="2" fillId="0" borderId="0" xfId="1" applyNumberFormat="1" applyFont="1"/>
    <xf numFmtId="164" fontId="7" fillId="0" borderId="0" xfId="1" applyNumberFormat="1" applyFont="1" applyFill="1" applyBorder="1" applyAlignment="1" applyProtection="1">
      <alignment horizontal="right"/>
    </xf>
    <xf numFmtId="166" fontId="0" fillId="0" borderId="0" xfId="0" applyNumberFormat="1"/>
    <xf numFmtId="10" fontId="2" fillId="0" borderId="0" xfId="1" applyNumberFormat="1" applyFont="1" applyFill="1"/>
    <xf numFmtId="166" fontId="2" fillId="0" borderId="0" xfId="0" applyNumberFormat="1" applyFont="1"/>
    <xf numFmtId="166" fontId="7" fillId="0" borderId="0" xfId="1" applyNumberFormat="1" applyFont="1" applyFill="1" applyBorder="1"/>
    <xf numFmtId="166" fontId="2" fillId="0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6D37-1747-4CA0-BA23-7D6EF5C65EAF}">
  <dimension ref="A1:AS7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7" max="7" width="9.7109375" customWidth="1"/>
  </cols>
  <sheetData>
    <row r="1" spans="1:45" x14ac:dyDescent="0.25">
      <c r="B1" t="s">
        <v>1</v>
      </c>
      <c r="C1" t="s">
        <v>7</v>
      </c>
      <c r="D1" t="s">
        <v>9</v>
      </c>
      <c r="E1" t="s">
        <v>8</v>
      </c>
      <c r="F1" t="s">
        <v>9</v>
      </c>
      <c r="G1" t="s">
        <v>10</v>
      </c>
      <c r="H1" t="s">
        <v>9</v>
      </c>
      <c r="I1" t="s">
        <v>10</v>
      </c>
      <c r="J1" t="s">
        <v>10</v>
      </c>
      <c r="K1" t="s">
        <v>9</v>
      </c>
      <c r="L1" t="s">
        <v>9</v>
      </c>
      <c r="M1" t="s">
        <v>9</v>
      </c>
      <c r="N1" t="s">
        <v>10</v>
      </c>
      <c r="O1" t="s">
        <v>9</v>
      </c>
      <c r="P1" t="s">
        <v>20</v>
      </c>
      <c r="Q1" t="s">
        <v>24</v>
      </c>
      <c r="R1" t="s">
        <v>26</v>
      </c>
      <c r="S1" t="s">
        <v>27</v>
      </c>
      <c r="U1" t="s">
        <v>29</v>
      </c>
      <c r="V1" t="s">
        <v>29</v>
      </c>
      <c r="W1" t="s">
        <v>29</v>
      </c>
      <c r="Y1" t="s">
        <v>34</v>
      </c>
      <c r="Z1" t="s">
        <v>36</v>
      </c>
      <c r="AA1" t="s">
        <v>37</v>
      </c>
      <c r="AB1" t="s">
        <v>40</v>
      </c>
      <c r="AC1" t="s">
        <v>42</v>
      </c>
      <c r="AD1" t="s">
        <v>44</v>
      </c>
      <c r="AE1" t="s">
        <v>45</v>
      </c>
      <c r="AF1" t="s">
        <v>48</v>
      </c>
      <c r="AG1" t="s">
        <v>49</v>
      </c>
      <c r="AH1" t="s">
        <v>55</v>
      </c>
      <c r="AI1" t="s">
        <v>54</v>
      </c>
      <c r="AJ1" t="s">
        <v>58</v>
      </c>
      <c r="AK1" t="s">
        <v>59</v>
      </c>
      <c r="AL1" t="s">
        <v>61</v>
      </c>
      <c r="AM1" t="s">
        <v>62</v>
      </c>
      <c r="AO1" t="s">
        <v>66</v>
      </c>
    </row>
    <row r="2" spans="1:45" ht="15.95" customHeight="1" x14ac:dyDescent="0.2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s="1" t="s">
        <v>11</v>
      </c>
      <c r="H2" t="s">
        <v>12</v>
      </c>
      <c r="I2" t="s">
        <v>13</v>
      </c>
      <c r="J2" s="1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21</v>
      </c>
      <c r="Q2" t="s">
        <v>23</v>
      </c>
      <c r="R2" t="s">
        <v>25</v>
      </c>
      <c r="S2" t="s">
        <v>22</v>
      </c>
      <c r="T2" t="s">
        <v>28</v>
      </c>
      <c r="U2" t="s">
        <v>30</v>
      </c>
      <c r="V2" t="s">
        <v>31</v>
      </c>
      <c r="W2" t="s">
        <v>32</v>
      </c>
      <c r="X2" t="s">
        <v>33</v>
      </c>
      <c r="Y2" t="s">
        <v>35</v>
      </c>
      <c r="Z2" t="s">
        <v>38</v>
      </c>
      <c r="AA2" t="s">
        <v>39</v>
      </c>
      <c r="AB2" t="s">
        <v>41</v>
      </c>
      <c r="AC2" t="s">
        <v>43</v>
      </c>
      <c r="AD2" t="s">
        <v>46</v>
      </c>
      <c r="AE2" t="s">
        <v>47</v>
      </c>
      <c r="AF2" t="s">
        <v>51</v>
      </c>
      <c r="AG2" t="s">
        <v>50</v>
      </c>
      <c r="AH2" t="s">
        <v>52</v>
      </c>
      <c r="AI2" t="s">
        <v>53</v>
      </c>
      <c r="AJ2" t="s">
        <v>56</v>
      </c>
      <c r="AK2" s="2" t="s">
        <v>57</v>
      </c>
      <c r="AL2" s="2" t="s">
        <v>60</v>
      </c>
      <c r="AM2" t="s">
        <v>63</v>
      </c>
      <c r="AN2" t="s">
        <v>64</v>
      </c>
      <c r="AO2" t="s">
        <v>65</v>
      </c>
    </row>
    <row r="3" spans="1:45" x14ac:dyDescent="0.25">
      <c r="A3">
        <v>1940</v>
      </c>
      <c r="B3" s="2">
        <v>1</v>
      </c>
      <c r="C3" s="2"/>
      <c r="D3" s="5"/>
      <c r="F3" s="7"/>
      <c r="G3">
        <v>1.4E-2</v>
      </c>
      <c r="I3">
        <v>2.5</v>
      </c>
      <c r="J3" s="2">
        <v>2.84</v>
      </c>
      <c r="K3" s="6">
        <f>+I3/B3</f>
        <v>2.5</v>
      </c>
      <c r="L3" s="6">
        <f>+J3/B3</f>
        <v>2.84</v>
      </c>
      <c r="M3" s="6">
        <f>+I3/J3</f>
        <v>0.88028169014084512</v>
      </c>
      <c r="N3" s="3">
        <v>1.4999999999999999E-2</v>
      </c>
      <c r="O3" s="5">
        <f>+N3*100</f>
        <v>1.5</v>
      </c>
      <c r="P3" s="3"/>
      <c r="Q3" s="4"/>
      <c r="R3" s="4"/>
      <c r="S3" s="4">
        <v>3.39E-2</v>
      </c>
      <c r="W3">
        <v>1.05</v>
      </c>
      <c r="AJ3" s="3">
        <v>160.21136303394331</v>
      </c>
      <c r="AK3" s="2">
        <v>13.9</v>
      </c>
      <c r="AL3" s="5">
        <f>AJ3*AK3/$AK$68</f>
        <v>11.677702916475157</v>
      </c>
      <c r="AP3" s="2"/>
      <c r="AQ3" s="2"/>
    </row>
    <row r="4" spans="1:45" x14ac:dyDescent="0.25">
      <c r="A4">
        <v>1941</v>
      </c>
      <c r="B4" s="2">
        <v>1</v>
      </c>
      <c r="C4" s="2"/>
      <c r="D4" s="5"/>
      <c r="F4" s="7"/>
      <c r="G4">
        <v>0.10299999999999999</v>
      </c>
      <c r="I4">
        <v>2.1</v>
      </c>
      <c r="J4" s="2">
        <v>2.77</v>
      </c>
      <c r="K4" s="6">
        <f t="shared" ref="K4:K67" si="0">+I4/B4</f>
        <v>2.1</v>
      </c>
      <c r="L4" s="6">
        <f t="shared" ref="L4:L67" si="1">+J4/B4</f>
        <v>2.77</v>
      </c>
      <c r="M4" s="6">
        <f t="shared" ref="M4:M67" si="2">+I4/J4</f>
        <v>0.75812274368231047</v>
      </c>
      <c r="N4" s="3">
        <v>1.4999999999999999E-2</v>
      </c>
      <c r="O4" s="5">
        <f t="shared" ref="O4:O67" si="3">+N4*100</f>
        <v>1.5</v>
      </c>
      <c r="P4" s="3"/>
      <c r="Q4" s="12">
        <f t="shared" ref="Q4:Q66" si="4">(J4/100)-(J4-J3)/J3</f>
        <v>5.2347887323943604E-2</v>
      </c>
      <c r="R4" s="4">
        <v>2.7300000000000001E-2</v>
      </c>
      <c r="S4" s="4">
        <v>2.7300000000000001E-2</v>
      </c>
      <c r="W4">
        <v>1.1599999999999999</v>
      </c>
      <c r="AJ4" s="3">
        <v>170.67440907365065</v>
      </c>
      <c r="AK4" s="2">
        <v>14.1</v>
      </c>
      <c r="AL4" s="5">
        <v>12.619345400831014</v>
      </c>
      <c r="AP4" s="2"/>
      <c r="AQ4" s="2"/>
    </row>
    <row r="5" spans="1:45" x14ac:dyDescent="0.25">
      <c r="A5">
        <v>1942</v>
      </c>
      <c r="B5" s="2">
        <v>1</v>
      </c>
      <c r="C5" s="2"/>
      <c r="D5" s="5"/>
      <c r="F5" s="7"/>
      <c r="G5">
        <v>0.32600000000000001</v>
      </c>
      <c r="I5">
        <v>2.36</v>
      </c>
      <c r="J5" s="2">
        <v>2.83</v>
      </c>
      <c r="K5" s="6">
        <f t="shared" si="0"/>
        <v>2.36</v>
      </c>
      <c r="L5" s="6">
        <f t="shared" si="1"/>
        <v>2.83</v>
      </c>
      <c r="M5" s="6">
        <f t="shared" si="2"/>
        <v>0.83392226148409887</v>
      </c>
      <c r="N5" s="3">
        <v>1.4999999999999999E-2</v>
      </c>
      <c r="O5" s="5">
        <f t="shared" si="3"/>
        <v>1.5</v>
      </c>
      <c r="P5" s="3"/>
      <c r="Q5" s="12">
        <f t="shared" si="4"/>
        <v>6.6393501805053975E-3</v>
      </c>
      <c r="R5" s="4">
        <v>2.6000000000000002E-2</v>
      </c>
      <c r="S5" s="4">
        <v>2.6000000000000002E-2</v>
      </c>
      <c r="W5">
        <v>1.03</v>
      </c>
      <c r="AJ5" s="3">
        <v>181.82077326480422</v>
      </c>
      <c r="AK5" s="2">
        <v>15.7</v>
      </c>
      <c r="AL5" s="5">
        <v>14.968988674658764</v>
      </c>
      <c r="AP5" s="2"/>
      <c r="AQ5" s="2"/>
    </row>
    <row r="6" spans="1:45" x14ac:dyDescent="0.25">
      <c r="A6">
        <v>1943</v>
      </c>
      <c r="B6" s="2">
        <v>1</v>
      </c>
      <c r="C6" s="2"/>
      <c r="D6" s="5"/>
      <c r="F6" s="7"/>
      <c r="G6">
        <v>0.373</v>
      </c>
      <c r="I6">
        <v>2.06</v>
      </c>
      <c r="J6" s="2">
        <v>2.73</v>
      </c>
      <c r="K6" s="6">
        <f t="shared" si="0"/>
        <v>2.06</v>
      </c>
      <c r="L6" s="6">
        <f t="shared" si="1"/>
        <v>2.73</v>
      </c>
      <c r="M6" s="6">
        <f t="shared" si="2"/>
        <v>0.75457875457875456</v>
      </c>
      <c r="N6" s="3">
        <v>1.4999999999999999E-2</v>
      </c>
      <c r="O6" s="5">
        <f t="shared" si="3"/>
        <v>1.5</v>
      </c>
      <c r="P6" s="3"/>
      <c r="Q6" s="12">
        <f t="shared" si="4"/>
        <v>6.263568904593643E-2</v>
      </c>
      <c r="R6" s="4">
        <v>2.8300000000000002E-2</v>
      </c>
      <c r="S6" s="4">
        <v>2.8300000000000002E-2</v>
      </c>
      <c r="W6">
        <v>0.94</v>
      </c>
      <c r="AJ6" s="3">
        <v>193.69508158862629</v>
      </c>
      <c r="AK6" s="2">
        <v>16.899999999999999</v>
      </c>
      <c r="AL6" s="5">
        <v>17.165426737534265</v>
      </c>
      <c r="AP6" s="2"/>
      <c r="AQ6" s="2"/>
    </row>
    <row r="7" spans="1:45" x14ac:dyDescent="0.25">
      <c r="A7">
        <v>1944</v>
      </c>
      <c r="B7" s="2">
        <v>1</v>
      </c>
      <c r="C7" s="2"/>
      <c r="D7" s="5"/>
      <c r="F7" s="7"/>
      <c r="G7">
        <v>0.375</v>
      </c>
      <c r="I7">
        <v>1.86</v>
      </c>
      <c r="J7" s="2">
        <v>2.72</v>
      </c>
      <c r="K7" s="6">
        <f t="shared" si="0"/>
        <v>1.86</v>
      </c>
      <c r="L7" s="6">
        <f t="shared" si="1"/>
        <v>2.72</v>
      </c>
      <c r="M7" s="6">
        <f t="shared" si="2"/>
        <v>0.68382352941176472</v>
      </c>
      <c r="N7" s="3">
        <v>1.4999999999999999E-2</v>
      </c>
      <c r="O7" s="5">
        <f t="shared" si="3"/>
        <v>1.5</v>
      </c>
      <c r="P7" s="3"/>
      <c r="Q7" s="12">
        <f t="shared" si="4"/>
        <v>3.0863003663003586E-2</v>
      </c>
      <c r="R7" s="4">
        <v>4.7300000000000002E-2</v>
      </c>
      <c r="S7" s="4">
        <v>4.7300000000000002E-2</v>
      </c>
      <c r="W7">
        <v>0.93</v>
      </c>
      <c r="AJ7" s="3">
        <v>206.34487444943161</v>
      </c>
      <c r="AK7" s="2">
        <v>17.399999999999999</v>
      </c>
      <c r="AL7" s="5">
        <v>18.827481989617777</v>
      </c>
      <c r="AP7" s="2"/>
      <c r="AQ7" s="2"/>
    </row>
    <row r="8" spans="1:45" x14ac:dyDescent="0.25">
      <c r="A8">
        <v>1945</v>
      </c>
      <c r="B8" s="2">
        <v>1</v>
      </c>
      <c r="C8" s="2"/>
      <c r="D8" s="5"/>
      <c r="F8" s="7"/>
      <c r="G8">
        <v>0.375</v>
      </c>
      <c r="I8">
        <v>1.67</v>
      </c>
      <c r="J8" s="2">
        <v>2.62</v>
      </c>
      <c r="K8" s="6">
        <f t="shared" si="0"/>
        <v>1.67</v>
      </c>
      <c r="L8" s="6">
        <f t="shared" si="1"/>
        <v>2.62</v>
      </c>
      <c r="M8" s="6">
        <f t="shared" si="2"/>
        <v>0.63740458015267165</v>
      </c>
      <c r="N8" s="3">
        <v>1.4999999999999999E-2</v>
      </c>
      <c r="O8" s="5">
        <f t="shared" si="3"/>
        <v>1.5</v>
      </c>
      <c r="P8" s="3"/>
      <c r="Q8" s="12">
        <f t="shared" si="4"/>
        <v>6.2964705882352978E-2</v>
      </c>
      <c r="R8" s="4">
        <v>4.0800000000000003E-2</v>
      </c>
      <c r="S8" s="4">
        <v>4.0800000000000003E-2</v>
      </c>
      <c r="W8">
        <v>0.96</v>
      </c>
      <c r="AJ8" s="3">
        <v>219.82079700908562</v>
      </c>
      <c r="AK8" s="2">
        <v>17.8</v>
      </c>
      <c r="AL8" s="5">
        <v>20.518144660522939</v>
      </c>
      <c r="AP8" s="2"/>
      <c r="AQ8" s="2"/>
    </row>
    <row r="9" spans="1:45" x14ac:dyDescent="0.25">
      <c r="A9">
        <v>1946</v>
      </c>
      <c r="B9" s="2">
        <v>1</v>
      </c>
      <c r="C9" s="2"/>
      <c r="D9" s="5"/>
      <c r="F9" s="7"/>
      <c r="G9">
        <v>0.375</v>
      </c>
      <c r="I9">
        <v>1.64</v>
      </c>
      <c r="J9" s="2">
        <v>2.5299999999999998</v>
      </c>
      <c r="K9" s="6">
        <f t="shared" si="0"/>
        <v>1.64</v>
      </c>
      <c r="L9" s="6">
        <f t="shared" si="1"/>
        <v>2.5299999999999998</v>
      </c>
      <c r="M9" s="6">
        <f t="shared" si="2"/>
        <v>0.64822134387351782</v>
      </c>
      <c r="N9" s="3">
        <v>1.4999999999999999E-2</v>
      </c>
      <c r="O9" s="5">
        <f t="shared" si="3"/>
        <v>1.5</v>
      </c>
      <c r="P9" s="3"/>
      <c r="Q9" s="12">
        <f t="shared" si="4"/>
        <v>5.9651145038168055E-2</v>
      </c>
      <c r="R9" s="4">
        <v>1.72E-2</v>
      </c>
      <c r="S9" s="4">
        <v>1.72E-2</v>
      </c>
      <c r="W9">
        <v>1.06</v>
      </c>
      <c r="Y9">
        <v>19.910728258778938</v>
      </c>
      <c r="Z9" s="9"/>
      <c r="AJ9" s="3">
        <v>234.17680195178082</v>
      </c>
      <c r="AK9" s="2">
        <v>18.2</v>
      </c>
      <c r="AL9" s="5">
        <v>22.349332960264348</v>
      </c>
      <c r="AM9" s="16">
        <f t="shared" ref="AM9:AM72" si="5">AL9*100/Y9</f>
        <v>112.24769214762493</v>
      </c>
      <c r="AP9" s="2"/>
      <c r="AQ9" s="2"/>
    </row>
    <row r="10" spans="1:45" x14ac:dyDescent="0.25">
      <c r="A10">
        <v>1947</v>
      </c>
      <c r="B10" s="2">
        <v>1</v>
      </c>
      <c r="C10" s="2"/>
      <c r="D10" s="5"/>
      <c r="F10" s="7"/>
      <c r="G10">
        <v>0.59399999999999997</v>
      </c>
      <c r="I10">
        <v>2.0099999999999998</v>
      </c>
      <c r="J10" s="2">
        <v>2.61</v>
      </c>
      <c r="K10" s="6">
        <f t="shared" si="0"/>
        <v>2.0099999999999998</v>
      </c>
      <c r="L10" s="6">
        <f t="shared" si="1"/>
        <v>2.61</v>
      </c>
      <c r="M10" s="6">
        <f t="shared" si="2"/>
        <v>0.77011494252873558</v>
      </c>
      <c r="N10" s="3">
        <v>1.6250000000000001E-2</v>
      </c>
      <c r="O10" s="5">
        <f t="shared" si="3"/>
        <v>1.625</v>
      </c>
      <c r="P10" s="3">
        <v>0.15326077364318283</v>
      </c>
      <c r="Q10" s="12">
        <f t="shared" si="4"/>
        <v>-5.5205533596838288E-3</v>
      </c>
      <c r="R10" s="4">
        <v>-2.3399999999999997E-2</v>
      </c>
      <c r="S10" s="4">
        <v>-2.3399999999999997E-2</v>
      </c>
      <c r="U10">
        <v>15.21</v>
      </c>
      <c r="V10">
        <v>0.84</v>
      </c>
      <c r="W10">
        <v>1.61</v>
      </c>
      <c r="X10" s="5">
        <f>U10/W10</f>
        <v>9.4472049689440993</v>
      </c>
      <c r="Y10">
        <v>23.291744859675099</v>
      </c>
      <c r="Z10" s="11">
        <f>U10*100/Y10</f>
        <v>65.302106354140136</v>
      </c>
      <c r="AA10" s="11">
        <f>V10*100/Y10</f>
        <v>3.6064279643312105</v>
      </c>
      <c r="AB10" s="11">
        <f>W10*100/Y10</f>
        <v>6.9123202649681534</v>
      </c>
      <c r="AE10" s="10"/>
      <c r="AF10" s="10">
        <v>0.14374603640540254</v>
      </c>
      <c r="AG10">
        <v>7.5999999999999998E-2</v>
      </c>
      <c r="AH10" s="18">
        <f>Z10+6.75</f>
        <v>72.052106354140136</v>
      </c>
      <c r="AI10" s="17">
        <f t="shared" ref="AI10:AI73" si="6">(AI11+AA11)/(1+AD11)</f>
        <v>72.056246574906766</v>
      </c>
      <c r="AJ10" s="3">
        <v>249.47036549092752</v>
      </c>
      <c r="AK10" s="2">
        <v>21.5</v>
      </c>
      <c r="AL10" s="5">
        <v>28.125919549317999</v>
      </c>
      <c r="AM10" s="16">
        <f t="shared" si="5"/>
        <v>120.7548842680837</v>
      </c>
      <c r="AP10" s="2"/>
      <c r="AQ10" s="2"/>
    </row>
    <row r="11" spans="1:45" x14ac:dyDescent="0.25">
      <c r="A11">
        <v>1948</v>
      </c>
      <c r="B11" s="2">
        <v>1.34</v>
      </c>
      <c r="C11" s="2"/>
      <c r="D11" s="5"/>
      <c r="F11" s="7"/>
      <c r="G11">
        <v>1.04</v>
      </c>
      <c r="I11">
        <v>2.4</v>
      </c>
      <c r="J11" s="2">
        <v>2.82</v>
      </c>
      <c r="K11" s="6">
        <f t="shared" si="0"/>
        <v>1.7910447761194028</v>
      </c>
      <c r="L11" s="6">
        <f t="shared" si="1"/>
        <v>2.1044776119402981</v>
      </c>
      <c r="M11" s="6">
        <f t="shared" si="2"/>
        <v>0.85106382978723405</v>
      </c>
      <c r="N11" s="3">
        <v>1.8749999999999999E-2</v>
      </c>
      <c r="O11" s="5">
        <f t="shared" si="3"/>
        <v>1.875</v>
      </c>
      <c r="P11" s="3">
        <v>0.16682196270405938</v>
      </c>
      <c r="Q11" s="12">
        <f t="shared" si="4"/>
        <v>-5.2259770114942511E-2</v>
      </c>
      <c r="R11" s="4">
        <v>4.1399999999999999E-2</v>
      </c>
      <c r="S11" s="4">
        <v>4.1399999999999999E-2</v>
      </c>
      <c r="U11">
        <v>14.83</v>
      </c>
      <c r="V11">
        <v>0.93</v>
      </c>
      <c r="W11">
        <v>2.29</v>
      </c>
      <c r="X11" s="5">
        <f t="shared" ref="X11:Y74" si="7">U11/W11</f>
        <v>6.4759825327510914</v>
      </c>
      <c r="Y11">
        <v>25.345786297202181</v>
      </c>
      <c r="Z11" s="11">
        <f t="shared" ref="Z11:Z74" si="8">U11*100/Y11</f>
        <v>58.51071190337079</v>
      </c>
      <c r="AA11" s="11">
        <f t="shared" ref="AA11:AA74" si="9">V11*100/Y11</f>
        <v>3.6692489595505622</v>
      </c>
      <c r="AB11" s="11">
        <f t="shared" ref="AB11:AB74" si="10">W11*100/Y11</f>
        <v>9.0350323842696643</v>
      </c>
      <c r="AC11" s="13">
        <f>((Z11-Z10)+AA11)/Z10</f>
        <v>-4.7810793028437139E-2</v>
      </c>
      <c r="AD11" s="3">
        <v>0.31468453732815793</v>
      </c>
      <c r="AE11" s="14">
        <v>0.34129746161167102</v>
      </c>
      <c r="AF11" s="10">
        <v>0.16396352075207296</v>
      </c>
      <c r="AG11">
        <v>7.5999999999999998E-2</v>
      </c>
      <c r="AH11" s="17">
        <f t="shared" ref="AH11:AH74" si="11">AH10*(1+AD11)-AA11</f>
        <v>91.056541146161393</v>
      </c>
      <c r="AI11" s="17">
        <f t="shared" si="6"/>
        <v>91.061984230384411</v>
      </c>
      <c r="AJ11" s="3">
        <v>257.06786429414899</v>
      </c>
      <c r="AK11" s="2">
        <v>23.7</v>
      </c>
      <c r="AL11" s="5">
        <v>31.948129962094029</v>
      </c>
      <c r="AM11" s="16">
        <f t="shared" si="5"/>
        <v>126.04907808924695</v>
      </c>
      <c r="AN11" s="15">
        <f>AC11-AD11</f>
        <v>-0.36249533035659509</v>
      </c>
      <c r="AO11" s="15">
        <f>AD11-AE11</f>
        <v>-2.6612924283513084E-2</v>
      </c>
      <c r="AP11" s="2"/>
      <c r="AQ11" s="2"/>
      <c r="AR11" s="2"/>
      <c r="AS11" s="2"/>
    </row>
    <row r="12" spans="1:45" x14ac:dyDescent="0.25">
      <c r="A12">
        <v>1949</v>
      </c>
      <c r="B12" s="2">
        <v>1.5</v>
      </c>
      <c r="C12" s="2"/>
      <c r="D12" s="5"/>
      <c r="F12" s="7"/>
      <c r="G12">
        <v>1.1020000000000001</v>
      </c>
      <c r="I12">
        <v>2.21</v>
      </c>
      <c r="J12" s="2">
        <v>2.66</v>
      </c>
      <c r="K12" s="6">
        <f t="shared" si="0"/>
        <v>1.4733333333333334</v>
      </c>
      <c r="L12" s="6">
        <f t="shared" si="1"/>
        <v>1.7733333333333334</v>
      </c>
      <c r="M12" s="6">
        <f t="shared" si="2"/>
        <v>0.83082706766917291</v>
      </c>
      <c r="N12" s="3">
        <v>0.02</v>
      </c>
      <c r="O12" s="5">
        <f t="shared" si="3"/>
        <v>2</v>
      </c>
      <c r="P12" s="3">
        <v>0.13992644659654974</v>
      </c>
      <c r="Q12" s="12">
        <f t="shared" si="4"/>
        <v>8.333758865248217E-2</v>
      </c>
      <c r="R12" s="4">
        <v>3.3099999999999997E-2</v>
      </c>
      <c r="S12" s="4">
        <v>3.3099999999999997E-2</v>
      </c>
      <c r="U12">
        <v>15.36</v>
      </c>
      <c r="V12">
        <v>1.1399999999999999</v>
      </c>
      <c r="W12">
        <v>2.3199999999999998</v>
      </c>
      <c r="X12" s="5">
        <f t="shared" si="7"/>
        <v>6.6206896551724137</v>
      </c>
      <c r="Y12">
        <v>26.095421355358813</v>
      </c>
      <c r="Z12" s="11">
        <f t="shared" si="8"/>
        <v>58.860900503703704</v>
      </c>
      <c r="AA12" s="11">
        <f t="shared" si="9"/>
        <v>4.368582459259259</v>
      </c>
      <c r="AB12" s="11">
        <f t="shared" si="10"/>
        <v>8.890448513580246</v>
      </c>
      <c r="AC12" s="13">
        <f t="shared" ref="AC12:AC74" si="12">((Z12-Z11)+AA12)/Z11</f>
        <v>8.0647985746355705E-2</v>
      </c>
      <c r="AD12" s="3">
        <v>-0.11933291420477785</v>
      </c>
      <c r="AE12" s="14">
        <v>-0.13003345730202254</v>
      </c>
      <c r="AF12" s="10">
        <v>0.13697282511983766</v>
      </c>
      <c r="AG12">
        <v>7.5999999999999998E-2</v>
      </c>
      <c r="AH12" s="17">
        <f t="shared" si="11"/>
        <v>75.821916274523431</v>
      </c>
      <c r="AI12" s="17">
        <f t="shared" si="6"/>
        <v>75.826709819643852</v>
      </c>
      <c r="AJ12" s="3">
        <v>264.35027790787228</v>
      </c>
      <c r="AK12" s="2">
        <v>24</v>
      </c>
      <c r="AL12" s="5">
        <v>33.269043889821369</v>
      </c>
      <c r="AM12" s="16">
        <f t="shared" si="5"/>
        <v>127.4899662924562</v>
      </c>
      <c r="AN12" s="15">
        <f t="shared" ref="AN12:AQ43" si="13">AC12-AD12</f>
        <v>0.19998089995113355</v>
      </c>
      <c r="AO12" s="15">
        <f t="shared" si="13"/>
        <v>1.0700543097244691E-2</v>
      </c>
      <c r="AP12" s="2"/>
      <c r="AQ12" s="2"/>
      <c r="AR12" s="2"/>
      <c r="AS12" s="2"/>
    </row>
    <row r="13" spans="1:45" x14ac:dyDescent="0.25">
      <c r="A13">
        <v>1950</v>
      </c>
      <c r="B13" s="2">
        <v>1.59</v>
      </c>
      <c r="C13" s="2"/>
      <c r="D13" s="5"/>
      <c r="F13" s="7"/>
      <c r="G13">
        <v>1.218</v>
      </c>
      <c r="I13">
        <v>1.98</v>
      </c>
      <c r="J13" s="2">
        <v>2.62</v>
      </c>
      <c r="K13" s="6">
        <f t="shared" si="0"/>
        <v>1.2452830188679245</v>
      </c>
      <c r="L13" s="6">
        <f t="shared" si="1"/>
        <v>1.6477987421383649</v>
      </c>
      <c r="M13" s="6">
        <f t="shared" si="2"/>
        <v>0.75572519083969458</v>
      </c>
      <c r="N13" s="3">
        <v>2.07E-2</v>
      </c>
      <c r="O13" s="5">
        <f t="shared" si="3"/>
        <v>2.0699999999999998</v>
      </c>
      <c r="P13" s="3">
        <v>0.16765717438708103</v>
      </c>
      <c r="Q13" s="12">
        <f t="shared" si="4"/>
        <v>4.123759398496242E-2</v>
      </c>
      <c r="R13" s="4">
        <v>2.12E-2</v>
      </c>
      <c r="S13" s="4">
        <v>2.12E-2</v>
      </c>
      <c r="U13">
        <v>16.88</v>
      </c>
      <c r="V13">
        <v>1.47</v>
      </c>
      <c r="W13">
        <v>2.84</v>
      </c>
      <c r="X13" s="5">
        <f t="shared" si="7"/>
        <v>5.943661971830986</v>
      </c>
      <c r="Y13">
        <v>26.736763049192643</v>
      </c>
      <c r="Z13" s="11">
        <f t="shared" si="8"/>
        <v>63.134044943820221</v>
      </c>
      <c r="AA13" s="11">
        <f t="shared" si="9"/>
        <v>5.4980477528089882</v>
      </c>
      <c r="AB13" s="11">
        <f t="shared" si="10"/>
        <v>10.622078651685392</v>
      </c>
      <c r="AC13" s="13">
        <f t="shared" si="12"/>
        <v>0.16600480300689036</v>
      </c>
      <c r="AD13" s="3">
        <v>0.43918643202486496</v>
      </c>
      <c r="AE13" s="14">
        <v>0.40043155085350918</v>
      </c>
      <c r="AF13" s="10">
        <v>0.16228416548642546</v>
      </c>
      <c r="AG13">
        <v>7.5999999999999998E-2</v>
      </c>
      <c r="AH13" s="17">
        <f t="shared" si="11"/>
        <v>103.62382539961044</v>
      </c>
      <c r="AI13" s="17">
        <f t="shared" si="6"/>
        <v>103.63072420470905</v>
      </c>
      <c r="AJ13" s="3">
        <v>269.71381894769928</v>
      </c>
      <c r="AK13" s="2">
        <v>23.5</v>
      </c>
      <c r="AL13" s="5">
        <v>33.236889068017476</v>
      </c>
      <c r="AM13" s="16">
        <f t="shared" si="5"/>
        <v>124.31156683726198</v>
      </c>
      <c r="AN13" s="15">
        <f t="shared" si="13"/>
        <v>-0.2731816290179746</v>
      </c>
      <c r="AO13" s="15">
        <f t="shared" si="13"/>
        <v>3.8754881171355782E-2</v>
      </c>
      <c r="AP13" s="2"/>
      <c r="AQ13" s="2"/>
      <c r="AR13" s="2"/>
      <c r="AS13" s="2"/>
    </row>
    <row r="14" spans="1:45" x14ac:dyDescent="0.25">
      <c r="A14">
        <v>1951</v>
      </c>
      <c r="B14" s="2">
        <v>1.75</v>
      </c>
      <c r="C14" s="2"/>
      <c r="D14" s="5"/>
      <c r="F14" s="7"/>
      <c r="G14">
        <v>1.552</v>
      </c>
      <c r="I14">
        <v>2</v>
      </c>
      <c r="J14" s="2">
        <v>2.86</v>
      </c>
      <c r="K14" s="6">
        <f t="shared" si="0"/>
        <v>1.1428571428571428</v>
      </c>
      <c r="L14" s="6">
        <f t="shared" si="1"/>
        <v>1.6342857142857141</v>
      </c>
      <c r="M14" s="6">
        <f t="shared" si="2"/>
        <v>0.69930069930069938</v>
      </c>
      <c r="N14" s="3">
        <v>2.5600000000000001E-2</v>
      </c>
      <c r="O14" s="5">
        <f t="shared" si="3"/>
        <v>2.56</v>
      </c>
      <c r="P14" s="3">
        <v>0.16818787317315273</v>
      </c>
      <c r="Q14" s="12">
        <f t="shared" si="4"/>
        <v>-6.3003053435114406E-2</v>
      </c>
      <c r="R14" s="4">
        <v>-2.69E-2</v>
      </c>
      <c r="S14" s="4">
        <v>-2.69E-2</v>
      </c>
      <c r="U14">
        <v>21.21</v>
      </c>
      <c r="V14">
        <v>1.41</v>
      </c>
      <c r="W14">
        <v>2.44</v>
      </c>
      <c r="X14" s="5">
        <f t="shared" si="7"/>
        <v>8.692622950819672</v>
      </c>
      <c r="Y14">
        <v>29.409212027733457</v>
      </c>
      <c r="Z14" s="11">
        <f t="shared" si="8"/>
        <v>72.12025939354838</v>
      </c>
      <c r="AA14" s="11">
        <f t="shared" si="9"/>
        <v>4.7944161124423958</v>
      </c>
      <c r="AB14" s="11">
        <f t="shared" si="10"/>
        <v>8.29672008110599</v>
      </c>
      <c r="AC14" s="13">
        <f t="shared" si="12"/>
        <v>0.21827574289645527</v>
      </c>
      <c r="AD14" s="3">
        <v>7.4239480264395474E-2</v>
      </c>
      <c r="AE14" s="14">
        <v>8.4892712680578408E-2</v>
      </c>
      <c r="AF14" s="10">
        <v>0.15983193761787534</v>
      </c>
      <c r="AG14">
        <v>7.5999999999999998E-2</v>
      </c>
      <c r="AH14" s="17">
        <f t="shared" si="11"/>
        <v>106.52238822784359</v>
      </c>
      <c r="AI14" s="17">
        <f t="shared" si="6"/>
        <v>106.52979919664718</v>
      </c>
      <c r="AJ14" s="3">
        <v>273.13062579714841</v>
      </c>
      <c r="AK14" s="2">
        <v>25.4</v>
      </c>
      <c r="AL14" s="5">
        <v>36.379223362598687</v>
      </c>
      <c r="AM14" s="16">
        <f t="shared" si="5"/>
        <v>123.70009549488226</v>
      </c>
      <c r="AN14" s="15">
        <f t="shared" si="13"/>
        <v>0.14403626263205979</v>
      </c>
      <c r="AO14" s="15">
        <f t="shared" si="13"/>
        <v>-1.0653232416182934E-2</v>
      </c>
      <c r="AP14" s="2"/>
      <c r="AQ14" s="2"/>
      <c r="AR14" s="2"/>
      <c r="AS14" s="2"/>
    </row>
    <row r="15" spans="1:45" x14ac:dyDescent="0.25">
      <c r="A15">
        <v>1952</v>
      </c>
      <c r="B15" s="2">
        <v>1.75</v>
      </c>
      <c r="C15" s="2"/>
      <c r="D15" s="5"/>
      <c r="F15" s="7"/>
      <c r="G15">
        <v>1.766</v>
      </c>
      <c r="I15">
        <v>2.19</v>
      </c>
      <c r="J15" s="2">
        <v>2.96</v>
      </c>
      <c r="K15" s="6">
        <f t="shared" si="0"/>
        <v>1.2514285714285713</v>
      </c>
      <c r="L15" s="6">
        <f t="shared" si="1"/>
        <v>1.6914285714285715</v>
      </c>
      <c r="M15" s="6">
        <f t="shared" si="2"/>
        <v>0.7398648648648648</v>
      </c>
      <c r="N15" s="3">
        <v>0.03</v>
      </c>
      <c r="O15" s="5">
        <f t="shared" si="3"/>
        <v>3</v>
      </c>
      <c r="P15" s="3">
        <v>0.14647356224627878</v>
      </c>
      <c r="Q15" s="12">
        <f t="shared" si="4"/>
        <v>-5.3650349650349941E-3</v>
      </c>
      <c r="R15" s="4">
        <v>3.5200000000000002E-2</v>
      </c>
      <c r="S15" s="4">
        <v>3.5200000000000002E-2</v>
      </c>
      <c r="U15">
        <v>24.19</v>
      </c>
      <c r="V15">
        <v>1.41</v>
      </c>
      <c r="W15">
        <v>2.4</v>
      </c>
      <c r="X15" s="5">
        <f t="shared" si="7"/>
        <v>10.079166666666667</v>
      </c>
      <c r="Y15">
        <v>30.027549681573046</v>
      </c>
      <c r="Z15" s="11">
        <f t="shared" si="8"/>
        <v>80.559353848458159</v>
      </c>
      <c r="AA15" s="11">
        <f t="shared" si="9"/>
        <v>4.6956878431718065</v>
      </c>
      <c r="AB15" s="11">
        <f t="shared" si="10"/>
        <v>7.9926601585903088</v>
      </c>
      <c r="AC15" s="13">
        <f t="shared" si="12"/>
        <v>0.1821233368893925</v>
      </c>
      <c r="AD15" s="3">
        <v>-8.6527611964125437E-2</v>
      </c>
      <c r="AE15" s="14">
        <v>-0.10417077200760254</v>
      </c>
      <c r="AF15" s="10">
        <v>0.13620216468779806</v>
      </c>
      <c r="AG15">
        <v>7.5999999999999998E-2</v>
      </c>
      <c r="AH15" s="17">
        <f t="shared" si="11"/>
        <v>92.609572510601012</v>
      </c>
      <c r="AI15" s="17">
        <f t="shared" si="6"/>
        <v>92.616342225971678</v>
      </c>
      <c r="AJ15" s="3">
        <v>277.91535040686324</v>
      </c>
      <c r="AK15" s="2">
        <v>26.5</v>
      </c>
      <c r="AL15" s="5">
        <v>38.619595101111045</v>
      </c>
      <c r="AM15" s="16">
        <f t="shared" si="5"/>
        <v>128.61387462730821</v>
      </c>
      <c r="AN15" s="15">
        <f t="shared" si="13"/>
        <v>0.26865094885351792</v>
      </c>
      <c r="AO15" s="15">
        <f t="shared" si="13"/>
        <v>1.7643160043477102E-2</v>
      </c>
      <c r="AP15" s="2"/>
      <c r="AQ15" s="2"/>
      <c r="AR15" s="2"/>
      <c r="AS15" s="2"/>
    </row>
    <row r="16" spans="1:45" x14ac:dyDescent="0.25">
      <c r="A16">
        <v>1953</v>
      </c>
      <c r="B16" s="2">
        <v>1.99</v>
      </c>
      <c r="C16" s="2"/>
      <c r="D16" s="5"/>
      <c r="F16" s="7"/>
      <c r="G16">
        <v>1.931</v>
      </c>
      <c r="I16">
        <v>2.72</v>
      </c>
      <c r="J16" s="2">
        <v>3.2</v>
      </c>
      <c r="K16" s="6">
        <f t="shared" si="0"/>
        <v>1.3668341708542715</v>
      </c>
      <c r="L16" s="6">
        <f t="shared" si="1"/>
        <v>1.6080402010050252</v>
      </c>
      <c r="M16" s="6">
        <f t="shared" si="2"/>
        <v>0.85</v>
      </c>
      <c r="N16" s="3">
        <v>3.1699999999999999E-2</v>
      </c>
      <c r="O16" s="5">
        <f t="shared" si="3"/>
        <v>3.17</v>
      </c>
      <c r="P16" s="3">
        <v>0.13792492383728228</v>
      </c>
      <c r="Q16" s="12">
        <f t="shared" si="4"/>
        <v>-4.9081081081081154E-2</v>
      </c>
      <c r="R16" s="4">
        <v>3.4099999999999998E-2</v>
      </c>
      <c r="S16" s="4">
        <v>3.4099999999999998E-2</v>
      </c>
      <c r="U16">
        <v>26.18</v>
      </c>
      <c r="V16">
        <v>1.45</v>
      </c>
      <c r="W16">
        <v>2.5099999999999998</v>
      </c>
      <c r="X16" s="5">
        <f t="shared" si="7"/>
        <v>10.430278884462153</v>
      </c>
      <c r="Y16">
        <v>30.569869705298569</v>
      </c>
      <c r="Z16" s="11">
        <f t="shared" si="8"/>
        <v>85.639880877419344</v>
      </c>
      <c r="AA16" s="11">
        <f t="shared" si="9"/>
        <v>4.7432325161290319</v>
      </c>
      <c r="AB16" s="11">
        <f t="shared" si="10"/>
        <v>8.2106990451612898</v>
      </c>
      <c r="AC16" s="13">
        <f t="shared" si="12"/>
        <v>0.12194436866474738</v>
      </c>
      <c r="AD16" s="3">
        <v>1.6692636395081967E-2</v>
      </c>
      <c r="AE16" s="14">
        <v>1.1677702125176218E-2</v>
      </c>
      <c r="AF16" s="10">
        <v>0.12804516198321894</v>
      </c>
      <c r="AG16">
        <v>7.5999999999999998E-2</v>
      </c>
      <c r="AH16" s="17">
        <f t="shared" si="11"/>
        <v>89.412237915095417</v>
      </c>
      <c r="AI16" s="17">
        <f t="shared" si="6"/>
        <v>89.419120634863262</v>
      </c>
      <c r="AJ16" s="3">
        <v>283.06162546156702</v>
      </c>
      <c r="AK16" s="2">
        <v>26.6</v>
      </c>
      <c r="AL16" s="5">
        <v>39.48316327885518</v>
      </c>
      <c r="AM16" s="16">
        <f t="shared" si="5"/>
        <v>129.15711993372253</v>
      </c>
      <c r="AN16" s="15">
        <f t="shared" si="13"/>
        <v>0.10525173226966542</v>
      </c>
      <c r="AO16" s="15">
        <f t="shared" si="13"/>
        <v>5.0149342699057492E-3</v>
      </c>
      <c r="AP16" s="2"/>
      <c r="AQ16" s="2"/>
      <c r="AR16" s="2"/>
      <c r="AS16" s="2"/>
    </row>
    <row r="17" spans="1:45" x14ac:dyDescent="0.25">
      <c r="A17">
        <v>1954</v>
      </c>
      <c r="B17" s="2">
        <v>1.6</v>
      </c>
      <c r="C17" s="2"/>
      <c r="D17" s="5"/>
      <c r="F17" s="7"/>
      <c r="G17">
        <v>0.95299999999999996</v>
      </c>
      <c r="I17">
        <v>2.37</v>
      </c>
      <c r="J17" s="2">
        <v>2.9</v>
      </c>
      <c r="K17" s="6">
        <f t="shared" si="0"/>
        <v>1.48125</v>
      </c>
      <c r="L17" s="6">
        <f t="shared" si="1"/>
        <v>1.8124999999999998</v>
      </c>
      <c r="M17" s="6">
        <f t="shared" si="2"/>
        <v>0.81724137931034491</v>
      </c>
      <c r="N17" s="3">
        <v>3.0499999999999999E-2</v>
      </c>
      <c r="O17" s="5">
        <f t="shared" si="3"/>
        <v>3.05</v>
      </c>
      <c r="P17" s="3">
        <v>0.13014671477527348</v>
      </c>
      <c r="Q17" s="12">
        <f t="shared" si="4"/>
        <v>0.12275000000000008</v>
      </c>
      <c r="R17" s="4">
        <v>5.3899999999999997E-2</v>
      </c>
      <c r="S17" s="4">
        <v>5.3899999999999997E-2</v>
      </c>
      <c r="U17">
        <v>25.46</v>
      </c>
      <c r="V17">
        <v>1.54</v>
      </c>
      <c r="W17">
        <v>2.77</v>
      </c>
      <c r="X17" s="5">
        <f t="shared" si="7"/>
        <v>9.1913357400722031</v>
      </c>
      <c r="Y17">
        <v>30.757013569024455</v>
      </c>
      <c r="Z17" s="11">
        <f t="shared" si="8"/>
        <v>82.777867697925316</v>
      </c>
      <c r="AA17" s="11">
        <f t="shared" si="9"/>
        <v>5.0069880697095437</v>
      </c>
      <c r="AB17" s="11">
        <f t="shared" si="10"/>
        <v>9.0060759435684652</v>
      </c>
      <c r="AC17" s="13">
        <f t="shared" si="12"/>
        <v>2.5046448783432172E-2</v>
      </c>
      <c r="AD17" s="3">
        <v>-1.3296796656494017E-2</v>
      </c>
      <c r="AE17" s="14">
        <v>-1.6937480386345731E-2</v>
      </c>
      <c r="AF17" s="10">
        <v>0.11761730156428303</v>
      </c>
      <c r="AG17">
        <v>7.5999999999999998E-2</v>
      </c>
      <c r="AH17" s="17">
        <f t="shared" si="11"/>
        <v>83.216353499226784</v>
      </c>
      <c r="AI17" s="17">
        <f t="shared" si="6"/>
        <v>83.223144700869426</v>
      </c>
      <c r="AJ17" s="3">
        <v>288.32422880719321</v>
      </c>
      <c r="AK17" s="2">
        <v>26.9</v>
      </c>
      <c r="AL17" s="5">
        <v>40.670801022094899</v>
      </c>
      <c r="AM17" s="16">
        <f t="shared" si="5"/>
        <v>132.23260746958434</v>
      </c>
      <c r="AN17" s="15">
        <f t="shared" si="13"/>
        <v>3.8343245439926191E-2</v>
      </c>
      <c r="AO17" s="15">
        <f t="shared" si="13"/>
        <v>3.6406837298517142E-3</v>
      </c>
      <c r="AP17" s="2"/>
      <c r="AQ17" s="2"/>
      <c r="AR17" s="2"/>
      <c r="AS17" s="2"/>
    </row>
    <row r="18" spans="1:45" x14ac:dyDescent="0.25">
      <c r="A18">
        <v>1955</v>
      </c>
      <c r="B18" s="2">
        <v>1.89</v>
      </c>
      <c r="C18" s="2">
        <v>1.79</v>
      </c>
      <c r="D18" s="6">
        <f>+C18/B18</f>
        <v>0.9470899470899472</v>
      </c>
      <c r="E18" s="3"/>
      <c r="F18" s="7"/>
      <c r="G18">
        <v>1.7529999999999999</v>
      </c>
      <c r="I18">
        <v>2.5299999999999998</v>
      </c>
      <c r="J18" s="2">
        <v>3.06</v>
      </c>
      <c r="K18" s="6">
        <f t="shared" si="0"/>
        <v>1.3386243386243386</v>
      </c>
      <c r="L18" s="6">
        <f t="shared" si="1"/>
        <v>1.6190476190476191</v>
      </c>
      <c r="M18" s="6">
        <f t="shared" si="2"/>
        <v>0.82679738562091498</v>
      </c>
      <c r="N18" s="3">
        <v>3.1600000000000003E-2</v>
      </c>
      <c r="O18" s="5">
        <f t="shared" si="3"/>
        <v>3.16</v>
      </c>
      <c r="P18" s="3">
        <v>0.15867832664343182</v>
      </c>
      <c r="Q18" s="12">
        <f t="shared" si="4"/>
        <v>-2.4572413793103494E-2</v>
      </c>
      <c r="R18" s="4">
        <v>4.7999999999999996E-3</v>
      </c>
      <c r="S18" s="4">
        <v>4.7999999999999996E-3</v>
      </c>
      <c r="T18">
        <v>42</v>
      </c>
      <c r="U18">
        <v>35.6</v>
      </c>
      <c r="V18">
        <v>1.64</v>
      </c>
      <c r="W18">
        <v>3.62</v>
      </c>
      <c r="X18" s="5">
        <f t="shared" si="7"/>
        <v>9.8342541436464082</v>
      </c>
      <c r="Y18">
        <v>31.109799769375808</v>
      </c>
      <c r="Z18" s="11">
        <f t="shared" si="8"/>
        <v>114.43339482706764</v>
      </c>
      <c r="AA18" s="11">
        <f t="shared" si="9"/>
        <v>5.2716507729323299</v>
      </c>
      <c r="AB18" s="11">
        <f t="shared" si="10"/>
        <v>11.636204754887217</v>
      </c>
      <c r="AC18" s="13">
        <f t="shared" si="12"/>
        <v>0.44609965113899858</v>
      </c>
      <c r="AD18" s="3">
        <v>0.46831152881907867</v>
      </c>
      <c r="AE18" s="14">
        <v>0.43060746087565976</v>
      </c>
      <c r="AF18" s="10">
        <v>0.1435878447213399</v>
      </c>
      <c r="AG18">
        <v>7.5999999999999998E-2</v>
      </c>
      <c r="AH18" s="17">
        <f t="shared" si="11"/>
        <v>116.91588045626624</v>
      </c>
      <c r="AI18" s="17">
        <f t="shared" si="6"/>
        <v>116.92585205593267</v>
      </c>
      <c r="AJ18" s="3">
        <v>293.00455021958726</v>
      </c>
      <c r="AK18" s="2">
        <v>26.7</v>
      </c>
      <c r="AL18" s="5">
        <v>41.023709967818455</v>
      </c>
      <c r="AM18" s="16">
        <f t="shared" si="5"/>
        <v>131.86748314658652</v>
      </c>
      <c r="AN18" s="15">
        <f t="shared" si="13"/>
        <v>-2.2211877680080094E-2</v>
      </c>
      <c r="AO18" s="15">
        <f t="shared" si="13"/>
        <v>3.7704067943418906E-2</v>
      </c>
      <c r="AP18" s="2"/>
      <c r="AQ18" s="2"/>
      <c r="AR18" s="2"/>
      <c r="AS18" s="2"/>
    </row>
    <row r="19" spans="1:45" x14ac:dyDescent="0.25">
      <c r="A19">
        <v>1956</v>
      </c>
      <c r="B19" s="2">
        <v>2.77</v>
      </c>
      <c r="C19" s="2">
        <v>2.73</v>
      </c>
      <c r="D19" s="6">
        <f t="shared" ref="D19:D74" si="14">+C19/B19</f>
        <v>0.98555956678700363</v>
      </c>
      <c r="E19" s="3"/>
      <c r="F19" s="7"/>
      <c r="G19">
        <v>2.6579999999999999</v>
      </c>
      <c r="I19">
        <v>2.93</v>
      </c>
      <c r="J19" s="2">
        <v>3.36</v>
      </c>
      <c r="K19" s="6">
        <f t="shared" si="0"/>
        <v>1.0577617328519857</v>
      </c>
      <c r="L19" s="6">
        <f t="shared" si="1"/>
        <v>1.2129963898916967</v>
      </c>
      <c r="M19" s="6">
        <f t="shared" si="2"/>
        <v>0.87202380952380965</v>
      </c>
      <c r="N19" s="3">
        <v>3.7699999999999997E-2</v>
      </c>
      <c r="O19" s="5">
        <f t="shared" si="3"/>
        <v>3.7699999999999996</v>
      </c>
      <c r="P19" s="3">
        <v>0.13993653604900011</v>
      </c>
      <c r="Q19" s="12">
        <f t="shared" si="4"/>
        <v>-6.4439215686274448E-2</v>
      </c>
      <c r="R19" s="4">
        <v>-6.8099999999999994E-2</v>
      </c>
      <c r="S19" s="4">
        <v>-6.8099999999999994E-2</v>
      </c>
      <c r="T19">
        <v>48</v>
      </c>
      <c r="U19">
        <v>44.15</v>
      </c>
      <c r="V19">
        <v>1.74</v>
      </c>
      <c r="W19">
        <v>3.41</v>
      </c>
      <c r="X19" s="5">
        <f t="shared" si="7"/>
        <v>12.947214076246333</v>
      </c>
      <c r="Y19">
        <v>33.505946535497614</v>
      </c>
      <c r="Z19" s="11">
        <f t="shared" si="8"/>
        <v>131.76765489440993</v>
      </c>
      <c r="AA19" s="11">
        <f t="shared" si="9"/>
        <v>5.1931080298136649</v>
      </c>
      <c r="AB19" s="11">
        <f t="shared" si="10"/>
        <v>10.177297920496894</v>
      </c>
      <c r="AC19" s="13">
        <f t="shared" si="12"/>
        <v>0.19686008731279386</v>
      </c>
      <c r="AD19" s="3">
        <v>-0.11792891015619376</v>
      </c>
      <c r="AE19" s="14">
        <v>-0.1468235494679134</v>
      </c>
      <c r="AF19" s="10">
        <v>0.12550926044329552</v>
      </c>
      <c r="AG19">
        <v>7.5999999999999998E-2</v>
      </c>
      <c r="AH19" s="17">
        <f t="shared" si="11"/>
        <v>97.935010064293266</v>
      </c>
      <c r="AI19" s="17">
        <f t="shared" si="6"/>
        <v>97.943805724078516</v>
      </c>
      <c r="AJ19" s="3">
        <v>297.12795989342715</v>
      </c>
      <c r="AK19" s="2">
        <v>26.8</v>
      </c>
      <c r="AL19" s="5">
        <v>41.756839670392495</v>
      </c>
      <c r="AM19" s="16">
        <f t="shared" si="5"/>
        <v>124.62516057009024</v>
      </c>
      <c r="AN19" s="15">
        <f t="shared" si="13"/>
        <v>0.31478899746898764</v>
      </c>
      <c r="AO19" s="15">
        <f t="shared" si="13"/>
        <v>2.8894639311719636E-2</v>
      </c>
      <c r="AP19" s="2"/>
      <c r="AQ19" s="2"/>
      <c r="AR19" s="2"/>
      <c r="AS19" s="2"/>
    </row>
    <row r="20" spans="1:45" x14ac:dyDescent="0.25">
      <c r="A20">
        <v>1957</v>
      </c>
      <c r="B20" s="2">
        <v>3.12</v>
      </c>
      <c r="C20" s="2">
        <v>3.11</v>
      </c>
      <c r="D20" s="6">
        <f t="shared" si="14"/>
        <v>0.9967948717948717</v>
      </c>
      <c r="E20" s="3"/>
      <c r="F20" s="7"/>
      <c r="G20">
        <v>3.2669999999999999</v>
      </c>
      <c r="I20">
        <v>3.6</v>
      </c>
      <c r="J20" s="2">
        <v>3.89</v>
      </c>
      <c r="K20" s="6">
        <f t="shared" si="0"/>
        <v>1.1538461538461537</v>
      </c>
      <c r="L20" s="6">
        <f t="shared" si="1"/>
        <v>1.2467948717948718</v>
      </c>
      <c r="M20" s="6">
        <f t="shared" si="2"/>
        <v>0.92544987146529567</v>
      </c>
      <c r="N20" s="3">
        <v>4.2000000000000003E-2</v>
      </c>
      <c r="O20" s="5">
        <f t="shared" si="3"/>
        <v>4.2</v>
      </c>
      <c r="P20" s="3">
        <v>0.12583529248271272</v>
      </c>
      <c r="Q20" s="12">
        <f t="shared" si="4"/>
        <v>-0.11883809523809531</v>
      </c>
      <c r="R20" s="4">
        <v>8.7100000000000011E-2</v>
      </c>
      <c r="S20" s="4">
        <v>8.7100000000000011E-2</v>
      </c>
      <c r="T20">
        <v>52</v>
      </c>
      <c r="U20">
        <v>45.43</v>
      </c>
      <c r="V20">
        <v>1.79</v>
      </c>
      <c r="W20">
        <v>3.37</v>
      </c>
      <c r="X20" s="5">
        <f t="shared" si="7"/>
        <v>13.480712166172106</v>
      </c>
      <c r="Y20">
        <v>35.397364115503237</v>
      </c>
      <c r="Z20" s="11">
        <f t="shared" si="8"/>
        <v>128.34288974670488</v>
      </c>
      <c r="AA20" s="11">
        <f t="shared" si="9"/>
        <v>5.056873710028654</v>
      </c>
      <c r="AB20" s="11">
        <f t="shared" si="10"/>
        <v>9.5204829065902601</v>
      </c>
      <c r="AC20" s="13">
        <f t="shared" si="12"/>
        <v>1.2386260980598576E-2</v>
      </c>
      <c r="AD20" s="3">
        <v>-4.4956258585891827E-2</v>
      </c>
      <c r="AE20" s="14">
        <v>-6.5712657820202802E-2</v>
      </c>
      <c r="AF20" s="10">
        <v>0.112054004990328</v>
      </c>
      <c r="AG20">
        <v>7.5999999999999998E-2</v>
      </c>
      <c r="AH20" s="17">
        <f t="shared" si="11"/>
        <v>88.475344717202333</v>
      </c>
      <c r="AI20" s="17">
        <f t="shared" si="6"/>
        <v>88.483744957031831</v>
      </c>
      <c r="AJ20" s="3">
        <v>301.06695526915547</v>
      </c>
      <c r="AK20" s="2">
        <v>27.6</v>
      </c>
      <c r="AL20" s="5">
        <v>43.573403069893509</v>
      </c>
      <c r="AM20" s="16">
        <f t="shared" si="5"/>
        <v>123.09787510649517</v>
      </c>
      <c r="AN20" s="15">
        <f t="shared" si="13"/>
        <v>5.7342519566490405E-2</v>
      </c>
      <c r="AO20" s="15">
        <f t="shared" si="13"/>
        <v>2.0756399234310975E-2</v>
      </c>
      <c r="AP20" s="2"/>
      <c r="AQ20" s="2"/>
      <c r="AR20" s="2"/>
      <c r="AS20" s="2"/>
    </row>
    <row r="21" spans="1:45" x14ac:dyDescent="0.25">
      <c r="A21">
        <v>1958</v>
      </c>
      <c r="B21" s="2">
        <v>2.15</v>
      </c>
      <c r="C21" s="2">
        <v>1.57</v>
      </c>
      <c r="D21" s="6">
        <f t="shared" si="14"/>
        <v>0.73023255813953492</v>
      </c>
      <c r="E21" s="3"/>
      <c r="F21" s="7"/>
      <c r="G21">
        <v>1.839</v>
      </c>
      <c r="I21">
        <v>3.56</v>
      </c>
      <c r="J21" s="2">
        <v>3.79</v>
      </c>
      <c r="K21" s="6">
        <f t="shared" si="0"/>
        <v>1.6558139534883722</v>
      </c>
      <c r="L21" s="6">
        <f t="shared" si="1"/>
        <v>1.7627906976744188</v>
      </c>
      <c r="M21" s="6">
        <f t="shared" si="2"/>
        <v>0.93931398416886547</v>
      </c>
      <c r="N21" s="3">
        <v>3.8300000000000001E-2</v>
      </c>
      <c r="O21" s="5">
        <f t="shared" si="3"/>
        <v>3.83</v>
      </c>
      <c r="P21" s="3">
        <v>0.10828328829493139</v>
      </c>
      <c r="Q21" s="12">
        <f t="shared" si="4"/>
        <v>6.3606940874036011E-2</v>
      </c>
      <c r="R21" s="4">
        <v>-2.2200000000000001E-2</v>
      </c>
      <c r="S21" s="4">
        <v>-2.2200000000000001E-2</v>
      </c>
      <c r="T21">
        <v>56</v>
      </c>
      <c r="U21">
        <v>41.12</v>
      </c>
      <c r="V21">
        <v>1.75</v>
      </c>
      <c r="W21">
        <v>2.89</v>
      </c>
      <c r="X21" s="5">
        <f t="shared" si="7"/>
        <v>14.228373702422143</v>
      </c>
      <c r="Y21">
        <v>35.747677833215349</v>
      </c>
      <c r="Z21" s="11">
        <f t="shared" si="8"/>
        <v>115.02845077615895</v>
      </c>
      <c r="AA21" s="11">
        <f t="shared" si="9"/>
        <v>4.895422880794702</v>
      </c>
      <c r="AB21" s="11">
        <f t="shared" si="10"/>
        <v>8.0844412145695372</v>
      </c>
      <c r="AC21" s="13">
        <f t="shared" si="12"/>
        <v>-6.5597837997623767E-2</v>
      </c>
      <c r="AD21" s="3">
        <v>-9.8439768243135731E-2</v>
      </c>
      <c r="AE21" s="14">
        <v>-0.10926808926736352</v>
      </c>
      <c r="AF21" s="10">
        <v>9.5054317592488641E-2</v>
      </c>
      <c r="AG21">
        <v>7.5999999999999998E-2</v>
      </c>
      <c r="AH21" s="17">
        <f t="shared" si="11"/>
        <v>74.870429407214701</v>
      </c>
      <c r="AI21" s="17">
        <f t="shared" si="6"/>
        <v>74.878002729382189</v>
      </c>
      <c r="AJ21" s="3">
        <v>305.37507923686519</v>
      </c>
      <c r="AK21" s="2">
        <v>28.6</v>
      </c>
      <c r="AL21" s="5">
        <v>45.798255197558184</v>
      </c>
      <c r="AM21" s="16">
        <f t="shared" si="5"/>
        <v>128.11532936834357</v>
      </c>
      <c r="AN21" s="15">
        <f t="shared" si="13"/>
        <v>3.2841930245511963E-2</v>
      </c>
      <c r="AO21" s="15">
        <f t="shared" si="13"/>
        <v>1.0828321024227788E-2</v>
      </c>
      <c r="AP21" s="2"/>
      <c r="AQ21" s="2"/>
      <c r="AR21" s="2"/>
      <c r="AS21" s="2"/>
    </row>
    <row r="22" spans="1:45" x14ac:dyDescent="0.25">
      <c r="A22">
        <v>1959</v>
      </c>
      <c r="B22" s="2">
        <v>3.36</v>
      </c>
      <c r="C22" s="2">
        <v>3.31</v>
      </c>
      <c r="D22" s="6">
        <f t="shared" si="14"/>
        <v>0.98511904761904767</v>
      </c>
      <c r="E22" s="3"/>
      <c r="F22" s="7"/>
      <c r="G22">
        <v>3.4049999999999998</v>
      </c>
      <c r="I22">
        <v>3.95</v>
      </c>
      <c r="J22" s="2">
        <v>4.38</v>
      </c>
      <c r="K22" s="6">
        <f t="shared" si="0"/>
        <v>1.1755952380952381</v>
      </c>
      <c r="L22" s="6">
        <f t="shared" si="1"/>
        <v>1.3035714285714286</v>
      </c>
      <c r="M22" s="6">
        <f t="shared" si="2"/>
        <v>0.90182648401826493</v>
      </c>
      <c r="N22" s="3">
        <v>4.4800000000000006E-2</v>
      </c>
      <c r="O22" s="5">
        <f t="shared" si="3"/>
        <v>4.4800000000000004</v>
      </c>
      <c r="P22" s="3">
        <v>0.13229569446408443</v>
      </c>
      <c r="Q22" s="12">
        <f t="shared" si="4"/>
        <v>-0.11187282321899733</v>
      </c>
      <c r="R22" s="4">
        <v>-9.7000000000000003E-3</v>
      </c>
      <c r="S22" s="4">
        <v>-9.7000000000000003E-3</v>
      </c>
      <c r="T22">
        <v>52</v>
      </c>
      <c r="U22">
        <v>55.62</v>
      </c>
      <c r="V22">
        <v>1.83</v>
      </c>
      <c r="W22">
        <v>3.39</v>
      </c>
      <c r="X22" s="5">
        <f t="shared" si="7"/>
        <v>16.407079646017699</v>
      </c>
      <c r="Y22">
        <v>36.593706500210587</v>
      </c>
      <c r="Z22" s="11">
        <f t="shared" si="8"/>
        <v>151.99334891009175</v>
      </c>
      <c r="AA22" s="11">
        <f t="shared" si="9"/>
        <v>5.0008599155963305</v>
      </c>
      <c r="AB22" s="11">
        <f t="shared" si="10"/>
        <v>9.2638880403669734</v>
      </c>
      <c r="AC22" s="13">
        <f t="shared" si="12"/>
        <v>0.36482937713551344</v>
      </c>
      <c r="AD22" s="3">
        <v>0.32134547190682972</v>
      </c>
      <c r="AE22" s="14">
        <v>0.34671061060199843</v>
      </c>
      <c r="AF22" s="10">
        <v>0.11381225569497803</v>
      </c>
      <c r="AG22">
        <v>7.5999999999999998E-2</v>
      </c>
      <c r="AH22" s="17">
        <f t="shared" si="11"/>
        <v>93.928842961346746</v>
      </c>
      <c r="AI22" s="17">
        <f t="shared" si="6"/>
        <v>93.938849936300045</v>
      </c>
      <c r="AJ22" s="3">
        <v>310.51470602367419</v>
      </c>
      <c r="AK22" s="2">
        <v>29</v>
      </c>
      <c r="AL22" s="5">
        <v>47.220380045550876</v>
      </c>
      <c r="AM22" s="16">
        <f t="shared" si="5"/>
        <v>129.03962063880886</v>
      </c>
      <c r="AN22" s="15">
        <f t="shared" si="13"/>
        <v>4.3483905228683728E-2</v>
      </c>
      <c r="AO22" s="15">
        <f t="shared" si="13"/>
        <v>-2.536513869516871E-2</v>
      </c>
      <c r="AP22" s="2"/>
      <c r="AQ22" s="2"/>
      <c r="AR22" s="2"/>
      <c r="AS22" s="2"/>
    </row>
    <row r="23" spans="1:45" x14ac:dyDescent="0.25">
      <c r="A23">
        <v>1960</v>
      </c>
      <c r="B23" s="2">
        <v>3.53</v>
      </c>
      <c r="C23" s="2">
        <v>3.21</v>
      </c>
      <c r="D23" s="6">
        <f t="shared" si="14"/>
        <v>0.90934844192634567</v>
      </c>
      <c r="E23" s="3"/>
      <c r="F23" s="7"/>
      <c r="G23">
        <v>2.93</v>
      </c>
      <c r="I23">
        <v>3.73</v>
      </c>
      <c r="J23" s="2">
        <v>4.41</v>
      </c>
      <c r="K23" s="6">
        <f t="shared" si="0"/>
        <v>1.0566572237960341</v>
      </c>
      <c r="L23" s="6">
        <f t="shared" si="1"/>
        <v>1.2492917847025498</v>
      </c>
      <c r="M23" s="6">
        <f t="shared" si="2"/>
        <v>0.8458049886621315</v>
      </c>
      <c r="N23" s="3">
        <v>4.82E-2</v>
      </c>
      <c r="O23" s="5">
        <f t="shared" si="3"/>
        <v>4.82</v>
      </c>
      <c r="P23" s="3">
        <v>0.12354481160659485</v>
      </c>
      <c r="Q23" s="12">
        <f t="shared" si="4"/>
        <v>3.7250684931506794E-2</v>
      </c>
      <c r="R23" s="4">
        <v>9.0700000000000003E-2</v>
      </c>
      <c r="S23" s="4">
        <v>9.0700000000000003E-2</v>
      </c>
      <c r="T23">
        <v>57</v>
      </c>
      <c r="U23">
        <v>58.03</v>
      </c>
      <c r="V23">
        <v>1.95</v>
      </c>
      <c r="W23">
        <v>3.27</v>
      </c>
      <c r="X23" s="5">
        <f t="shared" si="7"/>
        <v>17.74617737003058</v>
      </c>
      <c r="Y23">
        <v>36.593620728666153</v>
      </c>
      <c r="Z23" s="11">
        <f t="shared" si="8"/>
        <v>158.57955251348315</v>
      </c>
      <c r="AA23" s="11">
        <f t="shared" si="9"/>
        <v>5.3287976460674162</v>
      </c>
      <c r="AB23" s="11">
        <f t="shared" si="10"/>
        <v>8.9359837449438206</v>
      </c>
      <c r="AC23" s="13">
        <f t="shared" si="12"/>
        <v>7.8391596309302092E-2</v>
      </c>
      <c r="AD23" s="3">
        <v>-5.165949114381718E-3</v>
      </c>
      <c r="AE23" s="14">
        <v>-2.4459527580788475E-2</v>
      </c>
      <c r="AF23" s="10">
        <v>0.10570307830889546</v>
      </c>
      <c r="AG23">
        <v>7.5999999999999998E-2</v>
      </c>
      <c r="AH23" s="17">
        <f t="shared" si="11"/>
        <v>88.114813692168255</v>
      </c>
      <c r="AI23" s="17">
        <f t="shared" si="6"/>
        <v>88.124768971598158</v>
      </c>
      <c r="AJ23" s="3">
        <v>315.47175128254446</v>
      </c>
      <c r="AK23" s="2">
        <v>29.3</v>
      </c>
      <c r="AL23" s="5">
        <v>48.470489316091005</v>
      </c>
      <c r="AM23" s="16">
        <f t="shared" si="5"/>
        <v>132.45611762631876</v>
      </c>
      <c r="AN23" s="15">
        <f t="shared" si="13"/>
        <v>8.3557545423683807E-2</v>
      </c>
      <c r="AO23" s="15">
        <f t="shared" si="13"/>
        <v>1.9293578466406756E-2</v>
      </c>
      <c r="AP23" s="2"/>
      <c r="AQ23" s="2"/>
      <c r="AR23" s="2"/>
      <c r="AS23" s="2"/>
    </row>
    <row r="24" spans="1:45" x14ac:dyDescent="0.25">
      <c r="A24">
        <v>1961</v>
      </c>
      <c r="B24" s="2">
        <v>3</v>
      </c>
      <c r="C24" s="2">
        <v>1.95</v>
      </c>
      <c r="D24" s="6">
        <f t="shared" si="14"/>
        <v>0.65</v>
      </c>
      <c r="E24" s="3"/>
      <c r="F24" s="7"/>
      <c r="G24">
        <v>2.38</v>
      </c>
      <c r="I24">
        <v>3.46</v>
      </c>
      <c r="J24" s="2">
        <v>4.3499999999999996</v>
      </c>
      <c r="K24" s="6">
        <f t="shared" si="0"/>
        <v>1.1533333333333333</v>
      </c>
      <c r="L24" s="6">
        <f t="shared" si="1"/>
        <v>1.45</v>
      </c>
      <c r="M24" s="6">
        <f t="shared" si="2"/>
        <v>0.79540229885057478</v>
      </c>
      <c r="N24" s="3">
        <v>4.4999999999999998E-2</v>
      </c>
      <c r="O24" s="5">
        <f t="shared" si="3"/>
        <v>4.5</v>
      </c>
      <c r="P24" s="3">
        <v>0.12343224124638312</v>
      </c>
      <c r="Q24" s="12">
        <f t="shared" si="4"/>
        <v>5.7105442176870858E-2</v>
      </c>
      <c r="R24" s="4">
        <v>4.82E-2</v>
      </c>
      <c r="S24" s="4">
        <v>4.82E-2</v>
      </c>
      <c r="T24">
        <v>64</v>
      </c>
      <c r="U24">
        <v>59.72</v>
      </c>
      <c r="V24">
        <v>2.02</v>
      </c>
      <c r="W24">
        <v>3.19</v>
      </c>
      <c r="X24" s="5">
        <f t="shared" si="7"/>
        <v>18.721003134796238</v>
      </c>
      <c r="Y24">
        <v>36.45789659811367</v>
      </c>
      <c r="Z24" s="11">
        <f t="shared" si="8"/>
        <v>163.8053908</v>
      </c>
      <c r="AA24" s="11">
        <f t="shared" si="9"/>
        <v>5.5406377999999998</v>
      </c>
      <c r="AB24" s="11">
        <f t="shared" si="10"/>
        <v>8.7498190999999998</v>
      </c>
      <c r="AC24" s="13">
        <f t="shared" si="12"/>
        <v>6.7893217731216843E-2</v>
      </c>
      <c r="AD24" s="3">
        <v>6.9796687903433852E-2</v>
      </c>
      <c r="AE24" s="14">
        <v>5.2849464283736471E-2</v>
      </c>
      <c r="AF24" s="10">
        <v>0.10516657955813914</v>
      </c>
      <c r="AG24">
        <v>7.5999999999999998E-2</v>
      </c>
      <c r="AH24" s="17">
        <f t="shared" si="11"/>
        <v>88.724298043109755</v>
      </c>
      <c r="AI24" s="17">
        <f t="shared" si="6"/>
        <v>88.734948168071014</v>
      </c>
      <c r="AJ24" s="3">
        <v>320.02174818987089</v>
      </c>
      <c r="AK24" s="2">
        <v>29.8</v>
      </c>
      <c r="AL24" s="5">
        <v>50.008642349544587</v>
      </c>
      <c r="AM24" s="16">
        <f t="shared" si="5"/>
        <v>137.16820501414236</v>
      </c>
      <c r="AN24" s="15">
        <f t="shared" si="13"/>
        <v>-1.9034701722170089E-3</v>
      </c>
      <c r="AO24" s="15">
        <f t="shared" si="13"/>
        <v>1.6947223619697381E-2</v>
      </c>
      <c r="AP24" s="2"/>
      <c r="AQ24" s="2"/>
      <c r="AR24" s="2"/>
      <c r="AS24" s="2"/>
    </row>
    <row r="25" spans="1:45" x14ac:dyDescent="0.25">
      <c r="A25">
        <v>1962</v>
      </c>
      <c r="B25" s="2">
        <v>3</v>
      </c>
      <c r="C25" s="2">
        <v>2.71</v>
      </c>
      <c r="D25" s="6">
        <f t="shared" si="14"/>
        <v>0.90333333333333332</v>
      </c>
      <c r="E25" s="3"/>
      <c r="F25" s="7"/>
      <c r="G25">
        <v>2.78</v>
      </c>
      <c r="I25">
        <v>3.18</v>
      </c>
      <c r="J25" s="2">
        <v>4.33</v>
      </c>
      <c r="K25" s="6">
        <f t="shared" si="0"/>
        <v>1.06</v>
      </c>
      <c r="L25" s="6">
        <f t="shared" si="1"/>
        <v>1.4433333333333334</v>
      </c>
      <c r="M25" s="6">
        <f t="shared" si="2"/>
        <v>0.73441108545034639</v>
      </c>
      <c r="N25" s="3">
        <v>4.4999999999999998E-2</v>
      </c>
      <c r="O25" s="5">
        <f t="shared" si="3"/>
        <v>4.5</v>
      </c>
      <c r="P25" s="3">
        <v>0.13679400427077842</v>
      </c>
      <c r="Q25" s="12">
        <f t="shared" si="4"/>
        <v>4.7897701149425188E-2</v>
      </c>
      <c r="R25" s="4">
        <v>7.9500000000000001E-2</v>
      </c>
      <c r="S25" s="4">
        <v>7.9500000000000001E-2</v>
      </c>
      <c r="T25">
        <v>61</v>
      </c>
      <c r="U25">
        <v>69.069999999999993</v>
      </c>
      <c r="V25">
        <v>2.13</v>
      </c>
      <c r="W25">
        <v>3.67</v>
      </c>
      <c r="X25" s="5">
        <f t="shared" si="7"/>
        <v>18.820163487738419</v>
      </c>
      <c r="Y25">
        <v>36.377670044996613</v>
      </c>
      <c r="Z25" s="11">
        <f t="shared" si="8"/>
        <v>189.86922448459526</v>
      </c>
      <c r="AA25" s="11">
        <f t="shared" si="9"/>
        <v>5.8552403091383809</v>
      </c>
      <c r="AB25" s="11">
        <f t="shared" si="10"/>
        <v>10.088606542036553</v>
      </c>
      <c r="AC25" s="13">
        <f t="shared" si="12"/>
        <v>0.19485972859529144</v>
      </c>
      <c r="AD25" s="3">
        <v>0.24580980440920561</v>
      </c>
      <c r="AE25" s="14">
        <v>0.24959354886285895</v>
      </c>
      <c r="AF25" s="10">
        <v>0.11607789249317023</v>
      </c>
      <c r="AG25">
        <v>7.5999999999999998E-2</v>
      </c>
      <c r="AH25" s="17">
        <f t="shared" si="11"/>
        <v>104.67836008229224</v>
      </c>
      <c r="AI25" s="17">
        <f t="shared" si="6"/>
        <v>104.69162811238716</v>
      </c>
      <c r="AJ25" s="3">
        <v>324.40350244465395</v>
      </c>
      <c r="AK25" s="2">
        <v>30</v>
      </c>
      <c r="AL25" s="5">
        <v>51.033587170108127</v>
      </c>
      <c r="AM25" s="16">
        <f t="shared" si="5"/>
        <v>140.28822381142933</v>
      </c>
      <c r="AN25" s="15">
        <f t="shared" si="13"/>
        <v>-5.095007581391417E-2</v>
      </c>
      <c r="AO25" s="15">
        <f t="shared" si="13"/>
        <v>-3.7837444536533427E-3</v>
      </c>
      <c r="AP25" s="2"/>
      <c r="AQ25" s="2"/>
      <c r="AR25" s="2"/>
      <c r="AS25" s="2"/>
    </row>
    <row r="26" spans="1:45" x14ac:dyDescent="0.25">
      <c r="A26">
        <v>1963</v>
      </c>
      <c r="B26" s="2">
        <v>3.23</v>
      </c>
      <c r="C26" s="2">
        <v>3.18</v>
      </c>
      <c r="D26" s="6">
        <f t="shared" si="14"/>
        <v>0.98452012383900933</v>
      </c>
      <c r="E26" s="3"/>
      <c r="F26" s="7"/>
      <c r="G26">
        <v>3.16</v>
      </c>
      <c r="I26">
        <v>3.23</v>
      </c>
      <c r="J26" s="2">
        <v>4.26</v>
      </c>
      <c r="K26" s="6">
        <f t="shared" si="0"/>
        <v>1</v>
      </c>
      <c r="L26" s="6">
        <f t="shared" si="1"/>
        <v>1.3188854489164086</v>
      </c>
      <c r="M26" s="6">
        <f t="shared" si="2"/>
        <v>0.75821596244131462</v>
      </c>
      <c r="N26" s="3">
        <v>4.4999999999999998E-2</v>
      </c>
      <c r="O26" s="5">
        <f t="shared" si="3"/>
        <v>4.5</v>
      </c>
      <c r="P26" s="3">
        <v>0.1441026105799619</v>
      </c>
      <c r="Q26" s="12">
        <f t="shared" si="4"/>
        <v>5.8766281755196367E-2</v>
      </c>
      <c r="R26" s="4">
        <v>2.1899999999999999E-2</v>
      </c>
      <c r="S26" s="4">
        <v>2.1899999999999999E-2</v>
      </c>
      <c r="T26">
        <v>56</v>
      </c>
      <c r="U26">
        <v>65.06</v>
      </c>
      <c r="V26">
        <v>2.2799999999999998</v>
      </c>
      <c r="W26">
        <v>4.0199999999999996</v>
      </c>
      <c r="X26" s="5">
        <f t="shared" si="7"/>
        <v>16.184079601990053</v>
      </c>
      <c r="Y26">
        <v>36.436881382474439</v>
      </c>
      <c r="Z26" s="11">
        <f t="shared" si="8"/>
        <v>178.5553470316832</v>
      </c>
      <c r="AA26" s="11">
        <f t="shared" si="9"/>
        <v>6.2573961148514856</v>
      </c>
      <c r="AB26" s="11">
        <f t="shared" si="10"/>
        <v>11.03277736039604</v>
      </c>
      <c r="AC26" s="13">
        <f t="shared" si="12"/>
        <v>-2.6631389851549274E-2</v>
      </c>
      <c r="AD26" s="3">
        <v>0.16852802621985055</v>
      </c>
      <c r="AE26" s="14">
        <v>0.17368463421612731</v>
      </c>
      <c r="AF26" s="10">
        <v>0.12143069203177961</v>
      </c>
      <c r="AG26">
        <v>7.5999999999999998E-2</v>
      </c>
      <c r="AH26" s="17">
        <f t="shared" si="11"/>
        <v>116.06220138004026</v>
      </c>
      <c r="AI26" s="17">
        <f t="shared" si="6"/>
        <v>116.0777054450589</v>
      </c>
      <c r="AJ26" s="3">
        <v>328.40109567144617</v>
      </c>
      <c r="AK26" s="2">
        <v>30.4</v>
      </c>
      <c r="AL26" s="5">
        <v>52.351302089207991</v>
      </c>
      <c r="AM26" s="16">
        <f t="shared" si="5"/>
        <v>143.67668171071341</v>
      </c>
      <c r="AN26" s="15">
        <f t="shared" si="13"/>
        <v>-0.19515941607139983</v>
      </c>
      <c r="AO26" s="15">
        <f t="shared" si="13"/>
        <v>-5.156607996276763E-3</v>
      </c>
      <c r="AP26" s="2"/>
      <c r="AQ26" s="2"/>
      <c r="AR26" s="2"/>
      <c r="AS26" s="2"/>
    </row>
    <row r="27" spans="1:45" x14ac:dyDescent="0.25">
      <c r="A27">
        <v>1964</v>
      </c>
      <c r="B27" s="2">
        <v>3.55</v>
      </c>
      <c r="C27" s="2">
        <v>3.5</v>
      </c>
      <c r="D27" s="6">
        <f t="shared" si="14"/>
        <v>0.9859154929577465</v>
      </c>
      <c r="E27" s="2">
        <v>3.92</v>
      </c>
      <c r="F27" s="5">
        <f>+E27/B27</f>
        <v>1.1042253521126761</v>
      </c>
      <c r="G27">
        <v>3.56</v>
      </c>
      <c r="H27" s="8">
        <f t="shared" ref="H27:H33" si="15">+G27/E27</f>
        <v>0.90816326530612246</v>
      </c>
      <c r="I27" s="2">
        <v>3.22</v>
      </c>
      <c r="J27" s="2">
        <v>4.4000000000000004</v>
      </c>
      <c r="K27" s="6">
        <f t="shared" si="0"/>
        <v>0.90704225352112688</v>
      </c>
      <c r="L27" s="6">
        <f t="shared" si="1"/>
        <v>1.23943661971831</v>
      </c>
      <c r="M27" s="6">
        <f t="shared" si="2"/>
        <v>0.73181818181818181</v>
      </c>
      <c r="N27" s="3">
        <v>4.4999999999999998E-2</v>
      </c>
      <c r="O27" s="5">
        <f t="shared" si="3"/>
        <v>4.5</v>
      </c>
      <c r="P27" s="3">
        <v>0.15359940889398827</v>
      </c>
      <c r="Q27" s="12">
        <f t="shared" si="4"/>
        <v>1.1136150234741654E-2</v>
      </c>
      <c r="R27" s="4">
        <v>4.7699999999999992E-2</v>
      </c>
      <c r="S27" s="4">
        <v>4.7699999999999992E-2</v>
      </c>
      <c r="T27">
        <v>53</v>
      </c>
      <c r="U27">
        <v>76.45</v>
      </c>
      <c r="V27">
        <v>2.5</v>
      </c>
      <c r="W27">
        <v>4.55</v>
      </c>
      <c r="X27" s="5">
        <f t="shared" si="7"/>
        <v>16.802197802197803</v>
      </c>
      <c r="Y27">
        <v>36.670274194378734</v>
      </c>
      <c r="Z27" s="11">
        <f t="shared" si="8"/>
        <v>208.47948830368765</v>
      </c>
      <c r="AA27" s="11">
        <f t="shared" si="9"/>
        <v>6.8175110629067248</v>
      </c>
      <c r="AB27" s="11">
        <f t="shared" si="10"/>
        <v>12.407870134490238</v>
      </c>
      <c r="AC27" s="13">
        <f t="shared" si="12"/>
        <v>0.20577178418740752</v>
      </c>
      <c r="AD27" s="3">
        <v>0.18526608515762</v>
      </c>
      <c r="AE27" s="14">
        <v>0.18980178246910548</v>
      </c>
      <c r="AF27" s="10">
        <v>0.12813738591915966</v>
      </c>
      <c r="AG27">
        <v>7.5999999999999998E-2</v>
      </c>
      <c r="AH27" s="17">
        <f t="shared" si="11"/>
        <v>130.74708000158893</v>
      </c>
      <c r="AI27" s="17">
        <f t="shared" si="6"/>
        <v>130.76545644403757</v>
      </c>
      <c r="AJ27" s="3">
        <v>331.74702414966731</v>
      </c>
      <c r="AK27" s="2">
        <v>30.9</v>
      </c>
      <c r="AL27" s="5">
        <v>53.754499455819193</v>
      </c>
      <c r="AM27" s="16">
        <f t="shared" si="5"/>
        <v>146.58875788842434</v>
      </c>
      <c r="AN27" s="15">
        <f t="shared" si="13"/>
        <v>2.0505699029787522E-2</v>
      </c>
      <c r="AO27" s="15">
        <f t="shared" si="13"/>
        <v>-4.5356973114854815E-3</v>
      </c>
      <c r="AP27" s="2"/>
      <c r="AQ27" s="2"/>
      <c r="AR27" s="2"/>
      <c r="AS27" s="2"/>
    </row>
    <row r="28" spans="1:45" x14ac:dyDescent="0.25">
      <c r="A28">
        <v>1965</v>
      </c>
      <c r="B28" s="2">
        <v>4.04</v>
      </c>
      <c r="C28" s="2">
        <v>4.07</v>
      </c>
      <c r="D28" s="6">
        <f t="shared" si="14"/>
        <v>1.0074257425742574</v>
      </c>
      <c r="E28" s="2">
        <v>4.3600000000000003</v>
      </c>
      <c r="F28" s="5">
        <f t="shared" ref="F28:F74" si="16">+E28/B28</f>
        <v>1.0792079207920793</v>
      </c>
      <c r="G28">
        <v>3.95</v>
      </c>
      <c r="H28" s="8">
        <f t="shared" si="15"/>
        <v>0.90596330275229353</v>
      </c>
      <c r="I28" s="2">
        <v>3.27</v>
      </c>
      <c r="J28" s="2">
        <v>4.49</v>
      </c>
      <c r="K28" s="6">
        <f t="shared" si="0"/>
        <v>0.80940594059405946</v>
      </c>
      <c r="L28" s="6">
        <f t="shared" si="1"/>
        <v>1.1113861386138615</v>
      </c>
      <c r="M28" s="6">
        <f t="shared" si="2"/>
        <v>0.72828507795100217</v>
      </c>
      <c r="N28" s="3">
        <v>4.5400000000000003E-2</v>
      </c>
      <c r="O28" s="5">
        <f t="shared" si="3"/>
        <v>4.54</v>
      </c>
      <c r="P28" s="3">
        <v>0.16562060705459006</v>
      </c>
      <c r="Q28" s="12">
        <f t="shared" si="4"/>
        <v>2.4445454545454583E-2</v>
      </c>
      <c r="R28" s="4">
        <v>-4.5999999999999999E-3</v>
      </c>
      <c r="S28" s="4">
        <v>-4.5999999999999999E-3</v>
      </c>
      <c r="T28">
        <v>53</v>
      </c>
      <c r="U28">
        <v>86.12</v>
      </c>
      <c r="V28">
        <v>2.72</v>
      </c>
      <c r="W28">
        <v>5.19</v>
      </c>
      <c r="X28" s="5">
        <f t="shared" si="7"/>
        <v>16.593448940269749</v>
      </c>
      <c r="Y28">
        <v>37.027469678467156</v>
      </c>
      <c r="Z28" s="11">
        <f t="shared" si="8"/>
        <v>232.58408081306717</v>
      </c>
      <c r="AA28" s="11">
        <f t="shared" si="9"/>
        <v>7.345897582577134</v>
      </c>
      <c r="AB28" s="11">
        <f t="shared" si="10"/>
        <v>14.016620754990928</v>
      </c>
      <c r="AC28" s="13">
        <f t="shared" si="12"/>
        <v>0.15085651997640842</v>
      </c>
      <c r="AD28" s="3">
        <v>0.25778757374461897</v>
      </c>
      <c r="AE28" s="14">
        <v>0.25849604615469496</v>
      </c>
      <c r="AF28" s="10">
        <v>0.13818209006945084</v>
      </c>
      <c r="AG28">
        <v>7.5999999999999998E-2</v>
      </c>
      <c r="AH28" s="17">
        <f t="shared" si="11"/>
        <v>157.106154946815</v>
      </c>
      <c r="AI28" s="17">
        <f t="shared" si="6"/>
        <v>157.12926860777654</v>
      </c>
      <c r="AJ28" s="3">
        <v>333.75570389430806</v>
      </c>
      <c r="AK28" s="2">
        <v>31.2</v>
      </c>
      <c r="AL28" s="5">
        <v>54.605023395398071</v>
      </c>
      <c r="AM28" s="16">
        <f t="shared" si="5"/>
        <v>147.47165785177299</v>
      </c>
      <c r="AN28" s="15">
        <f t="shared" si="13"/>
        <v>-0.10693105376821055</v>
      </c>
      <c r="AO28" s="15">
        <f t="shared" si="13"/>
        <v>-7.0847241007598871E-4</v>
      </c>
      <c r="AP28" s="2"/>
      <c r="AQ28" s="2"/>
      <c r="AR28" s="2"/>
      <c r="AS28" s="2"/>
    </row>
    <row r="29" spans="1:45" x14ac:dyDescent="0.25">
      <c r="A29">
        <v>1966</v>
      </c>
      <c r="B29" s="2">
        <v>4.5</v>
      </c>
      <c r="C29" s="2">
        <v>5.1100000000000003</v>
      </c>
      <c r="D29" s="6">
        <f t="shared" si="14"/>
        <v>1.1355555555555557</v>
      </c>
      <c r="E29" s="2">
        <v>5.45</v>
      </c>
      <c r="F29" s="5">
        <f t="shared" si="16"/>
        <v>1.2111111111111112</v>
      </c>
      <c r="G29">
        <v>4.88</v>
      </c>
      <c r="H29" s="8">
        <f t="shared" si="15"/>
        <v>0.89541284403669719</v>
      </c>
      <c r="I29" s="2">
        <v>3.82</v>
      </c>
      <c r="J29" s="2">
        <v>5.13</v>
      </c>
      <c r="K29" s="6">
        <f t="shared" si="0"/>
        <v>0.8488888888888888</v>
      </c>
      <c r="L29" s="6">
        <f t="shared" si="1"/>
        <v>1.1399999999999999</v>
      </c>
      <c r="M29" s="6">
        <f t="shared" si="2"/>
        <v>0.74463937621832355</v>
      </c>
      <c r="N29" s="3">
        <v>5.6299999999999996E-2</v>
      </c>
      <c r="O29" s="5">
        <f t="shared" si="3"/>
        <v>5.63</v>
      </c>
      <c r="P29" s="3">
        <v>0.16579439004646634</v>
      </c>
      <c r="Q29" s="12">
        <f t="shared" si="4"/>
        <v>-9.1238975501113498E-2</v>
      </c>
      <c r="R29" s="4">
        <v>2E-3</v>
      </c>
      <c r="S29" s="4">
        <v>2E-3</v>
      </c>
      <c r="T29">
        <v>52</v>
      </c>
      <c r="U29">
        <v>93.32</v>
      </c>
      <c r="V29">
        <v>2.87</v>
      </c>
      <c r="W29">
        <v>5.55</v>
      </c>
      <c r="X29" s="5">
        <f t="shared" si="7"/>
        <v>16.814414414414415</v>
      </c>
      <c r="Y29">
        <v>37.528104903640994</v>
      </c>
      <c r="Z29" s="11">
        <f t="shared" si="8"/>
        <v>248.66696636990602</v>
      </c>
      <c r="AA29" s="11">
        <f t="shared" si="9"/>
        <v>7.6476017304075254</v>
      </c>
      <c r="AB29" s="11">
        <f t="shared" si="10"/>
        <v>14.788916238244518</v>
      </c>
      <c r="AC29" s="13">
        <f t="shared" si="12"/>
        <v>0.1020297141760062</v>
      </c>
      <c r="AD29" s="3">
        <v>0.13306828610762145</v>
      </c>
      <c r="AE29" s="14">
        <v>0.13755275198450667</v>
      </c>
      <c r="AF29" s="10">
        <v>0.13780250259730348</v>
      </c>
      <c r="AG29">
        <v>7.5999999999999998E-2</v>
      </c>
      <c r="AH29" s="17">
        <f t="shared" si="11"/>
        <v>170.36439999213854</v>
      </c>
      <c r="AI29" s="17">
        <f t="shared" si="6"/>
        <v>170.39058934834989</v>
      </c>
      <c r="AJ29" s="3">
        <v>334.569276410192</v>
      </c>
      <c r="AK29" s="2">
        <v>31.8</v>
      </c>
      <c r="AL29" s="5">
        <v>55.7907865225176</v>
      </c>
      <c r="AM29" s="16">
        <f t="shared" si="5"/>
        <v>148.6640123868998</v>
      </c>
      <c r="AN29" s="15">
        <f t="shared" si="13"/>
        <v>-3.1038571931615244E-2</v>
      </c>
      <c r="AO29" s="15">
        <f t="shared" si="13"/>
        <v>-4.4844658768852241E-3</v>
      </c>
      <c r="AP29" s="2"/>
      <c r="AQ29" s="2"/>
      <c r="AR29" s="2"/>
      <c r="AS29" s="2"/>
    </row>
    <row r="30" spans="1:45" x14ac:dyDescent="0.25">
      <c r="A30">
        <v>1967</v>
      </c>
      <c r="B30" s="2">
        <v>4.1900000000000004</v>
      </c>
      <c r="C30" s="2">
        <v>4.22</v>
      </c>
      <c r="D30" s="6">
        <f t="shared" si="14"/>
        <v>1.007159904534606</v>
      </c>
      <c r="E30" s="2">
        <v>4.99</v>
      </c>
      <c r="F30" s="5">
        <f t="shared" si="16"/>
        <v>1.1909307875894988</v>
      </c>
      <c r="G30">
        <v>4.32</v>
      </c>
      <c r="H30" s="8">
        <f t="shared" si="15"/>
        <v>0.86573146292585168</v>
      </c>
      <c r="I30" s="2">
        <v>3.98</v>
      </c>
      <c r="J30" s="2">
        <v>5.51</v>
      </c>
      <c r="K30" s="6">
        <f t="shared" si="0"/>
        <v>0.94988066825775652</v>
      </c>
      <c r="L30" s="6">
        <f t="shared" si="1"/>
        <v>1.3150357995226729</v>
      </c>
      <c r="M30" s="6">
        <f t="shared" si="2"/>
        <v>0.72232304900181488</v>
      </c>
      <c r="N30" s="3">
        <v>5.6299999999999996E-2</v>
      </c>
      <c r="O30" s="5">
        <f t="shared" si="3"/>
        <v>5.63</v>
      </c>
      <c r="P30" s="3">
        <v>0.14737389186180741</v>
      </c>
      <c r="Q30" s="12">
        <f t="shared" si="4"/>
        <v>-1.897407407407406E-2</v>
      </c>
      <c r="R30" s="4">
        <v>-4.9500000000000002E-2</v>
      </c>
      <c r="S30" s="4">
        <v>-4.9500000000000002E-2</v>
      </c>
      <c r="T30">
        <v>49</v>
      </c>
      <c r="U30">
        <v>84.45</v>
      </c>
      <c r="V30">
        <v>2.92</v>
      </c>
      <c r="W30">
        <v>5.33</v>
      </c>
      <c r="X30" s="5">
        <f t="shared" si="7"/>
        <v>15.844277673545967</v>
      </c>
      <c r="Y30">
        <v>38.379543525891407</v>
      </c>
      <c r="Z30" s="11">
        <f t="shared" si="8"/>
        <v>220.03909437596303</v>
      </c>
      <c r="AA30" s="11">
        <f t="shared" si="9"/>
        <v>7.6082197226502313</v>
      </c>
      <c r="AB30" s="11">
        <f t="shared" si="10"/>
        <v>13.88760654853621</v>
      </c>
      <c r="AC30" s="13">
        <f t="shared" si="12"/>
        <v>-8.4529330848170839E-2</v>
      </c>
      <c r="AD30" s="3">
        <v>-2.2424706322610095E-3</v>
      </c>
      <c r="AE30" s="14">
        <v>-2.9987283574751496E-2</v>
      </c>
      <c r="AF30" s="10">
        <v>0.12474159436916939</v>
      </c>
      <c r="AG30">
        <v>7.5999999999999998E-2</v>
      </c>
      <c r="AH30" s="17">
        <f t="shared" si="11"/>
        <v>162.37414310572316</v>
      </c>
      <c r="AI30" s="17">
        <f t="shared" si="6"/>
        <v>162.40027373307234</v>
      </c>
      <c r="AJ30" s="3">
        <v>335.01907369841422</v>
      </c>
      <c r="AK30" s="2">
        <v>32.9</v>
      </c>
      <c r="AL30" s="5">
        <v>57.798256553108693</v>
      </c>
      <c r="AM30" s="16">
        <f t="shared" si="5"/>
        <v>150.59651898704095</v>
      </c>
      <c r="AN30" s="15">
        <f t="shared" si="13"/>
        <v>-8.2286860215909835E-2</v>
      </c>
      <c r="AO30" s="15">
        <f t="shared" si="13"/>
        <v>2.7744812942490486E-2</v>
      </c>
      <c r="AP30" s="2"/>
      <c r="AQ30" s="2"/>
      <c r="AR30" s="2"/>
      <c r="AS30" s="2"/>
    </row>
    <row r="31" spans="1:45" x14ac:dyDescent="0.25">
      <c r="A31">
        <v>1968</v>
      </c>
      <c r="B31" s="2">
        <v>5.17</v>
      </c>
      <c r="C31" s="2">
        <v>5.66</v>
      </c>
      <c r="D31" s="6">
        <f t="shared" si="14"/>
        <v>1.0947775628626693</v>
      </c>
      <c r="E31" s="2">
        <v>5.82</v>
      </c>
      <c r="F31" s="5">
        <f t="shared" si="16"/>
        <v>1.125725338491296</v>
      </c>
      <c r="G31">
        <v>5.34</v>
      </c>
      <c r="H31" s="8">
        <f t="shared" si="15"/>
        <v>0.91752577319587625</v>
      </c>
      <c r="I31" s="2">
        <v>4.51</v>
      </c>
      <c r="J31" s="2">
        <v>6.18</v>
      </c>
      <c r="K31" s="6">
        <f t="shared" si="0"/>
        <v>0.87234042553191482</v>
      </c>
      <c r="L31" s="6">
        <f t="shared" si="1"/>
        <v>1.195357833655706</v>
      </c>
      <c r="M31" s="6">
        <f t="shared" si="2"/>
        <v>0.72977346278317157</v>
      </c>
      <c r="N31" s="3">
        <v>6.3099999999999989E-2</v>
      </c>
      <c r="O31" s="5">
        <f t="shared" si="3"/>
        <v>6.3099999999999987</v>
      </c>
      <c r="P31" s="3">
        <v>0.14522282480795876</v>
      </c>
      <c r="Q31" s="12">
        <f t="shared" si="4"/>
        <v>-5.9797096188747734E-2</v>
      </c>
      <c r="R31" s="4">
        <v>2.5699999999999997E-2</v>
      </c>
      <c r="S31" s="4">
        <v>2.5699999999999997E-2</v>
      </c>
      <c r="T31">
        <v>39</v>
      </c>
      <c r="U31">
        <v>95.04</v>
      </c>
      <c r="V31">
        <v>3.07</v>
      </c>
      <c r="W31">
        <v>5.76</v>
      </c>
      <c r="X31" s="5">
        <f t="shared" si="7"/>
        <v>16.5</v>
      </c>
      <c r="Y31">
        <v>39.646769840293423</v>
      </c>
      <c r="Z31" s="11">
        <f t="shared" si="8"/>
        <v>239.71688080225357</v>
      </c>
      <c r="AA31" s="11">
        <f t="shared" si="9"/>
        <v>7.7433798828169031</v>
      </c>
      <c r="AB31" s="11">
        <f t="shared" si="10"/>
        <v>14.528295806197185</v>
      </c>
      <c r="AC31" s="13">
        <f t="shared" si="12"/>
        <v>0.12461951993973902</v>
      </c>
      <c r="AD31" s="3">
        <v>0.10367347595546927</v>
      </c>
      <c r="AE31" s="14">
        <v>8.8926138864904108E-2</v>
      </c>
      <c r="AF31" s="10">
        <v>0.12385229726692695</v>
      </c>
      <c r="AG31">
        <v>7.5999999999999998E-2</v>
      </c>
      <c r="AH31" s="17">
        <f t="shared" si="11"/>
        <v>171.46465504396741</v>
      </c>
      <c r="AI31" s="17">
        <f t="shared" si="6"/>
        <v>171.49349472428275</v>
      </c>
      <c r="AJ31" s="3">
        <v>335.89162617316015</v>
      </c>
      <c r="AK31" s="2">
        <v>34.1</v>
      </c>
      <c r="AL31" s="5">
        <v>60.062425026244163</v>
      </c>
      <c r="AM31" s="16">
        <f t="shared" si="5"/>
        <v>151.49386764215555</v>
      </c>
      <c r="AN31" s="15">
        <f t="shared" si="13"/>
        <v>2.0946043984269747E-2</v>
      </c>
      <c r="AO31" s="15">
        <f t="shared" si="13"/>
        <v>1.4747337090565166E-2</v>
      </c>
      <c r="AP31" s="2"/>
      <c r="AQ31" s="2"/>
      <c r="AR31" s="2"/>
      <c r="AS31" s="2"/>
    </row>
    <row r="32" spans="1:45" x14ac:dyDescent="0.25">
      <c r="A32">
        <v>1969</v>
      </c>
      <c r="B32" s="2">
        <v>5.87</v>
      </c>
      <c r="C32" s="2">
        <v>8.2100000000000009</v>
      </c>
      <c r="D32" s="6">
        <f t="shared" si="14"/>
        <v>1.3986371379897786</v>
      </c>
      <c r="E32" s="2">
        <v>7.23</v>
      </c>
      <c r="F32" s="5">
        <f t="shared" si="16"/>
        <v>1.231686541737649</v>
      </c>
      <c r="G32">
        <v>6.68</v>
      </c>
      <c r="H32" s="8">
        <f t="shared" si="15"/>
        <v>0.92392807745504835</v>
      </c>
      <c r="I32" s="2">
        <v>5.81</v>
      </c>
      <c r="J32" s="2">
        <v>7.03</v>
      </c>
      <c r="K32" s="6">
        <f t="shared" si="0"/>
        <v>0.98977853492333889</v>
      </c>
      <c r="L32" s="6">
        <f t="shared" si="1"/>
        <v>1.1976149914821124</v>
      </c>
      <c r="M32" s="6">
        <f t="shared" si="2"/>
        <v>0.82645803698435272</v>
      </c>
      <c r="N32" s="3">
        <v>7.9600000000000004E-2</v>
      </c>
      <c r="O32" s="5">
        <f t="shared" si="3"/>
        <v>7.9600000000000009</v>
      </c>
      <c r="P32" s="3">
        <v>0.12563664080861681</v>
      </c>
      <c r="Q32" s="12">
        <f t="shared" si="4"/>
        <v>-6.7240453074433743E-2</v>
      </c>
      <c r="R32" s="4">
        <v>-8.09E-2</v>
      </c>
      <c r="S32" s="4">
        <v>-8.09E-2</v>
      </c>
      <c r="T32">
        <v>37</v>
      </c>
      <c r="U32">
        <v>102.04</v>
      </c>
      <c r="V32">
        <v>3.16</v>
      </c>
      <c r="W32">
        <v>5.78</v>
      </c>
      <c r="X32" s="5">
        <f t="shared" si="7"/>
        <v>17.653979238754324</v>
      </c>
      <c r="Y32">
        <v>41.210638688722426</v>
      </c>
      <c r="Z32" s="11">
        <f t="shared" si="8"/>
        <v>247.6059659515152</v>
      </c>
      <c r="AA32" s="11">
        <f t="shared" si="9"/>
        <v>7.6679228969696984</v>
      </c>
      <c r="AB32" s="11">
        <f t="shared" si="10"/>
        <v>14.025504539393943</v>
      </c>
      <c r="AC32" s="13">
        <f t="shared" si="12"/>
        <v>6.4897423970173243E-2</v>
      </c>
      <c r="AD32" s="3">
        <v>-9.0829713397683354E-3</v>
      </c>
      <c r="AE32" s="14">
        <v>-5.9871874996509374E-2</v>
      </c>
      <c r="AF32" s="10">
        <v>0.11249342865334706</v>
      </c>
      <c r="AG32">
        <v>7.5999999999999998E-2</v>
      </c>
      <c r="AH32" s="17">
        <f t="shared" si="11"/>
        <v>162.2393235994501</v>
      </c>
      <c r="AI32" s="17">
        <f t="shared" si="6"/>
        <v>162.2679013297757</v>
      </c>
      <c r="AJ32" s="3">
        <v>336.67263306754165</v>
      </c>
      <c r="AK32" s="2">
        <v>35.6</v>
      </c>
      <c r="AL32" s="5">
        <v>62.850266057705738</v>
      </c>
      <c r="AM32" s="16">
        <f t="shared" si="5"/>
        <v>152.50980828624029</v>
      </c>
      <c r="AN32" s="15">
        <f t="shared" si="13"/>
        <v>7.3980395309941577E-2</v>
      </c>
      <c r="AO32" s="15">
        <f t="shared" si="13"/>
        <v>5.078890365674104E-2</v>
      </c>
      <c r="AP32" s="2"/>
      <c r="AQ32" s="2"/>
      <c r="AR32" s="2"/>
      <c r="AS32" s="2"/>
    </row>
    <row r="33" spans="1:45" x14ac:dyDescent="0.25">
      <c r="A33">
        <v>1970</v>
      </c>
      <c r="B33" s="2">
        <v>5.95</v>
      </c>
      <c r="C33" s="2">
        <v>7.17</v>
      </c>
      <c r="D33" s="6">
        <f t="shared" si="14"/>
        <v>1.2050420168067226</v>
      </c>
      <c r="E33" s="2">
        <v>7.55</v>
      </c>
      <c r="F33" s="5">
        <f t="shared" si="16"/>
        <v>1.26890756302521</v>
      </c>
      <c r="G33">
        <v>6.43</v>
      </c>
      <c r="H33" s="8">
        <f t="shared" si="15"/>
        <v>0.85165562913907278</v>
      </c>
      <c r="I33" s="2">
        <v>6.51</v>
      </c>
      <c r="J33" s="2">
        <v>8.0399999999999991</v>
      </c>
      <c r="K33" s="6">
        <f t="shared" si="0"/>
        <v>1.0941176470588234</v>
      </c>
      <c r="L33" s="6">
        <f t="shared" si="1"/>
        <v>1.3512605042016805</v>
      </c>
      <c r="M33" s="6">
        <f t="shared" si="2"/>
        <v>0.80970149253731349</v>
      </c>
      <c r="N33" s="3">
        <v>7.9100000000000004E-2</v>
      </c>
      <c r="O33" s="5">
        <f t="shared" si="3"/>
        <v>7.91</v>
      </c>
      <c r="P33" s="3">
        <v>9.7788805707108573E-2</v>
      </c>
      <c r="Q33" s="12">
        <f t="shared" si="4"/>
        <v>-6.3269985775248797E-2</v>
      </c>
      <c r="R33" s="4">
        <v>0.1837</v>
      </c>
      <c r="S33" s="4">
        <v>0.1837</v>
      </c>
      <c r="T33">
        <v>44</v>
      </c>
      <c r="U33">
        <v>90.31</v>
      </c>
      <c r="V33">
        <v>3.14</v>
      </c>
      <c r="W33">
        <v>5.13</v>
      </c>
      <c r="X33" s="5">
        <f t="shared" si="7"/>
        <v>17.604288499025341</v>
      </c>
      <c r="Y33">
        <v>43.144520192229088</v>
      </c>
      <c r="Z33" s="11">
        <f t="shared" si="8"/>
        <v>209.3197458162162</v>
      </c>
      <c r="AA33" s="11">
        <f t="shared" si="9"/>
        <v>7.2778651518427511</v>
      </c>
      <c r="AB33" s="11">
        <f t="shared" si="10"/>
        <v>11.890270136609336</v>
      </c>
      <c r="AC33" s="13">
        <f t="shared" si="12"/>
        <v>-0.12523266498969632</v>
      </c>
      <c r="AD33" s="3">
        <v>-0.11060145594467521</v>
      </c>
      <c r="AE33" s="14">
        <v>-0.16698647963197411</v>
      </c>
      <c r="AF33" s="10">
        <v>9.3316823727352866E-2</v>
      </c>
      <c r="AG33">
        <v>7.5999999999999998E-2</v>
      </c>
      <c r="AH33" s="17">
        <f t="shared" si="11"/>
        <v>137.01755304602887</v>
      </c>
      <c r="AI33" s="17">
        <f t="shared" si="6"/>
        <v>137.04297003777288</v>
      </c>
      <c r="AJ33" s="3">
        <v>338.15181501892511</v>
      </c>
      <c r="AK33" s="2">
        <v>37.799999999999997</v>
      </c>
      <c r="AL33" s="5">
        <v>67.027470412770683</v>
      </c>
      <c r="AM33" s="16">
        <f t="shared" si="5"/>
        <v>155.35569781314484</v>
      </c>
      <c r="AN33" s="15">
        <f t="shared" si="13"/>
        <v>-1.4631209045021104E-2</v>
      </c>
      <c r="AO33" s="15">
        <f t="shared" si="13"/>
        <v>5.6385023687298891E-2</v>
      </c>
      <c r="AP33" s="2"/>
      <c r="AQ33" s="2"/>
      <c r="AR33" s="2"/>
      <c r="AS33" s="2"/>
    </row>
    <row r="34" spans="1:45" x14ac:dyDescent="0.25">
      <c r="A34">
        <v>1971</v>
      </c>
      <c r="B34" s="2">
        <v>4.88</v>
      </c>
      <c r="C34" s="2">
        <v>4.67</v>
      </c>
      <c r="D34" s="6">
        <f t="shared" si="14"/>
        <v>0.95696721311475408</v>
      </c>
      <c r="E34" s="2">
        <v>5</v>
      </c>
      <c r="F34" s="5">
        <f t="shared" si="16"/>
        <v>1.0245901639344261</v>
      </c>
      <c r="G34">
        <v>4.3499999999999996</v>
      </c>
      <c r="H34" s="8">
        <f t="shared" ref="H34:H74" si="17">+G34/E34</f>
        <v>0.86999999999999988</v>
      </c>
      <c r="I34" s="2">
        <v>5.7</v>
      </c>
      <c r="J34" s="2">
        <v>7.39</v>
      </c>
      <c r="K34" s="6">
        <f t="shared" si="0"/>
        <v>1.168032786885246</v>
      </c>
      <c r="L34" s="6">
        <f t="shared" si="1"/>
        <v>1.514344262295082</v>
      </c>
      <c r="M34" s="6">
        <f t="shared" si="2"/>
        <v>0.77131258457374841</v>
      </c>
      <c r="N34" s="3">
        <v>5.7300000000000004E-2</v>
      </c>
      <c r="O34" s="5">
        <f t="shared" si="3"/>
        <v>5.73</v>
      </c>
      <c r="P34" s="3">
        <v>0.10347739383254609</v>
      </c>
      <c r="Q34" s="12">
        <f t="shared" si="4"/>
        <v>0.15474577114427854</v>
      </c>
      <c r="R34" s="4">
        <v>0.1101</v>
      </c>
      <c r="S34" s="4">
        <v>0.1101</v>
      </c>
      <c r="T34">
        <v>42</v>
      </c>
      <c r="U34">
        <v>93.49</v>
      </c>
      <c r="V34">
        <v>3.07</v>
      </c>
      <c r="W34">
        <v>5.7</v>
      </c>
      <c r="X34" s="5">
        <f t="shared" si="7"/>
        <v>16.40175438596491</v>
      </c>
      <c r="Y34">
        <v>45.084982313896873</v>
      </c>
      <c r="Z34" s="11">
        <f t="shared" si="8"/>
        <v>207.36394959432621</v>
      </c>
      <c r="AA34" s="11">
        <f t="shared" si="9"/>
        <v>6.8093627687943252</v>
      </c>
      <c r="AB34" s="11">
        <f t="shared" si="10"/>
        <v>12.642790808510636</v>
      </c>
      <c r="AC34" s="13">
        <f t="shared" si="12"/>
        <v>2.318733250882981E-2</v>
      </c>
      <c r="AD34" s="3">
        <v>0.13102393909408358</v>
      </c>
      <c r="AE34" s="14">
        <v>0.1405523559130199</v>
      </c>
      <c r="AF34" s="10">
        <v>9.5633540573712553E-2</v>
      </c>
      <c r="AG34">
        <v>7.5999999999999998E-2</v>
      </c>
      <c r="AH34" s="17">
        <f t="shared" si="11"/>
        <v>148.16076980235778</v>
      </c>
      <c r="AI34" s="17">
        <f t="shared" si="6"/>
        <v>148.18951702848</v>
      </c>
      <c r="AJ34" s="3">
        <v>340.88143551771185</v>
      </c>
      <c r="AK34" s="2">
        <v>39.799999999999997</v>
      </c>
      <c r="AL34" s="5">
        <v>71.143582242291188</v>
      </c>
      <c r="AM34" s="16">
        <f t="shared" si="5"/>
        <v>157.79884695743149</v>
      </c>
      <c r="AN34" s="15">
        <f t="shared" si="13"/>
        <v>-0.10783660658525376</v>
      </c>
      <c r="AO34" s="15">
        <f t="shared" si="13"/>
        <v>-9.5284168189363194E-3</v>
      </c>
      <c r="AP34" s="2"/>
      <c r="AQ34" s="2"/>
      <c r="AR34" s="2"/>
      <c r="AS34" s="2"/>
    </row>
    <row r="35" spans="1:45" x14ac:dyDescent="0.25">
      <c r="A35">
        <v>1972</v>
      </c>
      <c r="B35" s="2">
        <v>4.5</v>
      </c>
      <c r="C35" s="2">
        <v>4.4400000000000004</v>
      </c>
      <c r="D35" s="6">
        <f t="shared" si="14"/>
        <v>0.9866666666666668</v>
      </c>
      <c r="E35" s="2">
        <v>4.66</v>
      </c>
      <c r="F35" s="5">
        <f t="shared" si="16"/>
        <v>1.0355555555555556</v>
      </c>
      <c r="G35">
        <v>4.07</v>
      </c>
      <c r="H35" s="8">
        <f t="shared" si="17"/>
        <v>0.87339055793991416</v>
      </c>
      <c r="I35" s="2">
        <v>5.27</v>
      </c>
      <c r="J35" s="2">
        <v>7.21</v>
      </c>
      <c r="K35" s="6">
        <f t="shared" si="0"/>
        <v>1.171111111111111</v>
      </c>
      <c r="L35" s="6">
        <f t="shared" si="1"/>
        <v>1.6022222222222222</v>
      </c>
      <c r="M35" s="6">
        <f t="shared" si="2"/>
        <v>0.73092926490984733</v>
      </c>
      <c r="N35" s="3">
        <v>5.2499999999999998E-2</v>
      </c>
      <c r="O35" s="5">
        <f t="shared" si="3"/>
        <v>5.25</v>
      </c>
      <c r="P35" s="3">
        <v>0.10785305245275689</v>
      </c>
      <c r="Q35" s="12">
        <f t="shared" si="4"/>
        <v>9.6457239512855175E-2</v>
      </c>
      <c r="R35" s="4">
        <v>7.2599999999999998E-2</v>
      </c>
      <c r="S35" s="4">
        <v>7.2599999999999998E-2</v>
      </c>
      <c r="T35">
        <v>38</v>
      </c>
      <c r="U35">
        <v>103.3</v>
      </c>
      <c r="V35">
        <v>3.15</v>
      </c>
      <c r="W35">
        <v>6.42</v>
      </c>
      <c r="X35" s="5">
        <f t="shared" si="7"/>
        <v>16.090342679127726</v>
      </c>
      <c r="Y35">
        <v>46.482926840299186</v>
      </c>
      <c r="Z35" s="11">
        <f t="shared" si="8"/>
        <v>222.23213343451141</v>
      </c>
      <c r="AA35" s="11">
        <f t="shared" si="9"/>
        <v>6.7766817068607059</v>
      </c>
      <c r="AB35" s="11">
        <f t="shared" si="10"/>
        <v>13.811522716839916</v>
      </c>
      <c r="AC35" s="13">
        <f t="shared" si="12"/>
        <v>0.10438104400205801</v>
      </c>
      <c r="AD35" s="3">
        <v>0.16809635773610299</v>
      </c>
      <c r="AE35" s="14">
        <v>0.16237559238421603</v>
      </c>
      <c r="AF35" s="10">
        <v>9.8414551200063552E-2</v>
      </c>
      <c r="AG35">
        <v>7.5999999999999998E-2</v>
      </c>
      <c r="AH35" s="17">
        <f t="shared" si="11"/>
        <v>166.28937385865061</v>
      </c>
      <c r="AI35" s="17">
        <f t="shared" si="6"/>
        <v>166.32295338877901</v>
      </c>
      <c r="AJ35" s="3">
        <v>344.81932020000403</v>
      </c>
      <c r="AK35" s="2">
        <v>41.1</v>
      </c>
      <c r="AL35" s="5">
        <v>74.316067436917493</v>
      </c>
      <c r="AM35" s="16">
        <f t="shared" si="5"/>
        <v>159.87820150018584</v>
      </c>
      <c r="AN35" s="15">
        <f t="shared" si="13"/>
        <v>-6.3715313734044973E-2</v>
      </c>
      <c r="AO35" s="15">
        <f t="shared" si="13"/>
        <v>5.7207653518869528E-3</v>
      </c>
      <c r="AP35" s="2"/>
      <c r="AQ35" s="2"/>
      <c r="AR35" s="2"/>
      <c r="AS35" s="2"/>
    </row>
    <row r="36" spans="1:45" x14ac:dyDescent="0.25">
      <c r="A36">
        <v>1973</v>
      </c>
      <c r="B36" s="2">
        <v>6.45</v>
      </c>
      <c r="C36" s="2">
        <v>8.74</v>
      </c>
      <c r="D36" s="6">
        <f t="shared" si="14"/>
        <v>1.3550387596899225</v>
      </c>
      <c r="E36" s="2">
        <v>9.3000000000000007</v>
      </c>
      <c r="F36" s="5">
        <f t="shared" si="16"/>
        <v>1.4418604651162792</v>
      </c>
      <c r="G36">
        <v>7.04</v>
      </c>
      <c r="H36" s="8">
        <f t="shared" si="17"/>
        <v>0.75698924731182793</v>
      </c>
      <c r="I36" s="2">
        <v>5.18</v>
      </c>
      <c r="J36" s="2">
        <v>7.44</v>
      </c>
      <c r="K36" s="6">
        <f t="shared" si="0"/>
        <v>0.80310077519379841</v>
      </c>
      <c r="L36" s="6">
        <f t="shared" si="1"/>
        <v>1.1534883720930234</v>
      </c>
      <c r="M36" s="6">
        <f t="shared" si="2"/>
        <v>0.69623655913978488</v>
      </c>
      <c r="N36" s="3">
        <v>8.0299999999999996E-2</v>
      </c>
      <c r="O36" s="5">
        <f t="shared" si="3"/>
        <v>8.0299999999999994</v>
      </c>
      <c r="P36" s="3">
        <v>0.10674935796748831</v>
      </c>
      <c r="Q36" s="12">
        <f t="shared" si="4"/>
        <v>4.2499861303744745E-2</v>
      </c>
      <c r="R36" s="4">
        <v>1.1399999999999999E-2</v>
      </c>
      <c r="S36" s="4">
        <v>1.1399999999999999E-2</v>
      </c>
      <c r="T36">
        <v>36</v>
      </c>
      <c r="U36">
        <v>118.42</v>
      </c>
      <c r="V36">
        <v>3.38</v>
      </c>
      <c r="W36">
        <v>8.16</v>
      </c>
      <c r="X36" s="5">
        <f t="shared" si="7"/>
        <v>14.512254901960784</v>
      </c>
      <c r="Y36">
        <v>48.383024975840101</v>
      </c>
      <c r="Z36" s="11">
        <f t="shared" si="8"/>
        <v>244.75526294425086</v>
      </c>
      <c r="AA36" s="11">
        <f t="shared" si="9"/>
        <v>6.9859212020905916</v>
      </c>
      <c r="AB36" s="11">
        <f t="shared" si="10"/>
        <v>16.865419233449476</v>
      </c>
      <c r="AC36" s="13">
        <f t="shared" si="12"/>
        <v>0.13278480594043313</v>
      </c>
      <c r="AD36" s="3">
        <v>0.10700337043676085</v>
      </c>
      <c r="AE36" s="14">
        <v>8.2791734696292973E-2</v>
      </c>
      <c r="AF36" s="10">
        <v>9.8506632073837239E-2</v>
      </c>
      <c r="AG36">
        <v>7.5999999999999998E-2</v>
      </c>
      <c r="AH36" s="17">
        <f t="shared" si="11"/>
        <v>177.09697612725421</v>
      </c>
      <c r="AI36" s="17">
        <f t="shared" si="6"/>
        <v>177.13414878028402</v>
      </c>
      <c r="AJ36" s="3">
        <v>349.1989087710528</v>
      </c>
      <c r="AK36" s="2">
        <v>42.6</v>
      </c>
      <c r="AL36" s="5">
        <v>78.006678099878613</v>
      </c>
      <c r="AM36" s="16">
        <f t="shared" si="5"/>
        <v>161.22736876999934</v>
      </c>
      <c r="AN36" s="15">
        <f t="shared" si="13"/>
        <v>2.5781435503672276E-2</v>
      </c>
      <c r="AO36" s="15">
        <f t="shared" si="13"/>
        <v>2.4211635740467877E-2</v>
      </c>
      <c r="AP36" s="2"/>
      <c r="AQ36" s="2"/>
      <c r="AR36" s="2"/>
      <c r="AS36" s="2"/>
    </row>
    <row r="37" spans="1:45" x14ac:dyDescent="0.25">
      <c r="A37">
        <v>1974</v>
      </c>
      <c r="B37" s="2">
        <v>7.83</v>
      </c>
      <c r="C37" s="2">
        <v>10.51</v>
      </c>
      <c r="D37" s="6">
        <f t="shared" si="14"/>
        <v>1.3422733077905491</v>
      </c>
      <c r="E37" s="2">
        <v>10.29</v>
      </c>
      <c r="F37" s="5">
        <f t="shared" si="16"/>
        <v>1.314176245210728</v>
      </c>
      <c r="G37">
        <v>7.89</v>
      </c>
      <c r="H37" s="8">
        <f t="shared" si="17"/>
        <v>0.76676384839650147</v>
      </c>
      <c r="I37" s="2">
        <v>6.09</v>
      </c>
      <c r="J37" s="2">
        <v>8.57</v>
      </c>
      <c r="K37" s="6">
        <f t="shared" si="0"/>
        <v>0.77777777777777779</v>
      </c>
      <c r="L37" s="6">
        <f t="shared" si="1"/>
        <v>1.0945083014048531</v>
      </c>
      <c r="M37" s="6">
        <f t="shared" si="2"/>
        <v>0.71061843640606759</v>
      </c>
      <c r="N37" s="3">
        <v>0.1081</v>
      </c>
      <c r="O37" s="5">
        <f t="shared" si="3"/>
        <v>10.81</v>
      </c>
      <c r="P37" s="3">
        <v>8.3365897046455903E-2</v>
      </c>
      <c r="Q37" s="12">
        <f t="shared" si="4"/>
        <v>-6.6181720430107505E-2</v>
      </c>
      <c r="R37" s="4">
        <v>-3.0600000000000002E-2</v>
      </c>
      <c r="S37" s="4">
        <v>-3.0600000000000002E-2</v>
      </c>
      <c r="T37">
        <v>38</v>
      </c>
      <c r="U37">
        <v>96.11</v>
      </c>
      <c r="V37">
        <v>3.6</v>
      </c>
      <c r="W37">
        <v>8.89</v>
      </c>
      <c r="X37" s="5">
        <f t="shared" si="7"/>
        <v>10.811023622047243</v>
      </c>
      <c r="Y37">
        <v>53.220998948739229</v>
      </c>
      <c r="Z37" s="11">
        <f t="shared" si="8"/>
        <v>180.5866141155488</v>
      </c>
      <c r="AA37" s="11">
        <f t="shared" si="9"/>
        <v>6.7642473292682936</v>
      </c>
      <c r="AB37" s="11">
        <f t="shared" si="10"/>
        <v>16.703932988109759</v>
      </c>
      <c r="AC37" s="13">
        <f t="shared" si="12"/>
        <v>-0.23453796583940692</v>
      </c>
      <c r="AD37" s="3">
        <v>-7.6671436144077884E-2</v>
      </c>
      <c r="AE37" s="14">
        <v>-0.1398393243311935</v>
      </c>
      <c r="AF37" s="10">
        <v>8.4508135966831432E-2</v>
      </c>
      <c r="AG37">
        <v>7.5999999999999998E-2</v>
      </c>
      <c r="AH37" s="17">
        <f t="shared" si="11"/>
        <v>156.75444930153586</v>
      </c>
      <c r="AI37" s="17">
        <f t="shared" si="6"/>
        <v>156.78877187387258</v>
      </c>
      <c r="AJ37" s="3">
        <v>354.21077976180607</v>
      </c>
      <c r="AK37" s="2">
        <v>46.6</v>
      </c>
      <c r="AL37" s="5">
        <v>86.555964011012918</v>
      </c>
      <c r="AM37" s="16">
        <f t="shared" si="5"/>
        <v>162.63498566492683</v>
      </c>
      <c r="AN37" s="15">
        <f t="shared" si="13"/>
        <v>-0.15786652969532905</v>
      </c>
      <c r="AO37" s="15">
        <f t="shared" si="13"/>
        <v>6.316788818711562E-2</v>
      </c>
      <c r="AP37" s="2"/>
      <c r="AQ37" s="2"/>
      <c r="AR37" s="2"/>
      <c r="AS37" s="2"/>
    </row>
    <row r="38" spans="1:45" x14ac:dyDescent="0.25">
      <c r="A38">
        <v>1975</v>
      </c>
      <c r="B38" s="2">
        <v>6.25</v>
      </c>
      <c r="C38" s="2">
        <v>5.82</v>
      </c>
      <c r="D38" s="6">
        <f t="shared" si="14"/>
        <v>0.93120000000000003</v>
      </c>
      <c r="E38" s="2">
        <v>6.44</v>
      </c>
      <c r="F38" s="5">
        <f t="shared" si="16"/>
        <v>1.0304</v>
      </c>
      <c r="G38">
        <v>5.84</v>
      </c>
      <c r="H38" s="8">
        <f t="shared" si="17"/>
        <v>0.9068322981366459</v>
      </c>
      <c r="I38" s="2">
        <v>6.89</v>
      </c>
      <c r="J38" s="2">
        <v>8.83</v>
      </c>
      <c r="K38" s="6">
        <f t="shared" si="0"/>
        <v>1.1024</v>
      </c>
      <c r="L38" s="6">
        <f t="shared" si="1"/>
        <v>1.4128000000000001</v>
      </c>
      <c r="M38" s="6">
        <f t="shared" si="2"/>
        <v>0.7802944507361268</v>
      </c>
      <c r="N38" s="3">
        <v>7.8600000000000003E-2</v>
      </c>
      <c r="O38" s="5">
        <f t="shared" si="3"/>
        <v>7.86</v>
      </c>
      <c r="P38" s="3">
        <v>8.3004818299227151E-2</v>
      </c>
      <c r="Q38" s="12">
        <f t="shared" si="4"/>
        <v>5.7961610268378094E-2</v>
      </c>
      <c r="R38" s="4">
        <v>0.1464</v>
      </c>
      <c r="S38" s="4">
        <v>0.1464</v>
      </c>
      <c r="T38">
        <v>43</v>
      </c>
      <c r="U38">
        <v>72.56</v>
      </c>
      <c r="V38">
        <v>3.68</v>
      </c>
      <c r="W38">
        <v>7.96</v>
      </c>
      <c r="X38" s="5">
        <f t="shared" si="7"/>
        <v>9.1155778894472359</v>
      </c>
      <c r="Y38">
        <v>60.488518638164734</v>
      </c>
      <c r="Z38" s="11">
        <f t="shared" si="8"/>
        <v>119.9566490197015</v>
      </c>
      <c r="AA38" s="11">
        <f t="shared" si="9"/>
        <v>6.083799178507463</v>
      </c>
      <c r="AB38" s="11">
        <f t="shared" si="10"/>
        <v>13.159522136119405</v>
      </c>
      <c r="AC38" s="13">
        <f t="shared" si="12"/>
        <v>-0.30204988439751318</v>
      </c>
      <c r="AD38" s="3">
        <v>5.1206658271717657E-2</v>
      </c>
      <c r="AE38" s="14">
        <v>8.3724388101510769E-2</v>
      </c>
      <c r="AF38" s="10">
        <v>8.0262903524936688E-2</v>
      </c>
      <c r="AG38">
        <v>7.5999999999999998E-2</v>
      </c>
      <c r="AH38" s="17">
        <f t="shared" si="11"/>
        <v>158.69752164098344</v>
      </c>
      <c r="AI38" s="17">
        <f t="shared" si="6"/>
        <v>158.7336017575528</v>
      </c>
      <c r="AJ38" s="3">
        <v>360.39246417517251</v>
      </c>
      <c r="AK38" s="2">
        <v>52.1</v>
      </c>
      <c r="AL38" s="5">
        <v>98.460657490962177</v>
      </c>
      <c r="AM38" s="16">
        <f t="shared" si="5"/>
        <v>162.7757791192447</v>
      </c>
      <c r="AN38" s="15">
        <f t="shared" si="13"/>
        <v>-0.35325654266923084</v>
      </c>
      <c r="AO38" s="15">
        <f t="shared" si="13"/>
        <v>-3.2517729829793111E-2</v>
      </c>
      <c r="AP38" s="2"/>
      <c r="AQ38" s="2"/>
      <c r="AR38" s="2"/>
      <c r="AS38" s="2"/>
    </row>
    <row r="39" spans="1:45" x14ac:dyDescent="0.25">
      <c r="A39">
        <v>1976</v>
      </c>
      <c r="B39" s="2">
        <v>5.5</v>
      </c>
      <c r="C39" s="2">
        <v>5.05</v>
      </c>
      <c r="D39" s="6">
        <f t="shared" si="14"/>
        <v>0.9181818181818181</v>
      </c>
      <c r="E39" s="2">
        <v>5.27</v>
      </c>
      <c r="F39" s="5">
        <f t="shared" si="16"/>
        <v>0.95818181818181813</v>
      </c>
      <c r="G39">
        <v>4.99</v>
      </c>
      <c r="H39" s="8">
        <f t="shared" si="17"/>
        <v>0.94686907020872879</v>
      </c>
      <c r="I39" s="2">
        <v>6.49</v>
      </c>
      <c r="J39" s="2">
        <v>8.43</v>
      </c>
      <c r="K39" s="6">
        <f t="shared" si="0"/>
        <v>1.18</v>
      </c>
      <c r="L39" s="6">
        <f t="shared" si="1"/>
        <v>1.5327272727272727</v>
      </c>
      <c r="M39" s="6">
        <f t="shared" si="2"/>
        <v>0.76986951364175571</v>
      </c>
      <c r="N39" s="3">
        <v>6.8400000000000002E-2</v>
      </c>
      <c r="O39" s="5">
        <f t="shared" si="3"/>
        <v>6.84</v>
      </c>
      <c r="P39" s="3">
        <v>9.1186632599616291E-2</v>
      </c>
      <c r="Q39" s="12">
        <f t="shared" si="4"/>
        <v>0.12960011325028317</v>
      </c>
      <c r="R39" s="4">
        <v>0.1865</v>
      </c>
      <c r="S39" s="4">
        <v>0.1865</v>
      </c>
      <c r="T39">
        <v>35</v>
      </c>
      <c r="U39">
        <v>96.86</v>
      </c>
      <c r="V39">
        <v>4.05</v>
      </c>
      <c r="W39">
        <v>9.91</v>
      </c>
      <c r="X39" s="5">
        <f t="shared" si="7"/>
        <v>9.7739656912209885</v>
      </c>
      <c r="Y39">
        <v>63.922433301801696</v>
      </c>
      <c r="Z39" s="11">
        <f t="shared" si="8"/>
        <v>151.52739812436073</v>
      </c>
      <c r="AA39" s="11">
        <f t="shared" si="9"/>
        <v>6.3358038654104991</v>
      </c>
      <c r="AB39" s="11">
        <f t="shared" si="10"/>
        <v>15.503164520053838</v>
      </c>
      <c r="AC39" s="13">
        <f t="shared" si="12"/>
        <v>0.31600209975725491</v>
      </c>
      <c r="AD39" s="3">
        <v>0.1788507473506982</v>
      </c>
      <c r="AE39" s="14">
        <v>0.17299058176008217</v>
      </c>
      <c r="AF39" s="10">
        <v>8.2822473401140337E-2</v>
      </c>
      <c r="AG39">
        <v>7.5999999999999998E-2</v>
      </c>
      <c r="AH39" s="17">
        <f t="shared" si="11"/>
        <v>180.74488812376643</v>
      </c>
      <c r="AI39" s="17">
        <f t="shared" si="6"/>
        <v>180.78742119614873</v>
      </c>
      <c r="AJ39" s="3">
        <v>367.69194473594735</v>
      </c>
      <c r="AK39" s="2">
        <v>55.6</v>
      </c>
      <c r="AL39" s="5">
        <v>107.2033147735641</v>
      </c>
      <c r="AM39" s="16">
        <f t="shared" si="5"/>
        <v>167.7084385499175</v>
      </c>
      <c r="AN39" s="15">
        <f t="shared" si="13"/>
        <v>0.13715135240655671</v>
      </c>
      <c r="AO39" s="15">
        <f t="shared" si="13"/>
        <v>5.8601655906160288E-3</v>
      </c>
      <c r="AP39" s="2"/>
      <c r="AQ39" s="2"/>
      <c r="AR39" s="2"/>
      <c r="AS39" s="2"/>
    </row>
    <row r="40" spans="1:45" x14ac:dyDescent="0.25">
      <c r="A40">
        <v>1977</v>
      </c>
      <c r="B40" s="2">
        <v>5.46</v>
      </c>
      <c r="C40" s="2">
        <v>5.54</v>
      </c>
      <c r="D40" s="6">
        <f t="shared" si="14"/>
        <v>1.0146520146520146</v>
      </c>
      <c r="E40" s="2">
        <v>5.63</v>
      </c>
      <c r="F40" s="5">
        <f t="shared" si="16"/>
        <v>1.031135531135531</v>
      </c>
      <c r="G40">
        <v>5.27</v>
      </c>
      <c r="H40" s="8">
        <f t="shared" si="17"/>
        <v>0.93605683836589693</v>
      </c>
      <c r="I40" s="2">
        <v>5.56</v>
      </c>
      <c r="J40" s="2">
        <v>8.02</v>
      </c>
      <c r="K40" s="6">
        <f t="shared" si="0"/>
        <v>1.0183150183150182</v>
      </c>
      <c r="L40" s="6">
        <f t="shared" si="1"/>
        <v>1.4688644688644688</v>
      </c>
      <c r="M40" s="6">
        <f t="shared" si="2"/>
        <v>0.69326683291770574</v>
      </c>
      <c r="N40" s="3">
        <v>6.83E-2</v>
      </c>
      <c r="O40" s="5">
        <f t="shared" si="3"/>
        <v>6.83</v>
      </c>
      <c r="P40" s="3">
        <v>9.8273014287813154E-2</v>
      </c>
      <c r="Q40" s="12">
        <f t="shared" si="4"/>
        <v>0.12883582443653618</v>
      </c>
      <c r="R40" s="4">
        <v>1.7100000000000001E-2</v>
      </c>
      <c r="S40" s="4">
        <v>1.7100000000000001E-2</v>
      </c>
      <c r="T40">
        <v>28</v>
      </c>
      <c r="U40">
        <v>103.81</v>
      </c>
      <c r="V40">
        <v>4.67</v>
      </c>
      <c r="W40">
        <v>10.89</v>
      </c>
      <c r="X40" s="5">
        <f t="shared" si="7"/>
        <v>9.5325987144168955</v>
      </c>
      <c r="Y40">
        <v>68.109559363247641</v>
      </c>
      <c r="Z40" s="11">
        <f t="shared" si="8"/>
        <v>152.41619674317926</v>
      </c>
      <c r="AA40" s="11">
        <f t="shared" si="9"/>
        <v>6.8565999305524246</v>
      </c>
      <c r="AB40" s="11">
        <f t="shared" si="10"/>
        <v>15.988945020067645</v>
      </c>
      <c r="AC40" s="13">
        <f t="shared" si="12"/>
        <v>5.1115498881688648E-2</v>
      </c>
      <c r="AD40" s="3">
        <v>0.134696972032776</v>
      </c>
      <c r="AE40" s="14">
        <v>0.15560351208530396</v>
      </c>
      <c r="AF40" s="10">
        <v>8.6158852860037966E-2</v>
      </c>
      <c r="AG40">
        <v>7.5999999999999998E-2</v>
      </c>
      <c r="AH40" s="17">
        <f t="shared" si="11"/>
        <v>198.23407733388819</v>
      </c>
      <c r="AI40" s="17">
        <f t="shared" si="6"/>
        <v>198.28233948233165</v>
      </c>
      <c r="AJ40" s="3">
        <v>374.72145576823794</v>
      </c>
      <c r="AK40" s="2">
        <v>58.5</v>
      </c>
      <c r="AL40" s="5">
        <v>114.95125937305673</v>
      </c>
      <c r="AM40" s="16">
        <f t="shared" si="5"/>
        <v>168.77404647413587</v>
      </c>
      <c r="AN40" s="15">
        <f t="shared" si="13"/>
        <v>-8.3581473151087354E-2</v>
      </c>
      <c r="AO40" s="15">
        <f t="shared" si="13"/>
        <v>-2.0906540052527955E-2</v>
      </c>
      <c r="AP40" s="2"/>
      <c r="AQ40" s="2"/>
      <c r="AR40" s="2"/>
      <c r="AS40" s="2"/>
    </row>
    <row r="41" spans="1:45" x14ac:dyDescent="0.25">
      <c r="A41">
        <v>1978</v>
      </c>
      <c r="B41" s="2">
        <v>7.46</v>
      </c>
      <c r="C41" s="2">
        <v>7.94</v>
      </c>
      <c r="D41" s="6">
        <f t="shared" si="14"/>
        <v>1.064343163538874</v>
      </c>
      <c r="E41" s="2">
        <v>8.2100000000000009</v>
      </c>
      <c r="F41" s="5">
        <f t="shared" si="16"/>
        <v>1.1005361930294908</v>
      </c>
      <c r="G41">
        <v>7.22</v>
      </c>
      <c r="H41" s="8">
        <f t="shared" si="17"/>
        <v>0.87941534713763692</v>
      </c>
      <c r="I41" s="2">
        <v>5.9</v>
      </c>
      <c r="J41" s="2">
        <v>8.73</v>
      </c>
      <c r="K41" s="6">
        <f t="shared" si="0"/>
        <v>0.7908847184986596</v>
      </c>
      <c r="L41" s="6">
        <f t="shared" si="1"/>
        <v>1.1702412868632708</v>
      </c>
      <c r="M41" s="6">
        <f t="shared" si="2"/>
        <v>0.67583046964490268</v>
      </c>
      <c r="N41" s="3">
        <v>9.06E-2</v>
      </c>
      <c r="O41" s="5">
        <f t="shared" si="3"/>
        <v>9.06</v>
      </c>
      <c r="P41" s="3">
        <v>9.9431624537660399E-2</v>
      </c>
      <c r="Q41" s="12">
        <f t="shared" si="4"/>
        <v>-1.2286783042395055E-3</v>
      </c>
      <c r="R41" s="4">
        <v>-7.000000000000001E-4</v>
      </c>
      <c r="S41" s="4">
        <v>-7.000000000000001E-4</v>
      </c>
      <c r="T41">
        <v>24</v>
      </c>
      <c r="U41">
        <v>90.25</v>
      </c>
      <c r="V41">
        <v>5.07</v>
      </c>
      <c r="W41">
        <v>12.33</v>
      </c>
      <c r="X41" s="5">
        <f t="shared" si="7"/>
        <v>7.3195458231954582</v>
      </c>
      <c r="Y41">
        <v>72.286033143126318</v>
      </c>
      <c r="Z41" s="11">
        <f t="shared" si="8"/>
        <v>124.85122792850596</v>
      </c>
      <c r="AA41" s="11">
        <f t="shared" si="9"/>
        <v>7.0138030537121905</v>
      </c>
      <c r="AB41" s="11">
        <f t="shared" si="10"/>
        <v>17.057237012282311</v>
      </c>
      <c r="AC41" s="13">
        <f t="shared" si="12"/>
        <v>-0.13483583897313578</v>
      </c>
      <c r="AD41" s="3">
        <v>0.13130832605576967</v>
      </c>
      <c r="AE41" s="14">
        <v>0.11349252181021038</v>
      </c>
      <c r="AF41" s="10">
        <v>8.7859246888513418E-2</v>
      </c>
      <c r="AG41">
        <v>7.5999999999999998E-2</v>
      </c>
      <c r="AH41" s="17">
        <f t="shared" si="11"/>
        <v>217.25005914209885</v>
      </c>
      <c r="AI41" s="17">
        <f t="shared" si="6"/>
        <v>217.30465851246629</v>
      </c>
      <c r="AJ41" s="3">
        <v>380.86343545583196</v>
      </c>
      <c r="AK41" s="2">
        <v>62.5</v>
      </c>
      <c r="AL41" s="5">
        <v>124.82414638694023</v>
      </c>
      <c r="AM41" s="16">
        <f t="shared" si="5"/>
        <v>172.6808637289426</v>
      </c>
      <c r="AN41" s="15">
        <f t="shared" si="13"/>
        <v>-0.26614416502890548</v>
      </c>
      <c r="AO41" s="15">
        <f t="shared" si="13"/>
        <v>1.7815804245559286E-2</v>
      </c>
      <c r="AP41" s="2"/>
      <c r="AQ41" s="2"/>
      <c r="AR41" s="2"/>
      <c r="AS41" s="2"/>
    </row>
    <row r="42" spans="1:45" x14ac:dyDescent="0.25">
      <c r="A42">
        <v>1979</v>
      </c>
      <c r="B42" s="2">
        <v>10.29</v>
      </c>
      <c r="C42" s="2">
        <v>11.2</v>
      </c>
      <c r="D42" s="6">
        <f t="shared" si="14"/>
        <v>1.08843537414966</v>
      </c>
      <c r="E42" s="2">
        <v>11.2</v>
      </c>
      <c r="F42" s="5">
        <f t="shared" si="16"/>
        <v>1.08843537414966</v>
      </c>
      <c r="G42">
        <v>10.050000000000001</v>
      </c>
      <c r="H42" s="8">
        <f t="shared" si="17"/>
        <v>0.89732142857142871</v>
      </c>
      <c r="I42" s="2">
        <v>6.39</v>
      </c>
      <c r="J42" s="2">
        <v>9.6300000000000008</v>
      </c>
      <c r="K42" s="6">
        <f t="shared" si="0"/>
        <v>0.62099125364431484</v>
      </c>
      <c r="L42" s="6">
        <f t="shared" si="1"/>
        <v>0.93586005830903807</v>
      </c>
      <c r="M42" s="6">
        <f t="shared" si="2"/>
        <v>0.66355140186915884</v>
      </c>
      <c r="N42" s="3">
        <v>0.12670000000000001</v>
      </c>
      <c r="O42" s="5">
        <f t="shared" si="3"/>
        <v>12.67</v>
      </c>
      <c r="P42" s="3">
        <v>8.5116306257572868E-2</v>
      </c>
      <c r="Q42" s="12">
        <f t="shared" si="4"/>
        <v>-6.7927835051546648E-3</v>
      </c>
      <c r="R42" s="4">
        <v>-4.1799999999999997E-2</v>
      </c>
      <c r="S42" s="4">
        <v>-4.1799999999999997E-2</v>
      </c>
      <c r="T42">
        <v>28</v>
      </c>
      <c r="U42">
        <v>99.71</v>
      </c>
      <c r="V42">
        <v>5.65</v>
      </c>
      <c r="W42">
        <v>14.86</v>
      </c>
      <c r="X42" s="5">
        <f t="shared" si="7"/>
        <v>6.7099596231493939</v>
      </c>
      <c r="Y42">
        <v>77.994628559523065</v>
      </c>
      <c r="Z42" s="11">
        <f t="shared" si="8"/>
        <v>127.84213713371869</v>
      </c>
      <c r="AA42" s="11">
        <f t="shared" si="9"/>
        <v>7.244088605009634</v>
      </c>
      <c r="AB42" s="11">
        <f t="shared" si="10"/>
        <v>19.05259410096339</v>
      </c>
      <c r="AC42" s="13">
        <f t="shared" si="12"/>
        <v>8.1977550241502384E-2</v>
      </c>
      <c r="AD42" s="3">
        <v>1.1555534987356892E-3</v>
      </c>
      <c r="AE42" s="14">
        <v>-4.2733674296207551E-2</v>
      </c>
      <c r="AF42" s="10">
        <v>8.0104596994168886E-2</v>
      </c>
      <c r="AG42">
        <v>7.5999999999999998E-2</v>
      </c>
      <c r="AH42" s="17">
        <f t="shared" si="11"/>
        <v>210.25701460303142</v>
      </c>
      <c r="AI42" s="17">
        <f t="shared" si="6"/>
        <v>210.3116770658923</v>
      </c>
      <c r="AJ42" s="3">
        <v>387.52641360189688</v>
      </c>
      <c r="AK42" s="2">
        <v>68.3</v>
      </c>
      <c r="AL42" s="5">
        <v>138.79420057162852</v>
      </c>
      <c r="AM42" s="16">
        <f t="shared" si="5"/>
        <v>177.95353748714263</v>
      </c>
      <c r="AN42" s="15">
        <f t="shared" si="13"/>
        <v>8.0821996742766689E-2</v>
      </c>
      <c r="AO42" s="15">
        <f t="shared" si="13"/>
        <v>4.3889227794943239E-2</v>
      </c>
      <c r="AP42" s="2"/>
      <c r="AQ42" s="2"/>
      <c r="AR42" s="2"/>
      <c r="AS42" s="2"/>
    </row>
    <row r="43" spans="1:45" x14ac:dyDescent="0.25">
      <c r="A43">
        <v>1980</v>
      </c>
      <c r="B43" s="2">
        <v>11.77</v>
      </c>
      <c r="C43" s="2">
        <v>13.35</v>
      </c>
      <c r="D43" s="6">
        <f t="shared" si="14"/>
        <v>1.1342395921835173</v>
      </c>
      <c r="E43" s="2">
        <v>13.02</v>
      </c>
      <c r="F43" s="5">
        <f t="shared" si="16"/>
        <v>1.1062022090059473</v>
      </c>
      <c r="G43">
        <v>11.51</v>
      </c>
      <c r="H43" s="8">
        <f t="shared" si="17"/>
        <v>0.88402457757296471</v>
      </c>
      <c r="I43" s="2">
        <v>8.51</v>
      </c>
      <c r="J43" s="2">
        <v>11.94</v>
      </c>
      <c r="K43" s="6">
        <f t="shared" si="0"/>
        <v>0.72302463891248936</v>
      </c>
      <c r="L43" s="6">
        <f t="shared" si="1"/>
        <v>1.0144435004248089</v>
      </c>
      <c r="M43" s="6">
        <f t="shared" si="2"/>
        <v>0.71273031825795641</v>
      </c>
      <c r="N43" s="3">
        <v>0.15259999999999999</v>
      </c>
      <c r="O43" s="5">
        <f t="shared" si="3"/>
        <v>15.259999999999998</v>
      </c>
      <c r="P43" s="3">
        <v>6.3488215313211693E-2</v>
      </c>
      <c r="Q43" s="12">
        <f t="shared" si="4"/>
        <v>-0.12047538940809956</v>
      </c>
      <c r="R43" s="4">
        <v>-2.76E-2</v>
      </c>
      <c r="S43" s="4">
        <v>-2.76E-2</v>
      </c>
      <c r="T43">
        <v>42</v>
      </c>
      <c r="U43">
        <v>110.87</v>
      </c>
      <c r="V43">
        <v>6.16</v>
      </c>
      <c r="W43">
        <v>14.82</v>
      </c>
      <c r="X43" s="5">
        <f t="shared" si="7"/>
        <v>7.4811066126855605</v>
      </c>
      <c r="Y43">
        <v>84.572003141442806</v>
      </c>
      <c r="Z43" s="11">
        <f t="shared" si="8"/>
        <v>131.09539313450458</v>
      </c>
      <c r="AA43" s="11">
        <f t="shared" si="9"/>
        <v>7.2837342988053404</v>
      </c>
      <c r="AB43" s="11">
        <f t="shared" si="10"/>
        <v>17.52352959550246</v>
      </c>
      <c r="AC43" s="13">
        <f t="shared" si="12"/>
        <v>8.242188793018905E-2</v>
      </c>
      <c r="AD43" s="3">
        <v>-5.7693773752115082E-2</v>
      </c>
      <c r="AE43" s="14">
        <v>-0.103696642507401</v>
      </c>
      <c r="AF43" s="10">
        <v>6.7360883638409169E-2</v>
      </c>
      <c r="AG43">
        <v>7.5999999999999998E-2</v>
      </c>
      <c r="AH43" s="17">
        <f t="shared" si="11"/>
        <v>190.84275967392364</v>
      </c>
      <c r="AI43" s="17">
        <f t="shared" si="6"/>
        <v>190.89426845301949</v>
      </c>
      <c r="AJ43" s="3">
        <v>395.01930939231687</v>
      </c>
      <c r="AK43" s="2">
        <v>77.8</v>
      </c>
      <c r="AL43" s="5">
        <v>161.15627829429604</v>
      </c>
      <c r="AM43" s="16">
        <f t="shared" si="5"/>
        <v>190.55511553246473</v>
      </c>
      <c r="AN43" s="15">
        <f t="shared" si="13"/>
        <v>0.14011566168230413</v>
      </c>
      <c r="AO43" s="15">
        <f t="shared" si="13"/>
        <v>4.6002868755285919E-2</v>
      </c>
      <c r="AP43" s="2"/>
      <c r="AQ43" s="2"/>
      <c r="AR43" s="2"/>
      <c r="AS43" s="2"/>
    </row>
    <row r="44" spans="1:45" x14ac:dyDescent="0.25">
      <c r="A44">
        <v>1981</v>
      </c>
      <c r="B44" s="2">
        <v>13.42</v>
      </c>
      <c r="C44" s="2">
        <v>16.39</v>
      </c>
      <c r="D44" s="6">
        <f t="shared" si="14"/>
        <v>1.2213114754098362</v>
      </c>
      <c r="E44" s="2">
        <v>15.93</v>
      </c>
      <c r="F44" s="5">
        <f t="shared" si="16"/>
        <v>1.1870342771982116</v>
      </c>
      <c r="G44">
        <v>14.03</v>
      </c>
      <c r="H44" s="8">
        <f t="shared" si="17"/>
        <v>0.88072818581293155</v>
      </c>
      <c r="I44" s="2">
        <v>11.23</v>
      </c>
      <c r="J44" s="2">
        <v>14.17</v>
      </c>
      <c r="K44" s="6">
        <f t="shared" si="0"/>
        <v>0.83681073025335329</v>
      </c>
      <c r="L44" s="6">
        <f t="shared" si="1"/>
        <v>1.0558867362146052</v>
      </c>
      <c r="M44" s="6">
        <f t="shared" si="2"/>
        <v>0.79251940719830627</v>
      </c>
      <c r="N44" s="3">
        <v>0.18870000000000001</v>
      </c>
      <c r="O44" s="5">
        <f t="shared" si="3"/>
        <v>18.87</v>
      </c>
      <c r="P44" s="3">
        <v>6.3871234673037819E-2</v>
      </c>
      <c r="Q44" s="12">
        <f t="shared" si="4"/>
        <v>-4.5067169179229538E-2</v>
      </c>
      <c r="R44" s="4">
        <v>-1.24E-2</v>
      </c>
      <c r="S44" s="4">
        <v>-1.24E-2</v>
      </c>
      <c r="T44">
        <v>61</v>
      </c>
      <c r="U44">
        <v>132.97</v>
      </c>
      <c r="V44">
        <v>6.63</v>
      </c>
      <c r="W44">
        <v>15.36</v>
      </c>
      <c r="X44" s="5">
        <f t="shared" si="7"/>
        <v>8.6569010416666661</v>
      </c>
      <c r="Y44">
        <v>92.6284286310064</v>
      </c>
      <c r="Z44" s="11">
        <f t="shared" si="8"/>
        <v>143.55204116621459</v>
      </c>
      <c r="AA44" s="11">
        <f t="shared" si="9"/>
        <v>7.1576297881627635</v>
      </c>
      <c r="AB44" s="11">
        <f t="shared" si="10"/>
        <v>16.582382133662151</v>
      </c>
      <c r="AC44" s="13">
        <f t="shared" si="12"/>
        <v>0.1496183607287285</v>
      </c>
      <c r="AD44" s="3">
        <v>0.11016305866131283</v>
      </c>
      <c r="AE44" s="14">
        <v>7.3592596106842795E-2</v>
      </c>
      <c r="AF44" s="10">
        <v>6.9632314572834308E-2</v>
      </c>
      <c r="AG44">
        <v>7.5999999999999998E-2</v>
      </c>
      <c r="AH44" s="17">
        <f t="shared" si="11"/>
        <v>204.70895201480619</v>
      </c>
      <c r="AI44" s="17">
        <f t="shared" si="6"/>
        <v>204.76613515855516</v>
      </c>
      <c r="AJ44" s="3">
        <v>403.44741939233222</v>
      </c>
      <c r="AK44" s="2">
        <v>87</v>
      </c>
      <c r="AL44" s="5">
        <v>184.05834025764503</v>
      </c>
      <c r="AM44" s="16">
        <f t="shared" si="5"/>
        <v>198.70610241145062</v>
      </c>
      <c r="AN44" s="15">
        <f t="shared" ref="AN44:AQ74" si="18">AC44-AD44</f>
        <v>3.9455302067415668E-2</v>
      </c>
      <c r="AO44" s="15">
        <f t="shared" si="18"/>
        <v>3.6570462554470037E-2</v>
      </c>
      <c r="AP44" s="2"/>
      <c r="AQ44" s="2"/>
      <c r="AR44" s="2"/>
      <c r="AS44" s="2"/>
    </row>
    <row r="45" spans="1:45" x14ac:dyDescent="0.25">
      <c r="A45">
        <v>1982</v>
      </c>
      <c r="B45" s="2">
        <v>11.01</v>
      </c>
      <c r="C45" s="2">
        <v>12.24</v>
      </c>
      <c r="D45" s="6">
        <f t="shared" si="14"/>
        <v>1.111716621253406</v>
      </c>
      <c r="E45" s="2">
        <v>12.27</v>
      </c>
      <c r="F45" s="5">
        <f t="shared" si="16"/>
        <v>1.1144414168937329</v>
      </c>
      <c r="G45">
        <v>10.69</v>
      </c>
      <c r="H45" s="8">
        <f t="shared" si="17"/>
        <v>0.87123064384678073</v>
      </c>
      <c r="I45" s="2">
        <v>11.57</v>
      </c>
      <c r="J45" s="2">
        <v>13.79</v>
      </c>
      <c r="K45" s="6">
        <f t="shared" si="0"/>
        <v>1.0508628519527703</v>
      </c>
      <c r="L45" s="6">
        <f t="shared" si="1"/>
        <v>1.2524977293369663</v>
      </c>
      <c r="M45" s="6">
        <f t="shared" si="2"/>
        <v>0.8390137781000726</v>
      </c>
      <c r="N45" s="3">
        <v>0.14849999999999999</v>
      </c>
      <c r="O45" s="5">
        <f t="shared" si="3"/>
        <v>14.85</v>
      </c>
      <c r="P45" s="3">
        <v>5.0270465530565807E-2</v>
      </c>
      <c r="Q45" s="12">
        <f t="shared" si="4"/>
        <v>0.16471721947776999</v>
      </c>
      <c r="R45" s="4">
        <v>0.42560000000000003</v>
      </c>
      <c r="S45" s="4">
        <v>0.42560000000000003</v>
      </c>
      <c r="T45">
        <v>88</v>
      </c>
      <c r="U45">
        <v>117.28</v>
      </c>
      <c r="V45">
        <v>6.87</v>
      </c>
      <c r="W45">
        <v>12.64</v>
      </c>
      <c r="X45" s="5">
        <f t="shared" si="7"/>
        <v>9.2784810126582276</v>
      </c>
      <c r="Y45">
        <v>97.674379882950078</v>
      </c>
      <c r="Z45" s="11">
        <f t="shared" si="8"/>
        <v>120.07242855346989</v>
      </c>
      <c r="AA45" s="11">
        <f t="shared" si="9"/>
        <v>7.0335742169367172</v>
      </c>
      <c r="AB45" s="11">
        <f t="shared" si="10"/>
        <v>12.940957511219811</v>
      </c>
      <c r="AC45" s="13">
        <f t="shared" si="12"/>
        <v>-0.11456499163788003</v>
      </c>
      <c r="AD45" s="3">
        <v>-3.3414013114430263E-2</v>
      </c>
      <c r="AE45" s="14">
        <v>-5.5817467480335579E-2</v>
      </c>
      <c r="AF45" s="10">
        <v>5.9876020520342882E-2</v>
      </c>
      <c r="AG45">
        <v>7.5999999999999998E-2</v>
      </c>
      <c r="AH45" s="17">
        <f t="shared" si="11"/>
        <v>190.83523019060544</v>
      </c>
      <c r="AI45" s="17">
        <f t="shared" si="6"/>
        <v>190.89050261603927</v>
      </c>
      <c r="AJ45" s="3">
        <v>412.5478908119606</v>
      </c>
      <c r="AK45" s="2">
        <v>94.3</v>
      </c>
      <c r="AL45" s="5">
        <v>204.0024441718295</v>
      </c>
      <c r="AM45" s="16">
        <f t="shared" si="5"/>
        <v>208.85972802315166</v>
      </c>
      <c r="AN45" s="15">
        <f t="shared" si="18"/>
        <v>-8.1150978523449768E-2</v>
      </c>
      <c r="AO45" s="15">
        <f t="shared" si="18"/>
        <v>2.2403454365905316E-2</v>
      </c>
      <c r="AP45" s="2"/>
      <c r="AQ45" s="2"/>
      <c r="AR45" s="2"/>
      <c r="AS45" s="2"/>
    </row>
    <row r="46" spans="1:45" x14ac:dyDescent="0.25">
      <c r="A46">
        <v>1983</v>
      </c>
      <c r="B46" s="2">
        <v>8.5</v>
      </c>
      <c r="C46" s="2">
        <v>9.09</v>
      </c>
      <c r="D46" s="6">
        <f t="shared" si="14"/>
        <v>1.0694117647058823</v>
      </c>
      <c r="E46" s="2">
        <v>9.07</v>
      </c>
      <c r="F46" s="5">
        <f t="shared" si="16"/>
        <v>1.0670588235294118</v>
      </c>
      <c r="G46">
        <v>8.6300000000000008</v>
      </c>
      <c r="H46" s="8">
        <f t="shared" si="17"/>
        <v>0.95148842337375972</v>
      </c>
      <c r="I46" s="2">
        <v>9.4700000000000006</v>
      </c>
      <c r="J46" s="2">
        <v>12.04</v>
      </c>
      <c r="K46" s="6">
        <f t="shared" si="0"/>
        <v>1.1141176470588237</v>
      </c>
      <c r="L46" s="6">
        <f t="shared" si="1"/>
        <v>1.4164705882352939</v>
      </c>
      <c r="M46" s="6">
        <f t="shared" si="2"/>
        <v>0.786544850498339</v>
      </c>
      <c r="N46" s="3">
        <v>0.1079</v>
      </c>
      <c r="O46" s="5">
        <f t="shared" si="3"/>
        <v>10.79</v>
      </c>
      <c r="P46" s="3">
        <v>6.1244822173319412E-2</v>
      </c>
      <c r="Q46" s="12">
        <f t="shared" si="4"/>
        <v>0.24730355329949238</v>
      </c>
      <c r="R46" s="4">
        <v>6.2600000000000003E-2</v>
      </c>
      <c r="S46" s="4">
        <v>6.2600000000000003E-2</v>
      </c>
      <c r="T46">
        <v>110</v>
      </c>
      <c r="U46">
        <v>144.27000000000001</v>
      </c>
      <c r="V46">
        <v>7.09</v>
      </c>
      <c r="W46">
        <v>14.03</v>
      </c>
      <c r="X46" s="5">
        <f t="shared" si="7"/>
        <v>10.28296507483963</v>
      </c>
      <c r="Y46">
        <v>96.603806487218066</v>
      </c>
      <c r="Z46" s="11">
        <f t="shared" si="8"/>
        <v>149.34194132307695</v>
      </c>
      <c r="AA46" s="11">
        <f t="shared" si="9"/>
        <v>7.339255312820514</v>
      </c>
      <c r="AB46" s="11">
        <f t="shared" si="10"/>
        <v>14.523237241025642</v>
      </c>
      <c r="AC46" s="13">
        <f t="shared" si="12"/>
        <v>0.30488904508269515</v>
      </c>
      <c r="AD46" s="3">
        <v>0.20666415066877158</v>
      </c>
      <c r="AE46" s="14">
        <v>0.20164695581012079</v>
      </c>
      <c r="AF46" s="10">
        <v>6.5276485109428808E-2</v>
      </c>
      <c r="AG46">
        <v>7.5999999999999998E-2</v>
      </c>
      <c r="AH46" s="17">
        <f t="shared" si="11"/>
        <v>222.93477564280593</v>
      </c>
      <c r="AI46" s="17">
        <f t="shared" si="6"/>
        <v>223.00147089709745</v>
      </c>
      <c r="AJ46" s="3">
        <v>422.257935449456</v>
      </c>
      <c r="AK46" s="2">
        <v>97.8</v>
      </c>
      <c r="AL46" s="5">
        <v>216.55388614030832</v>
      </c>
      <c r="AM46" s="16">
        <f t="shared" si="5"/>
        <v>224.16703235080203</v>
      </c>
      <c r="AN46" s="15">
        <f t="shared" si="18"/>
        <v>9.8224894413923569E-2</v>
      </c>
      <c r="AO46" s="15">
        <f t="shared" si="18"/>
        <v>5.017194858650792E-3</v>
      </c>
      <c r="AP46" s="2"/>
      <c r="AQ46" s="2"/>
      <c r="AR46" s="2"/>
      <c r="AS46" s="2"/>
    </row>
    <row r="47" spans="1:45" x14ac:dyDescent="0.25">
      <c r="A47">
        <v>1984</v>
      </c>
      <c r="B47" s="2">
        <v>8.8000000000000007</v>
      </c>
      <c r="C47" s="2">
        <v>10.23</v>
      </c>
      <c r="D47" s="6">
        <f t="shared" si="14"/>
        <v>1.1624999999999999</v>
      </c>
      <c r="E47" s="2">
        <v>10.39</v>
      </c>
      <c r="F47" s="5">
        <f t="shared" si="16"/>
        <v>1.1806818181818182</v>
      </c>
      <c r="G47">
        <v>9.5299999999999994</v>
      </c>
      <c r="H47" s="8">
        <f t="shared" si="17"/>
        <v>0.91722810394610188</v>
      </c>
      <c r="I47" s="2">
        <v>10.15</v>
      </c>
      <c r="J47" s="2">
        <v>12.71</v>
      </c>
      <c r="K47" s="6">
        <f t="shared" si="0"/>
        <v>1.1534090909090908</v>
      </c>
      <c r="L47" s="6">
        <f t="shared" si="1"/>
        <v>1.4443181818181818</v>
      </c>
      <c r="M47" s="6">
        <f t="shared" si="2"/>
        <v>0.7985837922895358</v>
      </c>
      <c r="N47" s="3">
        <v>0.12039999999999999</v>
      </c>
      <c r="O47" s="5">
        <f t="shared" si="3"/>
        <v>12.04</v>
      </c>
      <c r="P47" s="3">
        <v>7.5058932080898519E-2</v>
      </c>
      <c r="Q47" s="12">
        <f t="shared" si="4"/>
        <v>7.1452159468438414E-2</v>
      </c>
      <c r="R47" s="4">
        <v>0.1686</v>
      </c>
      <c r="S47" s="4">
        <v>0.1686</v>
      </c>
      <c r="T47">
        <v>107</v>
      </c>
      <c r="U47">
        <v>166.39</v>
      </c>
      <c r="V47">
        <v>7.53</v>
      </c>
      <c r="W47">
        <v>16.64</v>
      </c>
      <c r="X47" s="5">
        <f t="shared" si="7"/>
        <v>9.9993990384615365</v>
      </c>
      <c r="Y47">
        <v>96.121757701104329</v>
      </c>
      <c r="Z47" s="11">
        <f t="shared" si="8"/>
        <v>173.10336804014599</v>
      </c>
      <c r="AA47" s="11">
        <f t="shared" si="9"/>
        <v>7.8338142997914497</v>
      </c>
      <c r="AB47" s="11">
        <f t="shared" si="10"/>
        <v>17.311377151199167</v>
      </c>
      <c r="AC47" s="13">
        <f t="shared" si="12"/>
        <v>0.21156307958063392</v>
      </c>
      <c r="AD47" s="3">
        <v>0.25708339108277573</v>
      </c>
      <c r="AE47" s="14">
        <v>0.22361451287486117</v>
      </c>
      <c r="AF47" s="10">
        <v>7.7092955645063702E-2</v>
      </c>
      <c r="AG47">
        <v>7.5999999999999998E-2</v>
      </c>
      <c r="AH47" s="17">
        <f t="shared" si="11"/>
        <v>272.41378945554482</v>
      </c>
      <c r="AI47" s="17">
        <f t="shared" si="6"/>
        <v>272.49763095197869</v>
      </c>
      <c r="AJ47" s="3">
        <v>432.76584271412804</v>
      </c>
      <c r="AK47" s="2">
        <v>101.9</v>
      </c>
      <c r="AL47" s="5">
        <v>231.24719125626459</v>
      </c>
      <c r="AM47" s="16">
        <f t="shared" si="5"/>
        <v>240.57736436254103</v>
      </c>
      <c r="AN47" s="15">
        <f t="shared" si="18"/>
        <v>-4.5520311502141808E-2</v>
      </c>
      <c r="AO47" s="15">
        <f t="shared" si="18"/>
        <v>3.3468878207914554E-2</v>
      </c>
      <c r="AP47" s="2"/>
      <c r="AQ47" s="2"/>
      <c r="AR47" s="2"/>
      <c r="AS47" s="2"/>
    </row>
    <row r="48" spans="1:45" x14ac:dyDescent="0.25">
      <c r="A48">
        <v>1985</v>
      </c>
      <c r="B48" s="2">
        <v>7.69</v>
      </c>
      <c r="C48" s="2">
        <v>8.1</v>
      </c>
      <c r="D48" s="6">
        <f t="shared" si="14"/>
        <v>1.0533159947984394</v>
      </c>
      <c r="E48" s="2">
        <v>8.0399999999999991</v>
      </c>
      <c r="F48" s="5">
        <f t="shared" si="16"/>
        <v>1.0455136540962287</v>
      </c>
      <c r="G48">
        <v>7.47</v>
      </c>
      <c r="H48" s="8">
        <f t="shared" si="17"/>
        <v>0.92910447761194037</v>
      </c>
      <c r="I48" s="2">
        <v>9.18</v>
      </c>
      <c r="J48" s="2">
        <v>11.37</v>
      </c>
      <c r="K48" s="6">
        <f t="shared" si="0"/>
        <v>1.1937581274382314</v>
      </c>
      <c r="L48" s="6">
        <f t="shared" si="1"/>
        <v>1.4785435630689205</v>
      </c>
      <c r="M48" s="6">
        <f t="shared" si="2"/>
        <v>0.80738786279683383</v>
      </c>
      <c r="N48" s="3">
        <v>9.9299999999999999E-2</v>
      </c>
      <c r="O48" s="5">
        <f t="shared" si="3"/>
        <v>9.93</v>
      </c>
      <c r="P48" s="3">
        <v>7.3938802009395843E-2</v>
      </c>
      <c r="Q48" s="12">
        <f t="shared" si="4"/>
        <v>0.21912879622344622</v>
      </c>
      <c r="R48" s="4">
        <v>0.3009</v>
      </c>
      <c r="S48" s="4">
        <v>0.3009</v>
      </c>
      <c r="T48">
        <v>115</v>
      </c>
      <c r="U48">
        <v>171.61</v>
      </c>
      <c r="V48">
        <v>7.9</v>
      </c>
      <c r="W48">
        <v>14.61</v>
      </c>
      <c r="X48" s="5">
        <f t="shared" si="7"/>
        <v>11.746064339493499</v>
      </c>
      <c r="Y48">
        <v>96.453515760813119</v>
      </c>
      <c r="Z48" s="11">
        <f t="shared" si="8"/>
        <v>177.91990125643639</v>
      </c>
      <c r="AA48" s="11">
        <f t="shared" si="9"/>
        <v>8.1904738647272737</v>
      </c>
      <c r="AB48" s="11">
        <f t="shared" si="10"/>
        <v>15.147192805527274</v>
      </c>
      <c r="AC48" s="13">
        <f t="shared" si="12"/>
        <v>7.5140115575342781E-2</v>
      </c>
      <c r="AD48" s="3">
        <v>8.2613775561874422E-2</v>
      </c>
      <c r="AE48" s="14">
        <v>7.6256076218740504E-2</v>
      </c>
      <c r="AF48" s="10">
        <v>7.5699648677669762E-2</v>
      </c>
      <c r="AG48">
        <v>7.5999999999999998E-2</v>
      </c>
      <c r="AH48" s="17">
        <f t="shared" si="11"/>
        <v>286.72844725285762</v>
      </c>
      <c r="AI48" s="17">
        <f t="shared" si="6"/>
        <v>286.81921521186064</v>
      </c>
      <c r="AJ48" s="3">
        <v>443.51930920860673</v>
      </c>
      <c r="AK48" s="2">
        <v>105.5</v>
      </c>
      <c r="AL48" s="5">
        <v>245.36595239385429</v>
      </c>
      <c r="AM48" s="16">
        <f t="shared" si="5"/>
        <v>254.38777473111136</v>
      </c>
      <c r="AN48" s="15">
        <f t="shared" si="18"/>
        <v>-7.4736599865316417E-3</v>
      </c>
      <c r="AO48" s="15">
        <f t="shared" si="18"/>
        <v>6.3576993431339185E-3</v>
      </c>
      <c r="AP48" s="2"/>
      <c r="AQ48" s="2"/>
      <c r="AR48" s="2"/>
      <c r="AS48" s="2"/>
    </row>
    <row r="49" spans="1:45" x14ac:dyDescent="0.25">
      <c r="A49">
        <v>1986</v>
      </c>
      <c r="B49" s="2">
        <v>6.32</v>
      </c>
      <c r="C49" s="2">
        <v>6.8</v>
      </c>
      <c r="D49" s="6">
        <f t="shared" si="14"/>
        <v>1.0759493670886076</v>
      </c>
      <c r="E49" s="2">
        <v>6.51</v>
      </c>
      <c r="F49" s="5">
        <f t="shared" si="16"/>
        <v>1.0300632911392404</v>
      </c>
      <c r="G49">
        <v>5.98</v>
      </c>
      <c r="H49" s="8">
        <f t="shared" si="17"/>
        <v>0.91858678955453155</v>
      </c>
      <c r="I49" s="2">
        <v>7.38</v>
      </c>
      <c r="J49" s="2">
        <v>9.02</v>
      </c>
      <c r="K49" s="6">
        <f t="shared" si="0"/>
        <v>1.1677215189873418</v>
      </c>
      <c r="L49" s="6">
        <f t="shared" si="1"/>
        <v>1.4272151898734176</v>
      </c>
      <c r="M49" s="6">
        <f t="shared" si="2"/>
        <v>0.81818181818181823</v>
      </c>
      <c r="N49" s="3">
        <v>8.3299999999999999E-2</v>
      </c>
      <c r="O49" s="5">
        <f t="shared" si="3"/>
        <v>8.33</v>
      </c>
      <c r="P49" s="3">
        <v>6.548724181160212E-2</v>
      </c>
      <c r="Q49" s="12">
        <f t="shared" si="4"/>
        <v>0.29688425681618291</v>
      </c>
      <c r="R49" s="4">
        <v>0.19850000000000001</v>
      </c>
      <c r="S49" s="4">
        <v>0.19850000000000001</v>
      </c>
      <c r="T49">
        <v>120</v>
      </c>
      <c r="U49">
        <v>208.19</v>
      </c>
      <c r="V49">
        <v>8.2799999999999994</v>
      </c>
      <c r="W49">
        <v>14.48</v>
      </c>
      <c r="X49" s="5">
        <f t="shared" si="7"/>
        <v>14.377762430939226</v>
      </c>
      <c r="Y49">
        <v>97.356624619543226</v>
      </c>
      <c r="Z49" s="11">
        <f t="shared" si="8"/>
        <v>213.84266434213276</v>
      </c>
      <c r="AA49" s="11">
        <f t="shared" si="9"/>
        <v>8.5048141637583896</v>
      </c>
      <c r="AB49" s="11">
        <f t="shared" si="10"/>
        <v>14.873153271886652</v>
      </c>
      <c r="AC49" s="13">
        <f t="shared" si="12"/>
        <v>0.2497054963256819</v>
      </c>
      <c r="AD49" s="3">
        <v>-3.1225928221011914E-3</v>
      </c>
      <c r="AE49" s="14">
        <v>-1.6580004678153903E-2</v>
      </c>
      <c r="AF49" s="10">
        <v>6.8992551069955221E-2</v>
      </c>
      <c r="AG49">
        <v>7.5999999999999998E-2</v>
      </c>
      <c r="AH49" s="17">
        <f t="shared" si="11"/>
        <v>277.32829689781522</v>
      </c>
      <c r="AI49" s="17">
        <f t="shared" si="6"/>
        <v>277.41878142544101</v>
      </c>
      <c r="AJ49" s="3">
        <v>454.80189366227904</v>
      </c>
      <c r="AK49" s="2">
        <v>109.6</v>
      </c>
      <c r="AL49" s="5">
        <v>261.38588120286198</v>
      </c>
      <c r="AM49" s="16">
        <f t="shared" si="5"/>
        <v>268.48289186721843</v>
      </c>
      <c r="AN49" s="15">
        <f t="shared" si="18"/>
        <v>0.2528280891477831</v>
      </c>
      <c r="AO49" s="15">
        <f t="shared" si="18"/>
        <v>1.3457411856052712E-2</v>
      </c>
      <c r="AP49" s="2"/>
      <c r="AQ49" s="2"/>
      <c r="AR49" s="2"/>
      <c r="AS49" s="2"/>
    </row>
    <row r="50" spans="1:45" x14ac:dyDescent="0.25">
      <c r="A50">
        <v>1987</v>
      </c>
      <c r="B50" s="2">
        <v>5.66</v>
      </c>
      <c r="C50" s="2">
        <v>6.66</v>
      </c>
      <c r="D50" s="6">
        <f t="shared" si="14"/>
        <v>1.1766784452296819</v>
      </c>
      <c r="E50" s="2">
        <v>6.87</v>
      </c>
      <c r="F50" s="5">
        <f t="shared" si="16"/>
        <v>1.2137809187279152</v>
      </c>
      <c r="G50">
        <v>5.82</v>
      </c>
      <c r="H50" s="8">
        <f t="shared" si="17"/>
        <v>0.84716157205240172</v>
      </c>
      <c r="I50" s="2">
        <v>7.73</v>
      </c>
      <c r="J50" s="2">
        <v>9.3800000000000008</v>
      </c>
      <c r="K50" s="6">
        <f t="shared" si="0"/>
        <v>1.3657243816254416</v>
      </c>
      <c r="L50" s="6">
        <f t="shared" si="1"/>
        <v>1.657243816254417</v>
      </c>
      <c r="M50" s="6">
        <f t="shared" si="2"/>
        <v>0.82409381663113002</v>
      </c>
      <c r="N50" s="3">
        <v>8.2100000000000006E-2</v>
      </c>
      <c r="O50" s="5">
        <f t="shared" si="3"/>
        <v>8.2100000000000009</v>
      </c>
      <c r="P50" s="3">
        <v>7.2706894204598943E-2</v>
      </c>
      <c r="Q50" s="12">
        <f t="shared" si="4"/>
        <v>5.3888691796008741E-2</v>
      </c>
      <c r="R50" s="4">
        <v>-2.7000000000000001E-3</v>
      </c>
      <c r="S50" s="4">
        <v>-2.7000000000000001E-3</v>
      </c>
      <c r="T50">
        <v>102</v>
      </c>
      <c r="U50">
        <v>264.51</v>
      </c>
      <c r="V50">
        <v>8.81</v>
      </c>
      <c r="W50">
        <v>17.5</v>
      </c>
      <c r="X50" s="5">
        <f t="shared" si="7"/>
        <v>15.114857142857142</v>
      </c>
      <c r="Y50">
        <v>97.929322001964607</v>
      </c>
      <c r="Z50" s="11">
        <f t="shared" si="8"/>
        <v>270.10296261899327</v>
      </c>
      <c r="AA50" s="11">
        <f t="shared" si="9"/>
        <v>8.9962840749814017</v>
      </c>
      <c r="AB50" s="11">
        <f t="shared" si="10"/>
        <v>17.870030795933545</v>
      </c>
      <c r="AC50" s="13">
        <f t="shared" si="12"/>
        <v>0.30516165963699421</v>
      </c>
      <c r="AD50" s="3">
        <v>0.13243243643085692</v>
      </c>
      <c r="AE50" s="14">
        <v>0.14426096219213994</v>
      </c>
      <c r="AF50" s="10">
        <v>7.2522722925103644E-2</v>
      </c>
      <c r="AG50">
        <v>7.5999999999999998E-2</v>
      </c>
      <c r="AH50" s="17">
        <f t="shared" si="11"/>
        <v>305.05927487223153</v>
      </c>
      <c r="AI50" s="17">
        <f t="shared" si="6"/>
        <v>305.16174248631012</v>
      </c>
      <c r="AJ50" s="3">
        <v>466.23742483075853</v>
      </c>
      <c r="AK50" s="2">
        <v>111.2</v>
      </c>
      <c r="AL50" s="5">
        <v>271.86996141153827</v>
      </c>
      <c r="AM50" s="16">
        <f t="shared" si="5"/>
        <v>277.61854759505451</v>
      </c>
      <c r="AN50" s="15">
        <f t="shared" si="18"/>
        <v>0.17272922320613729</v>
      </c>
      <c r="AO50" s="15">
        <f t="shared" si="18"/>
        <v>-1.1828525761283015E-2</v>
      </c>
      <c r="AP50" s="2"/>
      <c r="AQ50" s="2"/>
      <c r="AR50" s="2"/>
      <c r="AS50" s="2"/>
    </row>
    <row r="51" spans="1:45" x14ac:dyDescent="0.25">
      <c r="A51">
        <v>1988</v>
      </c>
      <c r="B51" s="2">
        <v>6.2</v>
      </c>
      <c r="C51" s="2">
        <v>7.57</v>
      </c>
      <c r="D51" s="6">
        <f t="shared" si="14"/>
        <v>1.2209677419354839</v>
      </c>
      <c r="E51" s="2">
        <v>7.73</v>
      </c>
      <c r="F51" s="5">
        <f t="shared" si="16"/>
        <v>1.2467741935483871</v>
      </c>
      <c r="G51">
        <v>6.69</v>
      </c>
      <c r="H51" s="8">
        <f t="shared" si="17"/>
        <v>0.86545924967658472</v>
      </c>
      <c r="I51" s="2">
        <v>7.76</v>
      </c>
      <c r="J51" s="2">
        <v>9.7100000000000009</v>
      </c>
      <c r="K51" s="6">
        <f t="shared" si="0"/>
        <v>1.2516129032258063</v>
      </c>
      <c r="L51" s="6">
        <f t="shared" si="1"/>
        <v>1.5661290322580645</v>
      </c>
      <c r="M51" s="6">
        <f t="shared" si="2"/>
        <v>0.79917610710607612</v>
      </c>
      <c r="N51" s="3">
        <v>9.3200000000000005E-2</v>
      </c>
      <c r="O51" s="5">
        <f t="shared" si="3"/>
        <v>9.32</v>
      </c>
      <c r="P51" s="3">
        <v>8.0390518016447754E-2</v>
      </c>
      <c r="Q51" s="12">
        <f t="shared" si="4"/>
        <v>6.1918763326226013E-2</v>
      </c>
      <c r="R51" s="4">
        <v>0.107</v>
      </c>
      <c r="S51" s="4">
        <v>0.107</v>
      </c>
      <c r="T51">
        <v>98</v>
      </c>
      <c r="U51">
        <v>250.48</v>
      </c>
      <c r="V51">
        <v>9.73</v>
      </c>
      <c r="W51">
        <v>23.76</v>
      </c>
      <c r="X51" s="5">
        <f t="shared" si="7"/>
        <v>10.542087542087542</v>
      </c>
      <c r="Y51">
        <v>100.28708590508437</v>
      </c>
      <c r="Z51" s="11">
        <f t="shared" si="8"/>
        <v>249.76296572927058</v>
      </c>
      <c r="AA51" s="11">
        <f t="shared" si="9"/>
        <v>9.7021465048938147</v>
      </c>
      <c r="AB51" s="11">
        <f t="shared" si="10"/>
        <v>23.69198365429363</v>
      </c>
      <c r="AC51" s="13">
        <f t="shared" si="12"/>
        <v>-3.9384426892920148E-2</v>
      </c>
      <c r="AD51" s="3">
        <v>0.13325542097379225</v>
      </c>
      <c r="AE51" s="14">
        <v>0.13829273960953406</v>
      </c>
      <c r="AF51" s="10">
        <v>7.7326709710848124E-2</v>
      </c>
      <c r="AG51">
        <v>7.5999999999999998E-2</v>
      </c>
      <c r="AH51" s="17">
        <f t="shared" si="11"/>
        <v>336.0079304623967</v>
      </c>
      <c r="AI51" s="17">
        <f t="shared" si="6"/>
        <v>336.12405244152552</v>
      </c>
      <c r="AJ51" s="3">
        <v>478.00647841038409</v>
      </c>
      <c r="AK51" s="2">
        <v>115.7</v>
      </c>
      <c r="AL51" s="5">
        <v>290.01232067163841</v>
      </c>
      <c r="AM51" s="16">
        <f t="shared" si="5"/>
        <v>289.18211956633922</v>
      </c>
      <c r="AN51" s="15">
        <f t="shared" si="18"/>
        <v>-0.17263984786671241</v>
      </c>
      <c r="AO51" s="15">
        <f t="shared" si="18"/>
        <v>-5.0373186357418054E-3</v>
      </c>
      <c r="AP51" s="2"/>
      <c r="AQ51" s="2"/>
      <c r="AR51" s="2"/>
      <c r="AS51" s="2"/>
    </row>
    <row r="52" spans="1:45" x14ac:dyDescent="0.25">
      <c r="A52">
        <v>1989</v>
      </c>
      <c r="B52" s="2">
        <v>6.93</v>
      </c>
      <c r="C52" s="2">
        <v>9.2100000000000009</v>
      </c>
      <c r="D52" s="6">
        <f t="shared" si="14"/>
        <v>1.3290043290043292</v>
      </c>
      <c r="E52" s="2">
        <v>9.09</v>
      </c>
      <c r="F52" s="5">
        <f t="shared" si="16"/>
        <v>1.3116883116883118</v>
      </c>
      <c r="G52">
        <v>8.1199999999999992</v>
      </c>
      <c r="H52" s="8">
        <f t="shared" si="17"/>
        <v>0.89328932893289326</v>
      </c>
      <c r="I52" s="2">
        <v>7.24</v>
      </c>
      <c r="J52" s="2">
        <v>9.26</v>
      </c>
      <c r="K52" s="6">
        <f t="shared" si="0"/>
        <v>1.0447330447330447</v>
      </c>
      <c r="L52" s="6">
        <f t="shared" si="1"/>
        <v>1.3362193362193362</v>
      </c>
      <c r="M52" s="6">
        <f t="shared" si="2"/>
        <v>0.78185745140388774</v>
      </c>
      <c r="N52" s="3">
        <v>0.10869999999999999</v>
      </c>
      <c r="O52" s="5">
        <f t="shared" si="3"/>
        <v>10.87</v>
      </c>
      <c r="P52" s="3">
        <v>7.3631812592983764E-2</v>
      </c>
      <c r="Q52" s="12">
        <f t="shared" si="4"/>
        <v>0.13894397528321328</v>
      </c>
      <c r="R52" s="4">
        <v>0.1623</v>
      </c>
      <c r="S52" s="4">
        <v>0.1623</v>
      </c>
      <c r="T52">
        <v>65</v>
      </c>
      <c r="U52">
        <v>285.41000000000003</v>
      </c>
      <c r="V52">
        <v>11.05</v>
      </c>
      <c r="W52">
        <v>22.87</v>
      </c>
      <c r="X52" s="5">
        <f t="shared" si="7"/>
        <v>12.479667686926105</v>
      </c>
      <c r="Y52">
        <v>102.17910430165576</v>
      </c>
      <c r="Z52" s="11">
        <f t="shared" si="8"/>
        <v>279.32325493616128</v>
      </c>
      <c r="AA52" s="11">
        <f t="shared" si="9"/>
        <v>10.814344161187702</v>
      </c>
      <c r="AB52" s="11">
        <f t="shared" si="10"/>
        <v>22.382267055779433</v>
      </c>
      <c r="AC52" s="13">
        <f t="shared" si="12"/>
        <v>0.16165180153987402</v>
      </c>
      <c r="AD52" s="3">
        <v>6.974879910377059E-2</v>
      </c>
      <c r="AE52" s="14">
        <v>-5.3960959414383787E-3</v>
      </c>
      <c r="AF52" s="10">
        <v>7.5936949248287811E-2</v>
      </c>
      <c r="AG52">
        <v>7.5999999999999998E-2</v>
      </c>
      <c r="AH52" s="17">
        <f t="shared" si="11"/>
        <v>348.62973594030444</v>
      </c>
      <c r="AI52" s="17">
        <f t="shared" si="6"/>
        <v>348.75395728802704</v>
      </c>
      <c r="AJ52" s="3">
        <v>489.51340561991145</v>
      </c>
      <c r="AK52" s="2">
        <v>121.1</v>
      </c>
      <c r="AL52" s="5">
        <v>310.85513067945084</v>
      </c>
      <c r="AM52" s="16">
        <f t="shared" si="5"/>
        <v>304.22573460982437</v>
      </c>
      <c r="AN52" s="15">
        <f t="shared" si="18"/>
        <v>9.1903002436103429E-2</v>
      </c>
      <c r="AO52" s="15">
        <f t="shared" si="18"/>
        <v>7.5144895045208965E-2</v>
      </c>
      <c r="AP52" s="2"/>
      <c r="AQ52" s="2"/>
      <c r="AR52" s="2"/>
      <c r="AS52" s="2"/>
    </row>
    <row r="53" spans="1:45" x14ac:dyDescent="0.25">
      <c r="A53">
        <v>1990</v>
      </c>
      <c r="B53" s="2">
        <v>6.98</v>
      </c>
      <c r="C53" s="2">
        <v>8.1</v>
      </c>
      <c r="D53" s="6">
        <f t="shared" si="14"/>
        <v>1.1604584527220629</v>
      </c>
      <c r="E53" s="2">
        <v>8.15</v>
      </c>
      <c r="F53" s="5">
        <f t="shared" si="16"/>
        <v>1.167621776504298</v>
      </c>
      <c r="G53">
        <v>7.51</v>
      </c>
      <c r="H53" s="8">
        <f t="shared" si="17"/>
        <v>0.92147239263803671</v>
      </c>
      <c r="I53" s="2">
        <v>7.25</v>
      </c>
      <c r="J53" s="2">
        <v>9.32</v>
      </c>
      <c r="K53" s="6">
        <f t="shared" si="0"/>
        <v>1.0386819484240688</v>
      </c>
      <c r="L53" s="6">
        <f t="shared" si="1"/>
        <v>1.335243553008596</v>
      </c>
      <c r="M53" s="6">
        <f t="shared" si="2"/>
        <v>0.77789699570815452</v>
      </c>
      <c r="N53" s="3">
        <v>0.10009999999999999</v>
      </c>
      <c r="O53" s="5">
        <f t="shared" si="3"/>
        <v>10.01</v>
      </c>
      <c r="P53" s="3">
        <v>6.9785277700319892E-2</v>
      </c>
      <c r="Q53" s="12">
        <f t="shared" si="4"/>
        <v>8.6720518358531271E-2</v>
      </c>
      <c r="R53" s="4">
        <v>6.7799999999999999E-2</v>
      </c>
      <c r="S53" s="4">
        <v>6.7799999999999999E-2</v>
      </c>
      <c r="T53">
        <v>74</v>
      </c>
      <c r="U53">
        <v>339.97</v>
      </c>
      <c r="V53">
        <v>12.1</v>
      </c>
      <c r="W53">
        <v>21.34</v>
      </c>
      <c r="X53" s="5">
        <f t="shared" si="7"/>
        <v>15.931115276476103</v>
      </c>
      <c r="Y53">
        <v>103.8481778936454</v>
      </c>
      <c r="Z53" s="11">
        <f t="shared" si="8"/>
        <v>327.37213776458873</v>
      </c>
      <c r="AA53" s="11">
        <f t="shared" si="9"/>
        <v>11.651624752041426</v>
      </c>
      <c r="AB53" s="11">
        <f t="shared" si="10"/>
        <v>20.549229108145788</v>
      </c>
      <c r="AC53" s="13">
        <f t="shared" si="12"/>
        <v>0.21373267898554776</v>
      </c>
      <c r="AD53" s="3">
        <v>2.4543904586603178E-2</v>
      </c>
      <c r="AE53" s="14">
        <v>2.2350645725309308E-2</v>
      </c>
      <c r="AF53" s="10">
        <v>7.2000735105366379E-2</v>
      </c>
      <c r="AG53">
        <v>7.5999999999999998E-2</v>
      </c>
      <c r="AH53" s="17">
        <f t="shared" si="11"/>
        <v>345.53484616323453</v>
      </c>
      <c r="AI53" s="17">
        <f t="shared" si="6"/>
        <v>345.66211638786325</v>
      </c>
      <c r="AJ53" s="3">
        <v>500.20475743306883</v>
      </c>
      <c r="AK53" s="2">
        <v>127.4</v>
      </c>
      <c r="AL53" s="5">
        <v>334.16930307799146</v>
      </c>
      <c r="AM53" s="16">
        <f t="shared" si="5"/>
        <v>321.7863903401618</v>
      </c>
      <c r="AN53" s="15">
        <f t="shared" si="18"/>
        <v>0.18918877439894458</v>
      </c>
      <c r="AO53" s="15">
        <f t="shared" si="18"/>
        <v>2.1932588612938696E-3</v>
      </c>
      <c r="AP53" s="2"/>
      <c r="AQ53" s="2"/>
      <c r="AR53" s="2"/>
      <c r="AS53" s="2"/>
    </row>
    <row r="54" spans="1:45" x14ac:dyDescent="0.25">
      <c r="A54">
        <v>1991</v>
      </c>
      <c r="B54" s="2">
        <v>5.45</v>
      </c>
      <c r="C54" s="2">
        <v>5.69</v>
      </c>
      <c r="D54" s="6">
        <f t="shared" si="14"/>
        <v>1.0440366972477064</v>
      </c>
      <c r="E54" s="2">
        <v>5.83</v>
      </c>
      <c r="F54" s="5">
        <f t="shared" si="16"/>
        <v>1.0697247706422017</v>
      </c>
      <c r="G54">
        <v>5.42</v>
      </c>
      <c r="H54" s="8">
        <f t="shared" si="17"/>
        <v>0.92967409948542024</v>
      </c>
      <c r="I54" s="2">
        <v>6.89</v>
      </c>
      <c r="J54" s="2">
        <v>8.77</v>
      </c>
      <c r="K54" s="6">
        <f t="shared" si="0"/>
        <v>1.2642201834862383</v>
      </c>
      <c r="L54" s="6">
        <f t="shared" si="1"/>
        <v>1.6091743119266053</v>
      </c>
      <c r="M54" s="6">
        <f t="shared" si="2"/>
        <v>0.78563283922462945</v>
      </c>
      <c r="N54" s="3">
        <v>8.4600000000000009E-2</v>
      </c>
      <c r="O54" s="5">
        <f t="shared" si="3"/>
        <v>8.4600000000000009</v>
      </c>
      <c r="P54" s="3">
        <v>7.0401937119076066E-2</v>
      </c>
      <c r="Q54" s="12">
        <f t="shared" si="4"/>
        <v>0.14671287553648077</v>
      </c>
      <c r="R54" s="4">
        <v>0.19889999999999999</v>
      </c>
      <c r="S54" s="4">
        <v>0.19889999999999999</v>
      </c>
      <c r="T54">
        <v>107</v>
      </c>
      <c r="U54">
        <v>325.5</v>
      </c>
      <c r="V54">
        <v>12.2</v>
      </c>
      <c r="W54">
        <v>15.91</v>
      </c>
      <c r="X54" s="5">
        <f t="shared" si="7"/>
        <v>20.458830923947204</v>
      </c>
      <c r="Y54">
        <v>105.1480612868466</v>
      </c>
      <c r="Z54" s="11">
        <f t="shared" si="8"/>
        <v>309.5634822139304</v>
      </c>
      <c r="AA54" s="11">
        <f t="shared" si="9"/>
        <v>11.602686583747928</v>
      </c>
      <c r="AB54" s="11">
        <f t="shared" si="10"/>
        <v>15.131044553067996</v>
      </c>
      <c r="AC54" s="13">
        <f t="shared" si="12"/>
        <v>-1.8956924707419893E-2</v>
      </c>
      <c r="AD54" s="3">
        <v>3.7014024297708101E-2</v>
      </c>
      <c r="AE54" s="14">
        <v>6.3416420959959224E-2</v>
      </c>
      <c r="AF54" s="10">
        <v>6.9375725449514633E-2</v>
      </c>
      <c r="AG54">
        <v>7.5999999999999998E-2</v>
      </c>
      <c r="AH54" s="17">
        <f t="shared" si="11"/>
        <v>346.72179477107744</v>
      </c>
      <c r="AI54" s="17">
        <f t="shared" si="6"/>
        <v>346.8537757788929</v>
      </c>
      <c r="AJ54" s="3">
        <v>510.81881176896286</v>
      </c>
      <c r="AK54" s="2">
        <v>134.6</v>
      </c>
      <c r="AL54" s="5">
        <v>360.546471232839</v>
      </c>
      <c r="AM54" s="16">
        <f t="shared" si="5"/>
        <v>342.8940741467967</v>
      </c>
      <c r="AN54" s="15">
        <f t="shared" si="18"/>
        <v>-5.5970949005127994E-2</v>
      </c>
      <c r="AO54" s="15">
        <f t="shared" si="18"/>
        <v>-2.6402396662251124E-2</v>
      </c>
      <c r="AP54" s="2"/>
      <c r="AQ54" s="2"/>
      <c r="AR54" s="2"/>
      <c r="AS54" s="2"/>
    </row>
    <row r="55" spans="1:45" x14ac:dyDescent="0.25">
      <c r="A55">
        <v>1992</v>
      </c>
      <c r="B55" s="2">
        <v>3.25</v>
      </c>
      <c r="C55" s="2">
        <v>3.52</v>
      </c>
      <c r="D55" s="6">
        <f t="shared" si="14"/>
        <v>1.083076923076923</v>
      </c>
      <c r="E55" s="2">
        <v>3.68</v>
      </c>
      <c r="F55" s="5">
        <f t="shared" si="16"/>
        <v>1.1323076923076925</v>
      </c>
      <c r="G55">
        <v>3.45</v>
      </c>
      <c r="H55" s="8">
        <f t="shared" si="17"/>
        <v>0.9375</v>
      </c>
      <c r="I55" s="2">
        <v>6.41</v>
      </c>
      <c r="J55" s="2">
        <v>8.14</v>
      </c>
      <c r="K55" s="6">
        <f t="shared" si="0"/>
        <v>1.9723076923076923</v>
      </c>
      <c r="L55" s="6">
        <f t="shared" si="1"/>
        <v>2.5046153846153847</v>
      </c>
      <c r="M55" s="6">
        <f t="shared" si="2"/>
        <v>0.78746928746928746</v>
      </c>
      <c r="N55" s="3">
        <v>6.25E-2</v>
      </c>
      <c r="O55" s="5">
        <f t="shared" si="3"/>
        <v>6.25</v>
      </c>
      <c r="P55" s="3">
        <v>7.7230472907570707E-2</v>
      </c>
      <c r="Q55" s="12">
        <f t="shared" si="4"/>
        <v>0.15323580387685282</v>
      </c>
      <c r="R55" s="4">
        <v>9.3900000000000011E-2</v>
      </c>
      <c r="S55" s="4">
        <v>9.3900000000000011E-2</v>
      </c>
      <c r="T55">
        <v>110</v>
      </c>
      <c r="U55">
        <v>416.08</v>
      </c>
      <c r="V55">
        <v>12.38</v>
      </c>
      <c r="W55">
        <v>19.09</v>
      </c>
      <c r="X55" s="5">
        <f t="shared" si="7"/>
        <v>21.795704557359873</v>
      </c>
      <c r="Y55">
        <v>104.1045789241972</v>
      </c>
      <c r="Z55" s="11">
        <f t="shared" si="8"/>
        <v>399.67502323117299</v>
      </c>
      <c r="AA55" s="11">
        <f t="shared" si="9"/>
        <v>11.891888068645265</v>
      </c>
      <c r="AB55" s="11">
        <f t="shared" si="10"/>
        <v>18.337329824752675</v>
      </c>
      <c r="AC55" s="13">
        <f t="shared" si="12"/>
        <v>0.32950730608268658</v>
      </c>
      <c r="AD55" s="3">
        <v>7.4990776582276028E-2</v>
      </c>
      <c r="AE55" s="14">
        <v>0.12535928385674114</v>
      </c>
      <c r="AF55" s="10">
        <v>6.9100711485927363E-2</v>
      </c>
      <c r="AG55">
        <v>7.5999999999999998E-2</v>
      </c>
      <c r="AH55" s="17">
        <f t="shared" si="11"/>
        <v>360.83084335031577</v>
      </c>
      <c r="AI55" s="17">
        <f t="shared" si="6"/>
        <v>360.97272171640145</v>
      </c>
      <c r="AJ55" s="3">
        <v>522.50732283944797</v>
      </c>
      <c r="AK55" s="2">
        <v>138.1</v>
      </c>
      <c r="AL55" s="5">
        <v>378.38626787691538</v>
      </c>
      <c r="AM55" s="16">
        <f t="shared" si="5"/>
        <v>363.46745915223755</v>
      </c>
      <c r="AN55" s="15">
        <f t="shared" si="18"/>
        <v>0.25451652950041054</v>
      </c>
      <c r="AO55" s="15">
        <f t="shared" si="18"/>
        <v>-5.036850727446511E-2</v>
      </c>
      <c r="AP55" s="2"/>
      <c r="AQ55" s="2"/>
      <c r="AR55" s="2"/>
      <c r="AS55" s="2"/>
    </row>
    <row r="56" spans="1:45" x14ac:dyDescent="0.25">
      <c r="A56">
        <v>1993</v>
      </c>
      <c r="B56" s="2">
        <v>3</v>
      </c>
      <c r="C56" s="2">
        <v>3.02</v>
      </c>
      <c r="D56" s="6">
        <f t="shared" si="14"/>
        <v>1.0066666666666666</v>
      </c>
      <c r="E56" s="2">
        <v>3.17</v>
      </c>
      <c r="F56" s="5">
        <f t="shared" si="16"/>
        <v>1.0566666666666666</v>
      </c>
      <c r="G56">
        <v>3.02</v>
      </c>
      <c r="H56" s="8">
        <f t="shared" si="17"/>
        <v>0.95268138801261837</v>
      </c>
      <c r="I56" s="2">
        <v>5.63</v>
      </c>
      <c r="J56" s="2">
        <v>7.22</v>
      </c>
      <c r="K56" s="6">
        <f t="shared" si="0"/>
        <v>1.8766666666666667</v>
      </c>
      <c r="L56" s="6">
        <f t="shared" si="1"/>
        <v>2.4066666666666667</v>
      </c>
      <c r="M56" s="6">
        <f t="shared" si="2"/>
        <v>0.77977839335180055</v>
      </c>
      <c r="N56" s="3">
        <v>0.06</v>
      </c>
      <c r="O56" s="5">
        <f t="shared" si="3"/>
        <v>6</v>
      </c>
      <c r="P56" s="3">
        <v>8.2983007076104967E-2</v>
      </c>
      <c r="Q56" s="12">
        <f t="shared" si="4"/>
        <v>0.18522211302211311</v>
      </c>
      <c r="R56" s="4">
        <v>0.13189999999999999</v>
      </c>
      <c r="S56" s="4">
        <v>0.13189999999999999</v>
      </c>
      <c r="T56">
        <v>109</v>
      </c>
      <c r="U56">
        <v>435.23</v>
      </c>
      <c r="V56">
        <v>12.58</v>
      </c>
      <c r="W56">
        <v>21.88</v>
      </c>
      <c r="X56" s="5">
        <f t="shared" si="7"/>
        <v>19.891681901279711</v>
      </c>
      <c r="Y56">
        <v>104.06628375820375</v>
      </c>
      <c r="Z56" s="11">
        <f t="shared" si="8"/>
        <v>418.22383223681697</v>
      </c>
      <c r="AA56" s="11">
        <f t="shared" si="9"/>
        <v>12.088449347561422</v>
      </c>
      <c r="AB56" s="11">
        <f t="shared" si="10"/>
        <v>21.025061345361202</v>
      </c>
      <c r="AC56" s="13">
        <f t="shared" si="12"/>
        <v>7.665542396299492E-2</v>
      </c>
      <c r="AD56" s="3">
        <v>9.0080624814904017E-2</v>
      </c>
      <c r="AE56" s="14">
        <v>0.12543201926968733</v>
      </c>
      <c r="AF56" s="10">
        <v>6.9618153175052405E-2</v>
      </c>
      <c r="AG56">
        <v>7.5999999999999998E-2</v>
      </c>
      <c r="AH56" s="17">
        <f t="shared" si="11"/>
        <v>381.24626182423953</v>
      </c>
      <c r="AI56" s="17">
        <f t="shared" si="6"/>
        <v>381.40092068218991</v>
      </c>
      <c r="AJ56" s="3">
        <v>535.33342164004216</v>
      </c>
      <c r="AK56" s="2">
        <v>142.6</v>
      </c>
      <c r="AL56" s="5">
        <v>400.30700537949667</v>
      </c>
      <c r="AM56" s="16">
        <f t="shared" si="5"/>
        <v>384.66541796534528</v>
      </c>
      <c r="AN56" s="15">
        <f t="shared" si="18"/>
        <v>-1.3425200851909097E-2</v>
      </c>
      <c r="AO56" s="15">
        <f t="shared" si="18"/>
        <v>-3.5351394454783316E-2</v>
      </c>
      <c r="AP56" s="2"/>
      <c r="AQ56" s="2"/>
      <c r="AR56" s="2"/>
      <c r="AS56" s="2"/>
    </row>
    <row r="57" spans="1:45" x14ac:dyDescent="0.25">
      <c r="A57">
        <v>1994</v>
      </c>
      <c r="B57" s="2">
        <v>3.6</v>
      </c>
      <c r="C57" s="2">
        <v>4.21</v>
      </c>
      <c r="D57" s="6">
        <f t="shared" si="14"/>
        <v>1.1694444444444445</v>
      </c>
      <c r="E57" s="2">
        <v>4.63</v>
      </c>
      <c r="F57" s="5">
        <f t="shared" si="16"/>
        <v>1.286111111111111</v>
      </c>
      <c r="G57">
        <v>4.29</v>
      </c>
      <c r="H57" s="8">
        <f t="shared" si="17"/>
        <v>0.92656587473002161</v>
      </c>
      <c r="I57" s="2">
        <v>6.19</v>
      </c>
      <c r="J57" s="2">
        <v>7.96</v>
      </c>
      <c r="K57" s="6">
        <f t="shared" si="0"/>
        <v>1.7194444444444446</v>
      </c>
      <c r="L57" s="6">
        <f t="shared" si="1"/>
        <v>2.2111111111111112</v>
      </c>
      <c r="M57" s="6">
        <f t="shared" si="2"/>
        <v>0.77763819095477393</v>
      </c>
      <c r="N57" s="3">
        <v>7.1500000000000008E-2</v>
      </c>
      <c r="O57" s="5">
        <f t="shared" si="3"/>
        <v>7.15</v>
      </c>
      <c r="P57" s="3">
        <v>9.3704055677393358E-2</v>
      </c>
      <c r="Q57" s="12">
        <f t="shared" si="4"/>
        <v>-2.2893074792243798E-2</v>
      </c>
      <c r="R57" s="4">
        <v>-5.7599999999999998E-2</v>
      </c>
      <c r="S57" s="4">
        <v>-5.7599999999999998E-2</v>
      </c>
      <c r="T57">
        <v>86</v>
      </c>
      <c r="U57">
        <v>472.99</v>
      </c>
      <c r="V57">
        <v>13.18</v>
      </c>
      <c r="W57">
        <v>30.6</v>
      </c>
      <c r="X57" s="5">
        <f t="shared" si="7"/>
        <v>15.457189542483659</v>
      </c>
      <c r="Y57">
        <v>104.42405303811519</v>
      </c>
      <c r="Z57" s="11">
        <f t="shared" si="8"/>
        <v>452.95119873134666</v>
      </c>
      <c r="AA57" s="11">
        <f t="shared" si="9"/>
        <v>12.621613140402861</v>
      </c>
      <c r="AB57" s="11">
        <f t="shared" si="10"/>
        <v>29.303593482270678</v>
      </c>
      <c r="AC57" s="13">
        <f t="shared" si="12"/>
        <v>0.11321444639271883</v>
      </c>
      <c r="AD57" s="3">
        <v>0.1834304860350543</v>
      </c>
      <c r="AE57" s="14">
        <v>0.19231627810850338</v>
      </c>
      <c r="AF57" s="10">
        <v>7.5209740086175092E-2</v>
      </c>
      <c r="AG57">
        <v>7.5999999999999998E-2</v>
      </c>
      <c r="AH57" s="17">
        <f t="shared" si="11"/>
        <v>438.5568357893045</v>
      </c>
      <c r="AI57" s="17">
        <f t="shared" si="6"/>
        <v>438.73986379673835</v>
      </c>
      <c r="AJ57" s="3">
        <v>549.18600052047998</v>
      </c>
      <c r="AK57" s="2">
        <v>146.19999999999999</v>
      </c>
      <c r="AL57" s="5">
        <v>421.03300092340942</v>
      </c>
      <c r="AM57" s="16">
        <f t="shared" si="5"/>
        <v>403.19542162353218</v>
      </c>
      <c r="AN57" s="15">
        <f t="shared" si="18"/>
        <v>-7.021603964233547E-2</v>
      </c>
      <c r="AO57" s="15">
        <f t="shared" si="18"/>
        <v>-8.8857920734490836E-3</v>
      </c>
      <c r="AP57" s="2"/>
      <c r="AQ57" s="2"/>
      <c r="AR57" s="2"/>
      <c r="AS57" s="2"/>
    </row>
    <row r="58" spans="1:45" x14ac:dyDescent="0.25">
      <c r="A58">
        <v>1995</v>
      </c>
      <c r="B58" s="2">
        <v>5.21</v>
      </c>
      <c r="C58" s="2">
        <v>5.83</v>
      </c>
      <c r="D58" s="6">
        <f t="shared" si="14"/>
        <v>1.1190019193857965</v>
      </c>
      <c r="E58" s="2">
        <v>5.92</v>
      </c>
      <c r="F58" s="5">
        <f t="shared" si="16"/>
        <v>1.1362763915547025</v>
      </c>
      <c r="G58">
        <v>5.51</v>
      </c>
      <c r="H58" s="8">
        <f t="shared" si="17"/>
        <v>0.9307432432432432</v>
      </c>
      <c r="I58" s="2">
        <v>5.95</v>
      </c>
      <c r="J58" s="2">
        <v>7.59</v>
      </c>
      <c r="K58" s="6">
        <f t="shared" si="0"/>
        <v>1.1420345489443378</v>
      </c>
      <c r="L58" s="6">
        <f t="shared" si="1"/>
        <v>1.4568138195777351</v>
      </c>
      <c r="M58" s="6">
        <f t="shared" si="2"/>
        <v>0.78392621870882739</v>
      </c>
      <c r="N58" s="3">
        <v>8.8300000000000003E-2</v>
      </c>
      <c r="O58" s="5">
        <f t="shared" si="3"/>
        <v>8.83</v>
      </c>
      <c r="P58" s="3">
        <v>0.10088422470264569</v>
      </c>
      <c r="Q58" s="12">
        <f t="shared" si="4"/>
        <v>0.12238241206030151</v>
      </c>
      <c r="R58" s="4">
        <v>0.27200000000000002</v>
      </c>
      <c r="S58" s="4">
        <v>0.27200000000000002</v>
      </c>
      <c r="T58">
        <v>82</v>
      </c>
      <c r="U58">
        <v>465.25</v>
      </c>
      <c r="V58">
        <v>13.79</v>
      </c>
      <c r="W58">
        <v>33.96</v>
      </c>
      <c r="X58" s="5">
        <f t="shared" si="7"/>
        <v>13.699941107184923</v>
      </c>
      <c r="Y58">
        <v>104.79843456111482</v>
      </c>
      <c r="Z58" s="11">
        <f t="shared" si="8"/>
        <v>443.9474711129223</v>
      </c>
      <c r="AA58" s="11">
        <f t="shared" si="9"/>
        <v>13.15859350165975</v>
      </c>
      <c r="AB58" s="11">
        <f t="shared" si="10"/>
        <v>32.405064199881444</v>
      </c>
      <c r="AC58" s="13">
        <f t="shared" si="12"/>
        <v>9.172877552532344E-3</v>
      </c>
      <c r="AD58" s="3">
        <v>0.14505241942746389</v>
      </c>
      <c r="AE58" s="14">
        <v>0.16808545911210554</v>
      </c>
      <c r="AF58" s="10">
        <v>7.8777192542609828E-2</v>
      </c>
      <c r="AG58">
        <v>7.5999999999999998E-2</v>
      </c>
      <c r="AH58" s="17">
        <f t="shared" si="11"/>
        <v>489.01197237533631</v>
      </c>
      <c r="AI58" s="17">
        <f t="shared" si="6"/>
        <v>489.22154903807143</v>
      </c>
      <c r="AJ58" s="3">
        <v>563.5397663101088</v>
      </c>
      <c r="AK58" s="2">
        <v>150.30000000000001</v>
      </c>
      <c r="AL58" s="5">
        <v>444.15326101945135</v>
      </c>
      <c r="AM58" s="16">
        <f t="shared" si="5"/>
        <v>423.81669428510077</v>
      </c>
      <c r="AN58" s="15">
        <f t="shared" si="18"/>
        <v>-0.13587954187493154</v>
      </c>
      <c r="AO58" s="15">
        <f t="shared" si="18"/>
        <v>-2.3033039684641654E-2</v>
      </c>
      <c r="AP58" s="2"/>
      <c r="AQ58" s="2"/>
      <c r="AR58" s="2"/>
      <c r="AS58" s="2"/>
    </row>
    <row r="59" spans="1:45" x14ac:dyDescent="0.25">
      <c r="A59">
        <v>1996</v>
      </c>
      <c r="B59" s="2">
        <v>5.0199999999999996</v>
      </c>
      <c r="C59" s="2">
        <v>5.3</v>
      </c>
      <c r="D59" s="6">
        <f t="shared" si="14"/>
        <v>1.0557768924302788</v>
      </c>
      <c r="E59" s="2">
        <v>5.39</v>
      </c>
      <c r="F59" s="5">
        <f t="shared" si="16"/>
        <v>1.0737051792828685</v>
      </c>
      <c r="G59">
        <v>5.0199999999999996</v>
      </c>
      <c r="H59" s="8">
        <f t="shared" si="17"/>
        <v>0.93135435992578852</v>
      </c>
      <c r="I59" s="2">
        <v>5.75</v>
      </c>
      <c r="J59" s="2">
        <v>7.37</v>
      </c>
      <c r="K59" s="6">
        <f t="shared" si="0"/>
        <v>1.1454183266932272</v>
      </c>
      <c r="L59" s="6">
        <f t="shared" si="1"/>
        <v>1.4681274900398409</v>
      </c>
      <c r="M59" s="6">
        <f t="shared" si="2"/>
        <v>0.78018995929443691</v>
      </c>
      <c r="N59" s="3">
        <v>8.2699999999999996E-2</v>
      </c>
      <c r="O59" s="5">
        <f t="shared" si="3"/>
        <v>8.27</v>
      </c>
      <c r="P59" s="3">
        <v>0.10846857867589456</v>
      </c>
      <c r="Q59" s="12">
        <f t="shared" si="4"/>
        <v>0.10268550724637679</v>
      </c>
      <c r="R59" s="4">
        <v>1.3999999999999999E-2</v>
      </c>
      <c r="S59" s="4">
        <v>1.3999999999999999E-2</v>
      </c>
      <c r="T59">
        <v>80</v>
      </c>
      <c r="U59">
        <v>614.41999999999996</v>
      </c>
      <c r="V59">
        <v>14.9</v>
      </c>
      <c r="W59">
        <v>38.729999999999997</v>
      </c>
      <c r="X59" s="5">
        <f t="shared" si="7"/>
        <v>15.864187967983476</v>
      </c>
      <c r="Y59">
        <v>103.11019505475652</v>
      </c>
      <c r="Z59" s="11">
        <f t="shared" si="8"/>
        <v>595.88675947486388</v>
      </c>
      <c r="AA59" s="11">
        <f t="shared" si="9"/>
        <v>14.450559415669204</v>
      </c>
      <c r="AB59" s="11">
        <f t="shared" si="10"/>
        <v>37.561756118715991</v>
      </c>
      <c r="AC59" s="13">
        <f t="shared" si="12"/>
        <v>0.3747962509179108</v>
      </c>
      <c r="AD59" s="3">
        <v>0.23496825570050367</v>
      </c>
      <c r="AE59" s="14">
        <v>0.18545162094671924</v>
      </c>
      <c r="AF59" s="10">
        <v>8.2997810858158494E-2</v>
      </c>
      <c r="AG59">
        <v>7.5999999999999998E-2</v>
      </c>
      <c r="AH59" s="17">
        <f t="shared" si="11"/>
        <v>589.46370312536283</v>
      </c>
      <c r="AI59" s="17">
        <f t="shared" si="6"/>
        <v>589.72252365097631</v>
      </c>
      <c r="AJ59" s="3">
        <v>578.4329909533343</v>
      </c>
      <c r="AK59" s="2">
        <v>154.4</v>
      </c>
      <c r="AL59" s="5">
        <v>468.32749765702584</v>
      </c>
      <c r="AM59" s="16">
        <f t="shared" si="5"/>
        <v>454.20096180433097</v>
      </c>
      <c r="AN59" s="15">
        <f t="shared" si="18"/>
        <v>0.13982799521740713</v>
      </c>
      <c r="AO59" s="15">
        <f t="shared" si="18"/>
        <v>4.9516634753784428E-2</v>
      </c>
      <c r="AP59" s="2"/>
      <c r="AQ59" s="2"/>
      <c r="AR59" s="2"/>
      <c r="AS59" s="2"/>
    </row>
    <row r="60" spans="1:45" x14ac:dyDescent="0.25">
      <c r="A60">
        <v>1997</v>
      </c>
      <c r="B60" s="2">
        <v>5</v>
      </c>
      <c r="C60" s="2">
        <v>5.46</v>
      </c>
      <c r="D60" s="6">
        <f t="shared" si="14"/>
        <v>1.0920000000000001</v>
      </c>
      <c r="E60" s="2">
        <v>5.62</v>
      </c>
      <c r="F60" s="5">
        <f t="shared" si="16"/>
        <v>1.1240000000000001</v>
      </c>
      <c r="G60">
        <v>5.07</v>
      </c>
      <c r="H60" s="8">
        <f t="shared" si="17"/>
        <v>0.90213523131672602</v>
      </c>
      <c r="I60" s="2">
        <v>5.55</v>
      </c>
      <c r="J60" s="2">
        <v>7.26</v>
      </c>
      <c r="K60" s="6">
        <f t="shared" si="0"/>
        <v>1.1099999999999999</v>
      </c>
      <c r="L60" s="6">
        <f t="shared" si="1"/>
        <v>1.452</v>
      </c>
      <c r="M60" s="6">
        <f t="shared" si="2"/>
        <v>0.76446280991735538</v>
      </c>
      <c r="N60" s="3">
        <v>8.4399999999999989E-2</v>
      </c>
      <c r="O60" s="5">
        <f t="shared" si="3"/>
        <v>8.44</v>
      </c>
      <c r="P60" s="3">
        <v>0.11480490039290903</v>
      </c>
      <c r="Q60" s="12">
        <f t="shared" si="4"/>
        <v>8.7525373134328399E-2</v>
      </c>
      <c r="R60" s="4">
        <v>0.1295</v>
      </c>
      <c r="S60" s="4">
        <v>0.1295</v>
      </c>
      <c r="T60">
        <v>88</v>
      </c>
      <c r="U60">
        <v>766.22</v>
      </c>
      <c r="V60">
        <v>15.5</v>
      </c>
      <c r="W60">
        <v>39.72</v>
      </c>
      <c r="X60" s="5">
        <f t="shared" si="7"/>
        <v>19.290533736153073</v>
      </c>
      <c r="Y60">
        <v>101.36898458895945</v>
      </c>
      <c r="Z60" s="11">
        <f t="shared" si="8"/>
        <v>755.87222571769985</v>
      </c>
      <c r="AA60" s="11">
        <f t="shared" si="9"/>
        <v>15.290673042499998</v>
      </c>
      <c r="AB60" s="11">
        <f t="shared" si="10"/>
        <v>39.183582790199992</v>
      </c>
      <c r="AC60" s="13">
        <f t="shared" si="12"/>
        <v>0.2941433695217549</v>
      </c>
      <c r="AD60" s="3">
        <v>0.17648785889732291</v>
      </c>
      <c r="AE60" s="14">
        <v>0.18409659262224404</v>
      </c>
      <c r="AF60" s="10">
        <v>8.6039875264558766E-2</v>
      </c>
      <c r="AG60">
        <v>7.5999999999999998E-2</v>
      </c>
      <c r="AH60" s="17">
        <f t="shared" si="11"/>
        <v>678.20621694514534</v>
      </c>
      <c r="AI60" s="17">
        <f t="shared" si="6"/>
        <v>678.51071615116302</v>
      </c>
      <c r="AJ60" s="3">
        <v>593.23458621728059</v>
      </c>
      <c r="AK60" s="2">
        <v>159.1</v>
      </c>
      <c r="AL60" s="5">
        <v>494.93247334645702</v>
      </c>
      <c r="AM60" s="16">
        <f t="shared" si="5"/>
        <v>488.24842761654963</v>
      </c>
      <c r="AN60" s="15">
        <f t="shared" si="18"/>
        <v>0.117655510624432</v>
      </c>
      <c r="AO60" s="15">
        <f t="shared" si="18"/>
        <v>-7.6087337249211295E-3</v>
      </c>
      <c r="AP60" s="2"/>
      <c r="AQ60" s="2"/>
      <c r="AR60" s="2"/>
      <c r="AS60" s="2"/>
    </row>
    <row r="61" spans="1:45" x14ac:dyDescent="0.25">
      <c r="A61">
        <v>1998</v>
      </c>
      <c r="B61" s="2">
        <v>4.92</v>
      </c>
      <c r="C61" s="2">
        <v>5.35</v>
      </c>
      <c r="D61" s="6">
        <f t="shared" si="14"/>
        <v>1.0873983739837398</v>
      </c>
      <c r="E61" s="2">
        <v>5.47</v>
      </c>
      <c r="F61" s="5">
        <f t="shared" si="16"/>
        <v>1.1117886178861789</v>
      </c>
      <c r="G61">
        <v>4.8099999999999996</v>
      </c>
      <c r="H61" s="8">
        <f t="shared" si="17"/>
        <v>0.87934186471663611</v>
      </c>
      <c r="I61" s="2">
        <v>5.12</v>
      </c>
      <c r="J61" s="2">
        <v>6.53</v>
      </c>
      <c r="K61" s="6">
        <f t="shared" si="0"/>
        <v>1.0406504065040652</v>
      </c>
      <c r="L61" s="6">
        <f t="shared" si="1"/>
        <v>1.3272357723577237</v>
      </c>
      <c r="M61" s="6">
        <f t="shared" si="2"/>
        <v>0.78407350689127109</v>
      </c>
      <c r="N61" s="3">
        <v>8.3499999999999991E-2</v>
      </c>
      <c r="O61" s="5">
        <f t="shared" si="3"/>
        <v>8.35</v>
      </c>
      <c r="P61" s="3">
        <v>0.10012358173491831</v>
      </c>
      <c r="Q61" s="12">
        <f t="shared" si="4"/>
        <v>0.16585096418732775</v>
      </c>
      <c r="R61" s="4">
        <v>0.1076</v>
      </c>
      <c r="S61" s="4">
        <v>0.1076</v>
      </c>
      <c r="U61">
        <v>963.36</v>
      </c>
      <c r="V61">
        <v>16.2</v>
      </c>
      <c r="W61">
        <v>37.700000000000003</v>
      </c>
      <c r="X61" s="5">
        <f t="shared" si="7"/>
        <v>25.553315649867372</v>
      </c>
      <c r="Y61">
        <v>98.741328975213762</v>
      </c>
      <c r="Z61" s="11">
        <f t="shared" si="8"/>
        <v>975.6400992352701</v>
      </c>
      <c r="AA61" s="11">
        <f t="shared" si="9"/>
        <v>16.406503910907009</v>
      </c>
      <c r="AB61" s="11">
        <f t="shared" si="10"/>
        <v>38.180567743283596</v>
      </c>
      <c r="AC61" s="13">
        <f t="shared" si="12"/>
        <v>0.3124527789127719</v>
      </c>
      <c r="AD61" s="3">
        <v>6.0699689047568624E-2</v>
      </c>
      <c r="AE61" s="14">
        <v>5.1045063440246126E-3</v>
      </c>
      <c r="AF61" s="10">
        <v>7.9379445982251703E-2</v>
      </c>
      <c r="AG61">
        <v>7.5999999999999998E-2</v>
      </c>
      <c r="AH61" s="17">
        <f t="shared" si="11"/>
        <v>702.96661951293652</v>
      </c>
      <c r="AI61" s="17">
        <f t="shared" si="6"/>
        <v>703.28960172607481</v>
      </c>
      <c r="AJ61" s="3">
        <v>608.44742587714609</v>
      </c>
      <c r="AK61" s="2">
        <v>161.6</v>
      </c>
      <c r="AL61" s="5">
        <v>515.60096498031896</v>
      </c>
      <c r="AM61" s="16">
        <f t="shared" si="5"/>
        <v>522.17341039611301</v>
      </c>
      <c r="AN61" s="15">
        <f t="shared" si="18"/>
        <v>0.25175308986520328</v>
      </c>
      <c r="AO61" s="15">
        <f t="shared" si="18"/>
        <v>5.5595182703544008E-2</v>
      </c>
      <c r="AP61" s="2"/>
      <c r="AQ61" s="2"/>
      <c r="AR61" s="2"/>
      <c r="AS61" s="2"/>
    </row>
    <row r="62" spans="1:45" x14ac:dyDescent="0.25">
      <c r="A62">
        <v>1999</v>
      </c>
      <c r="B62" s="2">
        <v>4.62</v>
      </c>
      <c r="C62" s="2">
        <v>4.97</v>
      </c>
      <c r="D62" s="6">
        <f t="shared" si="14"/>
        <v>1.0757575757575757</v>
      </c>
      <c r="E62" s="2">
        <v>5.33</v>
      </c>
      <c r="F62" s="5">
        <f t="shared" si="16"/>
        <v>1.1536796536796536</v>
      </c>
      <c r="G62">
        <v>4.66</v>
      </c>
      <c r="H62" s="8">
        <f t="shared" si="17"/>
        <v>0.87429643527204504</v>
      </c>
      <c r="I62" s="2">
        <v>5.43</v>
      </c>
      <c r="J62" s="2">
        <v>7.04</v>
      </c>
      <c r="K62" s="6">
        <f t="shared" si="0"/>
        <v>1.1753246753246753</v>
      </c>
      <c r="L62" s="6">
        <f t="shared" si="1"/>
        <v>1.5238095238095237</v>
      </c>
      <c r="M62" s="6">
        <f t="shared" si="2"/>
        <v>0.77130681818181812</v>
      </c>
      <c r="N62" s="3">
        <v>0.08</v>
      </c>
      <c r="O62" s="5">
        <f t="shared" si="3"/>
        <v>8</v>
      </c>
      <c r="P62" s="3">
        <v>9.855717572234457E-2</v>
      </c>
      <c r="Q62" s="12">
        <f t="shared" si="4"/>
        <v>-7.7010719754976587E-3</v>
      </c>
      <c r="R62" s="4">
        <v>-7.4499999999999997E-2</v>
      </c>
      <c r="S62" s="4">
        <v>-7.4499999999999997E-2</v>
      </c>
      <c r="U62">
        <v>1248.77</v>
      </c>
      <c r="V62">
        <v>16.690000000000001</v>
      </c>
      <c r="W62">
        <v>48.17</v>
      </c>
      <c r="X62" s="5">
        <f t="shared" si="7"/>
        <v>25.924226697114385</v>
      </c>
      <c r="Y62">
        <v>97.207327873177618</v>
      </c>
      <c r="Z62" s="11">
        <f t="shared" si="8"/>
        <v>1284.6459493560183</v>
      </c>
      <c r="AA62" s="11">
        <f t="shared" si="9"/>
        <v>17.169487491493189</v>
      </c>
      <c r="AB62" s="11">
        <f t="shared" si="10"/>
        <v>49.553877319666071</v>
      </c>
      <c r="AC62" s="13">
        <f t="shared" si="12"/>
        <v>0.33431932314785479</v>
      </c>
      <c r="AD62" s="3">
        <v>0.12254337168588664</v>
      </c>
      <c r="AE62" s="14">
        <v>0.10660968736549342</v>
      </c>
      <c r="AF62" s="10">
        <v>7.8757840598749601E-2</v>
      </c>
      <c r="AG62">
        <v>7.5999999999999998E-2</v>
      </c>
      <c r="AH62" s="17">
        <f t="shared" si="11"/>
        <v>771.94103175918826</v>
      </c>
      <c r="AI62" s="17">
        <f t="shared" si="6"/>
        <v>772.30359330171916</v>
      </c>
      <c r="AJ62" s="3">
        <v>623.99527697946212</v>
      </c>
      <c r="AK62" s="2">
        <v>164.3</v>
      </c>
      <c r="AL62" s="5">
        <v>537.61103307669453</v>
      </c>
      <c r="AM62" s="16">
        <f t="shared" si="5"/>
        <v>553.05607595560434</v>
      </c>
      <c r="AN62" s="15">
        <f t="shared" si="18"/>
        <v>0.21177595146196815</v>
      </c>
      <c r="AO62" s="15">
        <f t="shared" si="18"/>
        <v>1.5933684320393215E-2</v>
      </c>
      <c r="AP62" s="2"/>
      <c r="AQ62" s="2"/>
      <c r="AR62" s="2"/>
      <c r="AS62" s="2"/>
    </row>
    <row r="63" spans="1:45" x14ac:dyDescent="0.25">
      <c r="A63">
        <v>2000</v>
      </c>
      <c r="B63" s="2">
        <v>5.73</v>
      </c>
      <c r="C63" s="2">
        <v>6.24</v>
      </c>
      <c r="D63" s="6">
        <f t="shared" si="14"/>
        <v>1.0890052356020943</v>
      </c>
      <c r="E63" s="2">
        <v>6.46</v>
      </c>
      <c r="F63" s="5">
        <f t="shared" si="16"/>
        <v>1.1273996509598603</v>
      </c>
      <c r="G63">
        <v>5.85</v>
      </c>
      <c r="H63" s="8">
        <f t="shared" si="17"/>
        <v>0.90557275541795657</v>
      </c>
      <c r="I63" s="2">
        <v>5.77</v>
      </c>
      <c r="J63" s="2">
        <v>7.62</v>
      </c>
      <c r="K63" s="6">
        <f t="shared" si="0"/>
        <v>1.0069808027923211</v>
      </c>
      <c r="L63" s="6">
        <f t="shared" si="1"/>
        <v>1.3298429319371727</v>
      </c>
      <c r="M63" s="6">
        <f t="shared" si="2"/>
        <v>0.75721784776902878</v>
      </c>
      <c r="N63" s="3">
        <v>9.2300000000000007E-2</v>
      </c>
      <c r="O63" s="5">
        <f t="shared" si="3"/>
        <v>9.23</v>
      </c>
      <c r="P63" s="3">
        <v>8.5950375632268428E-2</v>
      </c>
      <c r="Q63" s="12">
        <f t="shared" si="4"/>
        <v>-6.1863636363636426E-3</v>
      </c>
      <c r="R63" s="4">
        <v>0.12869999999999998</v>
      </c>
      <c r="S63" s="4">
        <v>0.12869999999999998</v>
      </c>
      <c r="U63">
        <v>1425.59</v>
      </c>
      <c r="V63">
        <v>16.27</v>
      </c>
      <c r="W63">
        <v>50</v>
      </c>
      <c r="X63" s="5">
        <f t="shared" si="7"/>
        <v>28.511799999999997</v>
      </c>
      <c r="Y63">
        <v>97.14211528657755</v>
      </c>
      <c r="Z63" s="11">
        <f t="shared" si="8"/>
        <v>1467.530324817807</v>
      </c>
      <c r="AA63" s="11">
        <f t="shared" si="9"/>
        <v>16.748657317170938</v>
      </c>
      <c r="AB63" s="11">
        <f t="shared" si="10"/>
        <v>51.470981306610135</v>
      </c>
      <c r="AC63" s="13">
        <f t="shared" si="12"/>
        <v>0.15539926224734057</v>
      </c>
      <c r="AD63" s="3">
        <v>4.926210833552673E-2</v>
      </c>
      <c r="AE63" s="14">
        <v>-3.2652472296094965E-3</v>
      </c>
      <c r="AF63" s="10">
        <v>7.3755049062107308E-2</v>
      </c>
      <c r="AG63">
        <v>7.5999999999999998E-2</v>
      </c>
      <c r="AH63" s="17">
        <f t="shared" si="11"/>
        <v>793.21981717717676</v>
      </c>
      <c r="AI63" s="17">
        <f t="shared" si="6"/>
        <v>793.60023926569409</v>
      </c>
      <c r="AJ63" s="3">
        <v>640.49123593578793</v>
      </c>
      <c r="AK63" s="2">
        <v>168.8</v>
      </c>
      <c r="AL63" s="5">
        <v>566.93718209733095</v>
      </c>
      <c r="AM63" s="16">
        <f t="shared" si="5"/>
        <v>583.61626203507899</v>
      </c>
      <c r="AN63" s="15">
        <f t="shared" si="18"/>
        <v>0.10613715391181384</v>
      </c>
      <c r="AO63" s="15">
        <f t="shared" si="18"/>
        <v>5.2527355565136227E-2</v>
      </c>
      <c r="AP63" s="2"/>
      <c r="AQ63" s="2"/>
      <c r="AR63" s="2"/>
      <c r="AS63" s="2"/>
    </row>
    <row r="64" spans="1:45" x14ac:dyDescent="0.25">
      <c r="A64">
        <v>2001</v>
      </c>
      <c r="B64" s="2">
        <v>3.4</v>
      </c>
      <c r="C64" s="2">
        <v>3.88</v>
      </c>
      <c r="D64" s="6">
        <f t="shared" si="14"/>
        <v>1.1411764705882352</v>
      </c>
      <c r="E64" s="2">
        <v>3.71</v>
      </c>
      <c r="F64" s="5">
        <f t="shared" si="16"/>
        <v>1.0911764705882354</v>
      </c>
      <c r="G64">
        <v>3.44</v>
      </c>
      <c r="H64" s="8">
        <f t="shared" si="17"/>
        <v>0.92722371967654982</v>
      </c>
      <c r="I64" s="2">
        <v>5.19</v>
      </c>
      <c r="J64" s="2">
        <v>7.08</v>
      </c>
      <c r="K64" s="6">
        <f t="shared" si="0"/>
        <v>1.5264705882352942</v>
      </c>
      <c r="L64" s="6">
        <f t="shared" si="1"/>
        <v>2.0823529411764707</v>
      </c>
      <c r="M64" s="6">
        <f t="shared" si="2"/>
        <v>0.73305084745762716</v>
      </c>
      <c r="N64" s="3">
        <v>6.9099999999999995E-2</v>
      </c>
      <c r="O64" s="5">
        <f t="shared" si="3"/>
        <v>6.9099999999999993</v>
      </c>
      <c r="P64" s="3">
        <v>7.5123674611742963E-2</v>
      </c>
      <c r="Q64" s="12">
        <f t="shared" si="4"/>
        <v>0.14166614173228348</v>
      </c>
      <c r="R64" s="4">
        <v>0.1065</v>
      </c>
      <c r="S64" s="4">
        <v>0.1065</v>
      </c>
      <c r="U64">
        <v>1330.93</v>
      </c>
      <c r="V64">
        <v>15.74</v>
      </c>
      <c r="W64">
        <v>24.69</v>
      </c>
      <c r="X64" s="5">
        <f t="shared" si="7"/>
        <v>53.905629809639528</v>
      </c>
      <c r="Y64">
        <v>96.71208367018076</v>
      </c>
      <c r="Z64" s="11">
        <f t="shared" si="8"/>
        <v>1376.1775669510941</v>
      </c>
      <c r="AA64" s="11">
        <f t="shared" si="9"/>
        <v>16.275112067359082</v>
      </c>
      <c r="AB64" s="11">
        <f t="shared" si="10"/>
        <v>25.529384812140769</v>
      </c>
      <c r="AC64" s="13">
        <f t="shared" si="12"/>
        <v>-5.1159178471269148E-2</v>
      </c>
      <c r="AD64" s="3">
        <v>8.1704566531175665E-3</v>
      </c>
      <c r="AE64" s="14">
        <v>-9.7739931485343948E-3</v>
      </c>
      <c r="AF64" s="10">
        <v>6.5929291387084796E-2</v>
      </c>
      <c r="AG64">
        <v>7.5999999999999998E-2</v>
      </c>
      <c r="AH64" s="17">
        <f t="shared" si="11"/>
        <v>783.42567324245772</v>
      </c>
      <c r="AI64" s="17">
        <f t="shared" si="6"/>
        <v>783.80920355315914</v>
      </c>
      <c r="AJ64" s="3">
        <v>659.52564794415048</v>
      </c>
      <c r="AK64" s="2">
        <v>175.1</v>
      </c>
      <c r="AL64" s="5">
        <v>605.57389069229555</v>
      </c>
      <c r="AM64" s="16">
        <f t="shared" si="5"/>
        <v>626.16155883632575</v>
      </c>
      <c r="AN64" s="15">
        <f t="shared" si="18"/>
        <v>-5.9329635124386715E-2</v>
      </c>
      <c r="AO64" s="15">
        <f t="shared" si="18"/>
        <v>1.7944449801651961E-2</v>
      </c>
      <c r="AP64" s="2"/>
      <c r="AQ64" s="2"/>
      <c r="AR64" s="2"/>
      <c r="AS64" s="2"/>
    </row>
    <row r="65" spans="1:45" x14ac:dyDescent="0.25">
      <c r="A65">
        <v>2002</v>
      </c>
      <c r="B65" s="2">
        <v>1.17</v>
      </c>
      <c r="C65" s="2">
        <v>1.67</v>
      </c>
      <c r="D65" s="6">
        <f t="shared" si="14"/>
        <v>1.4273504273504274</v>
      </c>
      <c r="E65" s="2">
        <v>1.73</v>
      </c>
      <c r="F65" s="5">
        <f t="shared" si="16"/>
        <v>1.4786324786324787</v>
      </c>
      <c r="G65">
        <v>1.62</v>
      </c>
      <c r="H65" s="8">
        <f t="shared" si="17"/>
        <v>0.93641618497109835</v>
      </c>
      <c r="I65" s="2">
        <v>5.05</v>
      </c>
      <c r="J65" s="2">
        <v>6.49</v>
      </c>
      <c r="K65" s="6">
        <f t="shared" si="0"/>
        <v>4.316239316239316</v>
      </c>
      <c r="L65" s="6">
        <f t="shared" si="1"/>
        <v>5.5470085470085477</v>
      </c>
      <c r="M65" s="6">
        <f t="shared" si="2"/>
        <v>0.77812018489984591</v>
      </c>
      <c r="N65" s="3">
        <v>4.6699999999999998E-2</v>
      </c>
      <c r="O65" s="5">
        <f t="shared" si="3"/>
        <v>4.67</v>
      </c>
      <c r="P65" s="3">
        <v>8.3372500210265807E-2</v>
      </c>
      <c r="Q65" s="12">
        <f t="shared" si="4"/>
        <v>0.14823333333333333</v>
      </c>
      <c r="R65" s="4">
        <v>0.16329999999999997</v>
      </c>
      <c r="S65" s="4">
        <v>0.16329999999999997</v>
      </c>
      <c r="U65">
        <v>1140.21</v>
      </c>
      <c r="V65">
        <v>16.07</v>
      </c>
      <c r="W65">
        <v>27.59</v>
      </c>
      <c r="X65" s="5">
        <f t="shared" si="7"/>
        <v>41.326930047118523</v>
      </c>
      <c r="Y65">
        <v>96.299909623225702</v>
      </c>
      <c r="Z65" s="11">
        <f t="shared" si="8"/>
        <v>1184.0198027818326</v>
      </c>
      <c r="AA65" s="11">
        <f t="shared" si="9"/>
        <v>16.687450759688172</v>
      </c>
      <c r="AB65" s="11">
        <f t="shared" si="10"/>
        <v>28.650078808948141</v>
      </c>
      <c r="AC65" s="13">
        <f t="shared" si="12"/>
        <v>-0.12750557604156118</v>
      </c>
      <c r="AD65" s="3">
        <v>7.7220454033274086E-2</v>
      </c>
      <c r="AE65" s="14">
        <v>0.13135460983773486</v>
      </c>
      <c r="AF65" s="10">
        <v>6.5520678888437919E-2</v>
      </c>
      <c r="AG65">
        <v>7.5999999999999998E-2</v>
      </c>
      <c r="AH65" s="17">
        <f t="shared" si="11"/>
        <v>827.23470867187552</v>
      </c>
      <c r="AI65" s="17">
        <f t="shared" si="6"/>
        <v>827.64785536730483</v>
      </c>
      <c r="AJ65" s="3">
        <v>680.7947324208302</v>
      </c>
      <c r="AK65" s="2">
        <v>177.1</v>
      </c>
      <c r="AL65" s="5">
        <v>632.24303676837462</v>
      </c>
      <c r="AM65" s="16">
        <f t="shared" si="5"/>
        <v>656.53544145786987</v>
      </c>
      <c r="AN65" s="15">
        <f t="shared" si="18"/>
        <v>-0.20472603007483525</v>
      </c>
      <c r="AO65" s="15">
        <f t="shared" si="18"/>
        <v>-5.4134155804460779E-2</v>
      </c>
      <c r="AP65" s="2"/>
      <c r="AQ65" s="2"/>
      <c r="AR65" s="2"/>
      <c r="AS65" s="2"/>
    </row>
    <row r="66" spans="1:45" x14ac:dyDescent="0.25">
      <c r="A66">
        <v>2003</v>
      </c>
      <c r="B66" s="2">
        <v>2.12</v>
      </c>
      <c r="C66" s="2">
        <v>1.1299999999999999</v>
      </c>
      <c r="D66" s="6">
        <f t="shared" si="14"/>
        <v>0.53301886792452824</v>
      </c>
      <c r="E66" s="2">
        <v>1.1499999999999999</v>
      </c>
      <c r="F66" s="5">
        <f t="shared" si="16"/>
        <v>0.54245283018867918</v>
      </c>
      <c r="G66">
        <v>1.01</v>
      </c>
      <c r="H66" s="8">
        <f t="shared" si="17"/>
        <v>0.87826086956521743</v>
      </c>
      <c r="I66" s="2">
        <v>4.7300000000000004</v>
      </c>
      <c r="J66" s="2">
        <v>5.67</v>
      </c>
      <c r="K66" s="6">
        <f t="shared" si="0"/>
        <v>2.2311320754716983</v>
      </c>
      <c r="L66" s="6">
        <f t="shared" si="1"/>
        <v>2.6745283018867925</v>
      </c>
      <c r="M66" s="6">
        <f t="shared" si="2"/>
        <v>0.834215167548501</v>
      </c>
      <c r="N66" s="3">
        <v>4.1200000000000001E-2</v>
      </c>
      <c r="O66" s="5">
        <f t="shared" si="3"/>
        <v>4.12</v>
      </c>
      <c r="P66" s="3">
        <v>9.1502499780894489E-2</v>
      </c>
      <c r="Q66" s="12">
        <f t="shared" si="4"/>
        <v>0.18304822804314333</v>
      </c>
      <c r="R66" s="4">
        <v>5.2699999999999997E-2</v>
      </c>
      <c r="S66" s="4">
        <v>5.2699999999999997E-2</v>
      </c>
      <c r="U66">
        <v>895.84</v>
      </c>
      <c r="V66">
        <v>17.39</v>
      </c>
      <c r="W66">
        <v>48.74</v>
      </c>
      <c r="X66" s="5">
        <f t="shared" si="7"/>
        <v>18.379975379565039</v>
      </c>
      <c r="Y66">
        <v>96.103318425385979</v>
      </c>
      <c r="Z66" s="11">
        <f t="shared" si="8"/>
        <v>932.16344105279222</v>
      </c>
      <c r="AA66" s="11">
        <f t="shared" si="9"/>
        <v>18.095108769320476</v>
      </c>
      <c r="AB66" s="11">
        <f t="shared" si="10"/>
        <v>50.716250800269123</v>
      </c>
      <c r="AC66" s="13">
        <f t="shared" si="12"/>
        <v>-0.19743018859186492</v>
      </c>
      <c r="AD66" s="3">
        <v>9.976838279811491E-2</v>
      </c>
      <c r="AE66" s="14">
        <v>0.13550186269688771</v>
      </c>
      <c r="AF66" s="10">
        <v>6.7129641638587478E-2</v>
      </c>
      <c r="AG66">
        <v>7.5999999999999998E-2</v>
      </c>
      <c r="AH66" s="17">
        <f t="shared" si="11"/>
        <v>891.67146898121769</v>
      </c>
      <c r="AI66" s="17">
        <f t="shared" si="6"/>
        <v>892.12583465430839</v>
      </c>
      <c r="AJ66" s="3">
        <v>703.55928578895441</v>
      </c>
      <c r="AK66" s="2">
        <v>181.7</v>
      </c>
      <c r="AL66" s="5">
        <v>670.35512442502898</v>
      </c>
      <c r="AM66" s="16">
        <f t="shared" si="5"/>
        <v>697.53587639690977</v>
      </c>
      <c r="AN66" s="15">
        <f t="shared" si="18"/>
        <v>-0.29719857138997985</v>
      </c>
      <c r="AO66" s="15">
        <f t="shared" si="18"/>
        <v>-3.5733479898772805E-2</v>
      </c>
      <c r="AP66" s="2"/>
      <c r="AQ66" s="2"/>
      <c r="AR66" s="2"/>
      <c r="AS66" s="2"/>
    </row>
    <row r="67" spans="1:45" x14ac:dyDescent="0.25">
      <c r="A67">
        <v>2004</v>
      </c>
      <c r="B67" s="2">
        <v>2.34</v>
      </c>
      <c r="C67" s="2">
        <v>1.35</v>
      </c>
      <c r="D67" s="6">
        <f t="shared" si="14"/>
        <v>0.57692307692307698</v>
      </c>
      <c r="E67" s="2">
        <v>1.57</v>
      </c>
      <c r="F67" s="5">
        <f t="shared" si="16"/>
        <v>0.670940170940171</v>
      </c>
      <c r="G67">
        <v>1.38</v>
      </c>
      <c r="H67" s="8">
        <f t="shared" si="17"/>
        <v>0.87898089171974514</v>
      </c>
      <c r="I67" s="2">
        <v>4.63</v>
      </c>
      <c r="J67" s="2">
        <v>5.63</v>
      </c>
      <c r="K67" s="6">
        <f t="shared" si="0"/>
        <v>1.9786324786324787</v>
      </c>
      <c r="L67" s="6">
        <f t="shared" si="1"/>
        <v>2.4059829059829059</v>
      </c>
      <c r="M67" s="6">
        <f t="shared" si="2"/>
        <v>0.82238010657193605</v>
      </c>
      <c r="N67" s="3">
        <v>4.3400000000000001E-2</v>
      </c>
      <c r="O67" s="5">
        <f t="shared" si="3"/>
        <v>4.34</v>
      </c>
      <c r="P67" s="3">
        <v>0.11473666441043635</v>
      </c>
      <c r="Q67" s="4"/>
      <c r="R67" s="4"/>
      <c r="S67" s="4"/>
      <c r="U67">
        <v>1080.6400000000001</v>
      </c>
      <c r="V67">
        <v>19.440000000000001</v>
      </c>
      <c r="W67">
        <v>58.55</v>
      </c>
      <c r="X67" s="5">
        <f t="shared" si="7"/>
        <v>18.45670367207515</v>
      </c>
      <c r="Y67">
        <v>97.21161957365193</v>
      </c>
      <c r="Z67" s="11">
        <f t="shared" si="8"/>
        <v>1111.6366590120003</v>
      </c>
      <c r="AA67" s="11">
        <f t="shared" si="9"/>
        <v>19.997609427000008</v>
      </c>
      <c r="AB67" s="11">
        <f t="shared" si="10"/>
        <v>60.229425511875014</v>
      </c>
      <c r="AC67" s="13">
        <f t="shared" si="12"/>
        <v>0.21398696687881721</v>
      </c>
      <c r="AD67" s="3">
        <v>0.23399438615982346</v>
      </c>
      <c r="AE67" s="14">
        <v>0.27322865757583392</v>
      </c>
      <c r="AF67" s="10">
        <v>7.75171954142376E-2</v>
      </c>
      <c r="AG67">
        <v>7.5999999999999998E-2</v>
      </c>
      <c r="AH67" s="17">
        <f t="shared" si="11"/>
        <v>1080.3199775947057</v>
      </c>
      <c r="AI67" s="17">
        <f t="shared" si="6"/>
        <v>1080.8806622845634</v>
      </c>
      <c r="AJ67" s="3">
        <v>726.47208027659781</v>
      </c>
      <c r="AK67" s="2">
        <v>185.2</v>
      </c>
      <c r="AL67" s="5">
        <v>705.51981786694239</v>
      </c>
      <c r="AM67" s="16">
        <f t="shared" si="5"/>
        <v>725.75667493370838</v>
      </c>
      <c r="AN67" s="15">
        <f t="shared" si="18"/>
        <v>-2.0007419281006245E-2</v>
      </c>
      <c r="AO67" s="15">
        <f t="shared" si="18"/>
        <v>-3.9234271416010463E-2</v>
      </c>
      <c r="AP67" s="2"/>
      <c r="AQ67" s="2"/>
      <c r="AR67" s="2"/>
      <c r="AS67" s="2"/>
    </row>
    <row r="68" spans="1:45" x14ac:dyDescent="0.25">
      <c r="A68">
        <v>2005</v>
      </c>
      <c r="B68" s="2">
        <v>4.1900000000000004</v>
      </c>
      <c r="C68" s="2">
        <v>3.22</v>
      </c>
      <c r="D68" s="6">
        <f t="shared" si="14"/>
        <v>0.76849642004773266</v>
      </c>
      <c r="E68" s="2">
        <v>3.51</v>
      </c>
      <c r="F68" s="5">
        <f t="shared" si="16"/>
        <v>0.83770883054892586</v>
      </c>
      <c r="G68">
        <v>3.16</v>
      </c>
      <c r="H68" s="8">
        <f t="shared" si="17"/>
        <v>0.90028490028490038</v>
      </c>
      <c r="I68" s="2">
        <v>4.29</v>
      </c>
      <c r="J68" s="2">
        <v>5.24</v>
      </c>
      <c r="K68" s="6">
        <f t="shared" ref="K68:K74" si="19">+I68/B68</f>
        <v>1.0238663484486872</v>
      </c>
      <c r="L68" s="6">
        <f t="shared" ref="L68:L74" si="20">+J68/B68</f>
        <v>1.2505966587112172</v>
      </c>
      <c r="M68" s="6">
        <f t="shared" ref="M68:M74" si="21">+I68/J68</f>
        <v>0.81870229007633588</v>
      </c>
      <c r="N68" s="3">
        <v>6.1900000000000004E-2</v>
      </c>
      <c r="O68" s="5">
        <f t="shared" ref="O68:O74" si="22">+N68*100</f>
        <v>6.19</v>
      </c>
      <c r="P68" s="3">
        <v>0.12341042966650639</v>
      </c>
      <c r="Q68" s="4"/>
      <c r="R68" s="4"/>
      <c r="S68" s="4"/>
      <c r="U68">
        <v>1199.21</v>
      </c>
      <c r="V68">
        <v>22.22</v>
      </c>
      <c r="W68">
        <v>69.930000000000007</v>
      </c>
      <c r="X68" s="5">
        <f t="shared" si="7"/>
        <v>17.148720148720148</v>
      </c>
      <c r="Y68">
        <v>100</v>
      </c>
      <c r="Z68" s="11">
        <f t="shared" si="8"/>
        <v>1199.21</v>
      </c>
      <c r="AA68" s="11">
        <f t="shared" si="9"/>
        <v>22.22</v>
      </c>
      <c r="AB68" s="11">
        <f t="shared" si="10"/>
        <v>69.930000000000007</v>
      </c>
      <c r="AC68" s="13">
        <f t="shared" si="12"/>
        <v>9.8767290641154054E-2</v>
      </c>
      <c r="AD68" s="3">
        <v>0.16602402095016847</v>
      </c>
      <c r="AE68" s="14">
        <v>0.1766808375462107</v>
      </c>
      <c r="AF68" s="10">
        <v>8.2195330303336089E-2</v>
      </c>
      <c r="AG68">
        <v>7.5999999999999998E-2</v>
      </c>
      <c r="AH68" s="17">
        <f t="shared" si="11"/>
        <v>1237.4590441877747</v>
      </c>
      <c r="AI68" s="17">
        <f t="shared" si="6"/>
        <v>1238.1128160043277</v>
      </c>
      <c r="AJ68" s="3">
        <v>748.90846789911359</v>
      </c>
      <c r="AK68" s="2">
        <v>190.7</v>
      </c>
      <c r="AL68" s="5">
        <v>748.90846789911359</v>
      </c>
      <c r="AM68" s="16">
        <f t="shared" si="5"/>
        <v>748.90846789911359</v>
      </c>
      <c r="AN68" s="15">
        <f t="shared" si="18"/>
        <v>-6.7256730309014412E-2</v>
      </c>
      <c r="AO68" s="15">
        <f t="shared" si="18"/>
        <v>-1.0656816596042229E-2</v>
      </c>
      <c r="AP68" s="2"/>
      <c r="AQ68" s="2"/>
      <c r="AR68" s="2"/>
      <c r="AS68" s="2"/>
    </row>
    <row r="69" spans="1:45" x14ac:dyDescent="0.25">
      <c r="A69">
        <v>2006</v>
      </c>
      <c r="B69" s="2">
        <v>5.96</v>
      </c>
      <c r="C69" s="2">
        <v>4.97</v>
      </c>
      <c r="D69" s="6">
        <f t="shared" si="14"/>
        <v>0.83389261744966436</v>
      </c>
      <c r="E69" s="2">
        <v>5.16</v>
      </c>
      <c r="F69" s="5">
        <f t="shared" si="16"/>
        <v>0.865771812080537</v>
      </c>
      <c r="G69">
        <v>4.7300000000000004</v>
      </c>
      <c r="H69" s="8">
        <f t="shared" si="17"/>
        <v>0.91666666666666674</v>
      </c>
      <c r="I69" s="2">
        <v>4.42</v>
      </c>
      <c r="J69" s="2">
        <v>5.59</v>
      </c>
      <c r="K69" s="6">
        <f t="shared" si="19"/>
        <v>0.74161073825503354</v>
      </c>
      <c r="L69" s="6">
        <f t="shared" si="20"/>
        <v>0.93791946308724827</v>
      </c>
      <c r="M69" s="6">
        <f t="shared" si="21"/>
        <v>0.79069767441860461</v>
      </c>
      <c r="N69" s="3">
        <v>7.9600000000000004E-2</v>
      </c>
      <c r="O69" s="5">
        <f t="shared" si="22"/>
        <v>7.9600000000000009</v>
      </c>
      <c r="P69" s="3">
        <v>0.12623119434257124</v>
      </c>
      <c r="Q69" s="4"/>
      <c r="R69" s="4"/>
      <c r="S69" s="4"/>
      <c r="U69">
        <v>1262.07</v>
      </c>
      <c r="V69">
        <v>24.88</v>
      </c>
      <c r="W69">
        <v>81.510000000000005</v>
      </c>
      <c r="X69" s="5">
        <f t="shared" si="7"/>
        <v>15.483621641516377</v>
      </c>
      <c r="Y69">
        <v>103.5913119382049</v>
      </c>
      <c r="Z69" s="11">
        <f t="shared" si="8"/>
        <v>1218.3164556819784</v>
      </c>
      <c r="AA69" s="11">
        <f t="shared" si="9"/>
        <v>24.017458157921208</v>
      </c>
      <c r="AB69" s="11">
        <f t="shared" si="10"/>
        <v>78.684204760938826</v>
      </c>
      <c r="AC69" s="13">
        <f t="shared" si="12"/>
        <v>3.596026871015047E-2</v>
      </c>
      <c r="AD69" s="3">
        <v>9.608433635981628E-2</v>
      </c>
      <c r="AE69" s="14">
        <v>0.11153485180482416</v>
      </c>
      <c r="AF69" s="10">
        <v>8.2221749948446471E-2</v>
      </c>
      <c r="AG69">
        <v>7.5999999999999998E-2</v>
      </c>
      <c r="AH69" s="17">
        <f t="shared" si="11"/>
        <v>1332.3420170630884</v>
      </c>
      <c r="AI69" s="17">
        <f t="shared" si="6"/>
        <v>1333.0586061107656</v>
      </c>
      <c r="AJ69" s="3">
        <v>770.32940406242631</v>
      </c>
      <c r="AK69" s="2">
        <v>198.3</v>
      </c>
      <c r="AL69" s="5">
        <v>801.02947470151628</v>
      </c>
      <c r="AM69" s="16">
        <f t="shared" si="5"/>
        <v>773.25932041419912</v>
      </c>
      <c r="AN69" s="15">
        <f t="shared" si="18"/>
        <v>-6.0124067649665811E-2</v>
      </c>
      <c r="AO69" s="15">
        <f t="shared" si="18"/>
        <v>-1.5450515445007876E-2</v>
      </c>
      <c r="AP69" s="2"/>
      <c r="AQ69" s="2"/>
      <c r="AR69" s="2"/>
      <c r="AS69" s="2"/>
    </row>
    <row r="70" spans="1:45" x14ac:dyDescent="0.25">
      <c r="A70">
        <v>2007</v>
      </c>
      <c r="B70" s="2">
        <v>5.86</v>
      </c>
      <c r="C70" s="2">
        <v>5.0199999999999996</v>
      </c>
      <c r="D70" s="6">
        <f t="shared" si="14"/>
        <v>0.85665529010238894</v>
      </c>
      <c r="E70" s="2">
        <v>5.27</v>
      </c>
      <c r="F70" s="5">
        <f t="shared" si="16"/>
        <v>0.89931740614334454</v>
      </c>
      <c r="G70">
        <v>4.41</v>
      </c>
      <c r="H70" s="8">
        <f t="shared" si="17"/>
        <v>0.83681214421252381</v>
      </c>
      <c r="I70" s="2">
        <v>4.42</v>
      </c>
      <c r="J70" s="2">
        <v>5.56</v>
      </c>
      <c r="K70" s="6">
        <f t="shared" si="19"/>
        <v>0.75426621160409546</v>
      </c>
      <c r="L70" s="6">
        <f t="shared" si="20"/>
        <v>0.94880546075085315</v>
      </c>
      <c r="M70" s="6">
        <f t="shared" si="21"/>
        <v>0.79496402877697847</v>
      </c>
      <c r="N70" s="3">
        <v>8.0500000000000002E-2</v>
      </c>
      <c r="O70" s="5">
        <f t="shared" si="22"/>
        <v>8.0500000000000007</v>
      </c>
      <c r="P70" s="3">
        <v>0.10024037977267923</v>
      </c>
      <c r="Q70" s="4"/>
      <c r="R70" s="4"/>
      <c r="S70" s="4"/>
      <c r="U70">
        <v>1416.42</v>
      </c>
      <c r="V70">
        <v>27.73</v>
      </c>
      <c r="W70">
        <v>66.180000000000007</v>
      </c>
      <c r="X70" s="5">
        <f t="shared" si="7"/>
        <v>21.402538531278331</v>
      </c>
      <c r="Y70">
        <v>105.7331465364208</v>
      </c>
      <c r="Z70" s="11">
        <f t="shared" si="8"/>
        <v>1339.6177512906045</v>
      </c>
      <c r="AA70" s="11">
        <f t="shared" si="9"/>
        <v>26.226401945248202</v>
      </c>
      <c r="AB70" s="11">
        <f t="shared" si="10"/>
        <v>62.591535547656918</v>
      </c>
      <c r="AC70" s="13">
        <f t="shared" si="12"/>
        <v>0.12109144292177565</v>
      </c>
      <c r="AD70" s="3">
        <v>-7.4286320232904074E-2</v>
      </c>
      <c r="AE70" s="14">
        <v>-0.14834280638713501</v>
      </c>
      <c r="AF70" s="10">
        <v>7.1024219335660638E-2</v>
      </c>
      <c r="AG70">
        <v>7.5999999999999998E-2</v>
      </c>
      <c r="AH70" s="17">
        <f t="shared" si="11"/>
        <v>1207.1408293785382</v>
      </c>
      <c r="AI70" s="17">
        <f t="shared" si="6"/>
        <v>1207.8041856627444</v>
      </c>
      <c r="AJ70" s="3">
        <v>790.48445669134321</v>
      </c>
      <c r="AK70" s="2">
        <v>202.416</v>
      </c>
      <c r="AL70" s="5">
        <v>839.04930144538503</v>
      </c>
      <c r="AM70" s="16">
        <f t="shared" si="5"/>
        <v>793.55370470921002</v>
      </c>
      <c r="AN70" s="15">
        <f t="shared" si="18"/>
        <v>0.19537776315467972</v>
      </c>
      <c r="AO70" s="15">
        <f t="shared" si="18"/>
        <v>7.4056486154230938E-2</v>
      </c>
      <c r="AP70" s="2"/>
      <c r="AQ70" s="2"/>
      <c r="AR70" s="2"/>
      <c r="AS70" s="2"/>
    </row>
    <row r="71" spans="1:45" x14ac:dyDescent="0.25">
      <c r="A71">
        <v>2008</v>
      </c>
      <c r="B71" s="2">
        <v>2.3899999999999997</v>
      </c>
      <c r="C71" s="2">
        <v>1.92</v>
      </c>
      <c r="D71" s="6">
        <f t="shared" si="14"/>
        <v>0.80334728033472813</v>
      </c>
      <c r="E71" s="2">
        <v>2.97</v>
      </c>
      <c r="F71" s="5">
        <f t="shared" si="16"/>
        <v>1.2426778242677827</v>
      </c>
      <c r="G71">
        <v>1.48</v>
      </c>
      <c r="H71" s="8">
        <f t="shared" si="17"/>
        <v>0.49831649831649827</v>
      </c>
      <c r="I71" s="2">
        <v>4.8</v>
      </c>
      <c r="J71" s="2">
        <v>5.63</v>
      </c>
      <c r="K71" s="6">
        <f t="shared" si="19"/>
        <v>2.0083682008368204</v>
      </c>
      <c r="L71" s="6">
        <f t="shared" si="20"/>
        <v>2.3556485355648538</v>
      </c>
      <c r="M71" s="6">
        <f t="shared" si="21"/>
        <v>0.85257548845470688</v>
      </c>
      <c r="N71" s="3">
        <v>5.0900000000000001E-2</v>
      </c>
      <c r="O71" s="5">
        <f t="shared" si="22"/>
        <v>5.09</v>
      </c>
      <c r="P71" s="3">
        <v>7.0020469939357219E-2</v>
      </c>
      <c r="Q71" s="4"/>
      <c r="R71" s="4"/>
      <c r="S71" s="4"/>
      <c r="U71">
        <v>1479.22</v>
      </c>
      <c r="V71">
        <v>28.39</v>
      </c>
      <c r="W71">
        <v>26.16</v>
      </c>
      <c r="X71" s="5">
        <f t="shared" si="7"/>
        <v>56.545107033639141</v>
      </c>
      <c r="Y71">
        <v>107.97749489168886</v>
      </c>
      <c r="Z71" s="11">
        <f t="shared" si="8"/>
        <v>1369.9336157815021</v>
      </c>
      <c r="AA71" s="11">
        <f t="shared" si="9"/>
        <v>26.292515888128097</v>
      </c>
      <c r="AB71" s="11">
        <f t="shared" si="10"/>
        <v>24.227270716218072</v>
      </c>
      <c r="AC71" s="13">
        <f t="shared" si="12"/>
        <v>4.2257114258517782E-2</v>
      </c>
      <c r="AD71" s="3">
        <v>-0.19323625012382256</v>
      </c>
      <c r="AE71" s="14">
        <v>-0.23529283657078345</v>
      </c>
      <c r="AF71" s="10">
        <v>5.5949314688168855E-2</v>
      </c>
      <c r="AG71">
        <v>7.5999999999999998E-2</v>
      </c>
      <c r="AH71" s="17">
        <f t="shared" si="11"/>
        <v>947.58494624994034</v>
      </c>
      <c r="AI71" s="17">
        <f t="shared" si="6"/>
        <v>948.12011805329053</v>
      </c>
      <c r="AJ71" s="3">
        <v>809.89643563216259</v>
      </c>
      <c r="AK71" s="2">
        <v>211.18</v>
      </c>
      <c r="AL71" s="5">
        <v>896.87430139905666</v>
      </c>
      <c r="AM71" s="16">
        <f t="shared" si="5"/>
        <v>830.6122514684215</v>
      </c>
      <c r="AN71" s="15">
        <f t="shared" si="18"/>
        <v>0.23549336438234034</v>
      </c>
      <c r="AO71" s="15">
        <f t="shared" si="18"/>
        <v>4.2056586446960892E-2</v>
      </c>
      <c r="AP71" s="2"/>
      <c r="AQ71" s="2"/>
      <c r="AR71" s="2"/>
      <c r="AS71" s="2"/>
    </row>
    <row r="72" spans="1:45" x14ac:dyDescent="0.25">
      <c r="A72">
        <v>2009</v>
      </c>
      <c r="B72" s="2">
        <v>0.5</v>
      </c>
      <c r="C72" s="2">
        <v>0.16</v>
      </c>
      <c r="D72" s="6">
        <f t="shared" si="14"/>
        <v>0.32</v>
      </c>
      <c r="E72" s="2">
        <v>0.55000000000000004</v>
      </c>
      <c r="F72" s="5">
        <f t="shared" si="16"/>
        <v>1.1000000000000001</v>
      </c>
      <c r="G72">
        <v>0.16</v>
      </c>
      <c r="H72" s="8">
        <f t="shared" si="17"/>
        <v>0.29090909090909089</v>
      </c>
      <c r="I72" s="2">
        <v>4.6399999999999997</v>
      </c>
      <c r="J72" s="2">
        <v>5.31</v>
      </c>
      <c r="K72" s="6">
        <f t="shared" si="19"/>
        <v>9.2799999999999994</v>
      </c>
      <c r="L72" s="6">
        <f t="shared" si="20"/>
        <v>10.62</v>
      </c>
      <c r="M72" s="6">
        <f t="shared" si="21"/>
        <v>0.87382297551789079</v>
      </c>
      <c r="N72" s="3">
        <v>3.2500000000000001E-2</v>
      </c>
      <c r="O72" s="5">
        <f t="shared" si="22"/>
        <v>3.25</v>
      </c>
      <c r="P72" s="3">
        <v>7.6569065502897979E-2</v>
      </c>
      <c r="Q72" s="4"/>
      <c r="R72" s="4"/>
      <c r="S72" s="4"/>
      <c r="U72">
        <v>865.58</v>
      </c>
      <c r="V72">
        <v>22.41</v>
      </c>
      <c r="W72">
        <v>50.97</v>
      </c>
      <c r="X72" s="5">
        <f t="shared" si="7"/>
        <v>16.982146360604279</v>
      </c>
      <c r="Y72">
        <v>106.52787343717426</v>
      </c>
      <c r="Z72" s="11">
        <f t="shared" si="8"/>
        <v>812.53851416688917</v>
      </c>
      <c r="AA72" s="11">
        <f t="shared" si="9"/>
        <v>21.036747732711</v>
      </c>
      <c r="AB72" s="11">
        <f t="shared" si="10"/>
        <v>47.846632393408285</v>
      </c>
      <c r="AC72" s="13">
        <f t="shared" si="12"/>
        <v>-0.39152141950756286</v>
      </c>
      <c r="AD72" s="3">
        <v>0.13034514527972388</v>
      </c>
      <c r="AE72" s="14">
        <v>0.13502601028179961</v>
      </c>
      <c r="AF72" s="10">
        <v>5.7940245117883211E-2</v>
      </c>
      <c r="AG72">
        <v>7.5999999999999998E-2</v>
      </c>
      <c r="AH72" s="17">
        <f t="shared" si="11"/>
        <v>1050.0612960010571</v>
      </c>
      <c r="AI72" s="17">
        <f t="shared" si="6"/>
        <v>1050.6662248508646</v>
      </c>
      <c r="AJ72" s="3">
        <v>829.80369361049156</v>
      </c>
      <c r="AK72" s="2">
        <v>211.143</v>
      </c>
      <c r="AL72" s="5">
        <v>918.75847551127436</v>
      </c>
      <c r="AM72" s="16">
        <f t="shared" si="5"/>
        <v>862.45828989829602</v>
      </c>
      <c r="AN72" s="15">
        <f t="shared" si="18"/>
        <v>-0.52186656478728677</v>
      </c>
      <c r="AO72" s="15">
        <f t="shared" si="18"/>
        <v>-4.6808650020757347E-3</v>
      </c>
      <c r="AP72" s="2"/>
      <c r="AQ72" s="2"/>
      <c r="AR72" s="2"/>
      <c r="AS72" s="2"/>
    </row>
    <row r="73" spans="1:45" x14ac:dyDescent="0.25">
      <c r="A73">
        <v>2010</v>
      </c>
      <c r="B73" s="2">
        <v>0.72</v>
      </c>
      <c r="C73" s="2">
        <v>0.18</v>
      </c>
      <c r="D73" s="6">
        <f t="shared" si="14"/>
        <v>0.25</v>
      </c>
      <c r="E73" s="2">
        <v>0.31</v>
      </c>
      <c r="F73" s="5">
        <f t="shared" si="16"/>
        <v>0.43055555555555558</v>
      </c>
      <c r="G73">
        <v>0.14000000000000001</v>
      </c>
      <c r="H73" s="8">
        <f t="shared" si="17"/>
        <v>0.45161290322580649</v>
      </c>
      <c r="I73" s="2">
        <v>4.16</v>
      </c>
      <c r="J73" s="2">
        <v>4.9400000000000004</v>
      </c>
      <c r="K73" s="6">
        <f t="shared" si="19"/>
        <v>5.7777777777777786</v>
      </c>
      <c r="L73" s="6">
        <f t="shared" si="20"/>
        <v>6.8611111111111116</v>
      </c>
      <c r="M73" s="6">
        <f t="shared" si="21"/>
        <v>0.84210526315789469</v>
      </c>
      <c r="N73" s="3">
        <v>3.2500000000000001E-2</v>
      </c>
      <c r="O73" s="5">
        <f t="shared" si="22"/>
        <v>3.25</v>
      </c>
      <c r="P73" s="3">
        <v>0.10409807370550715</v>
      </c>
      <c r="Q73" s="4"/>
      <c r="R73" s="4"/>
      <c r="S73" s="4"/>
      <c r="U73">
        <v>1123.58</v>
      </c>
      <c r="V73">
        <v>22.73</v>
      </c>
      <c r="W73">
        <v>77.349999999999994</v>
      </c>
      <c r="X73" s="5">
        <f t="shared" si="7"/>
        <v>14.525921137685843</v>
      </c>
      <c r="Y73">
        <v>105.99042500094215</v>
      </c>
      <c r="Z73" s="11">
        <f t="shared" si="8"/>
        <v>1060.0768890114484</v>
      </c>
      <c r="AA73" s="11">
        <f t="shared" si="9"/>
        <v>21.445333387235642</v>
      </c>
      <c r="AB73" s="11">
        <f t="shared" si="10"/>
        <v>72.978290255287135</v>
      </c>
      <c r="AC73" s="13">
        <f t="shared" si="12"/>
        <v>0.331041179638837</v>
      </c>
      <c r="AD73" s="3">
        <v>0.34151928004860438</v>
      </c>
      <c r="AE73" s="14">
        <v>0.30415470413839835</v>
      </c>
      <c r="AF73" s="10">
        <v>7.2876547747278655E-2</v>
      </c>
      <c r="AG73">
        <v>7.5999999999999998E-2</v>
      </c>
      <c r="AH73" s="17">
        <f t="shared" si="11"/>
        <v>1387.2321404310071</v>
      </c>
      <c r="AI73" s="17">
        <f t="shared" si="6"/>
        <v>1388.0436641460815</v>
      </c>
      <c r="AK73" s="2">
        <v>216.68700000000001</v>
      </c>
      <c r="AL73" s="2"/>
      <c r="AN73" s="15">
        <f t="shared" si="18"/>
        <v>-1.0478100409767377E-2</v>
      </c>
      <c r="AO73" s="15">
        <f t="shared" si="18"/>
        <v>3.7364575910206033E-2</v>
      </c>
      <c r="AR73" s="2"/>
      <c r="AS73" s="2"/>
    </row>
    <row r="74" spans="1:45" x14ac:dyDescent="0.25">
      <c r="A74">
        <v>2011</v>
      </c>
      <c r="B74" s="2">
        <v>0.75</v>
      </c>
      <c r="C74" s="2">
        <v>0.1</v>
      </c>
      <c r="D74" s="6">
        <f t="shared" si="14"/>
        <v>0.13333333333333333</v>
      </c>
      <c r="E74" s="2">
        <v>0.3</v>
      </c>
      <c r="F74" s="5">
        <f t="shared" si="16"/>
        <v>0.39999999999999997</v>
      </c>
      <c r="G74">
        <v>0.06</v>
      </c>
      <c r="H74" s="8">
        <f t="shared" si="17"/>
        <v>0.2</v>
      </c>
      <c r="I74" s="2">
        <v>4.29</v>
      </c>
      <c r="J74" s="2">
        <v>4.6399999999999997</v>
      </c>
      <c r="K74" s="6">
        <f t="shared" si="19"/>
        <v>5.72</v>
      </c>
      <c r="L74" s="6">
        <f t="shared" si="20"/>
        <v>6.1866666666666665</v>
      </c>
      <c r="M74" s="6">
        <f t="shared" si="21"/>
        <v>0.92456896551724144</v>
      </c>
      <c r="N74" s="3">
        <v>3.2500000000000001E-2</v>
      </c>
      <c r="O74" s="5">
        <f t="shared" si="22"/>
        <v>3.25</v>
      </c>
      <c r="P74" s="3">
        <v>0.10885279879022157</v>
      </c>
      <c r="Q74" s="4"/>
      <c r="R74" s="4"/>
      <c r="S74" s="4"/>
      <c r="U74">
        <v>1282.6199999999999</v>
      </c>
      <c r="V74">
        <v>26.43</v>
      </c>
      <c r="W74">
        <v>86.95</v>
      </c>
      <c r="X74" s="5">
        <f t="shared" si="7"/>
        <v>14.751236342725702</v>
      </c>
      <c r="Y74">
        <v>108.16755694676989</v>
      </c>
      <c r="Z74" s="11">
        <f t="shared" si="8"/>
        <v>1185.7714421997969</v>
      </c>
      <c r="AA74" s="11">
        <f t="shared" si="9"/>
        <v>24.434313528044655</v>
      </c>
      <c r="AB74" s="11">
        <f t="shared" si="10"/>
        <v>80.384546396650876</v>
      </c>
      <c r="AC74" s="13">
        <f t="shared" si="12"/>
        <v>0.14162073362092864</v>
      </c>
      <c r="AD74" s="3">
        <v>8.0805881312647154E-2</v>
      </c>
      <c r="AE74" s="14">
        <v>6.8886045782383429E-2</v>
      </c>
      <c r="AF74">
        <v>7.5373104079366454E-2</v>
      </c>
      <c r="AG74">
        <v>7.5999999999999998E-2</v>
      </c>
      <c r="AH74" s="17">
        <f t="shared" si="11"/>
        <v>1474.8943425957198</v>
      </c>
      <c r="AI74" s="17">
        <f>+Z74+290</f>
        <v>1475.7714421997969</v>
      </c>
      <c r="AK74" s="2">
        <v>220.22300000000001</v>
      </c>
      <c r="AL74" s="2"/>
      <c r="AN74" s="15">
        <f t="shared" si="18"/>
        <v>6.0814852308281486E-2</v>
      </c>
      <c r="AO74" s="15">
        <f t="shared" si="18"/>
        <v>1.1919835530263725E-2</v>
      </c>
      <c r="AR74" s="2"/>
      <c r="AS74" s="2"/>
    </row>
    <row r="75" spans="1:45" x14ac:dyDescent="0.25">
      <c r="A75">
        <v>2012</v>
      </c>
      <c r="U75">
        <v>1300.58</v>
      </c>
      <c r="W75">
        <f>W74*1.17</f>
        <v>101.7315</v>
      </c>
      <c r="Y75">
        <v>109.73557469073501</v>
      </c>
      <c r="Z75" s="11">
        <f t="shared" ref="Z75:Z76" si="23">U75*100/Y75</f>
        <v>1185.1945038474457</v>
      </c>
      <c r="AA75" s="11"/>
      <c r="AB75" s="11"/>
      <c r="AK75" s="2">
        <v>226.66499999999999</v>
      </c>
      <c r="AL75" s="2"/>
    </row>
    <row r="76" spans="1:45" x14ac:dyDescent="0.25">
      <c r="A76">
        <v>2013</v>
      </c>
      <c r="U76">
        <v>1480.4</v>
      </c>
      <c r="Y76">
        <v>110.96791245557486</v>
      </c>
      <c r="Z76" s="11">
        <f t="shared" si="23"/>
        <v>1334.0793453176534</v>
      </c>
      <c r="AA76" s="7"/>
      <c r="AB76" s="11"/>
      <c r="AK76" s="2">
        <v>230.28</v>
      </c>
      <c r="AL76" s="2"/>
    </row>
  </sheetData>
  <pageMargins left="0.7" right="0.7" top="0.75" bottom="0.75" header="0.3" footer="0.3"/>
  <headerFooter>
    <oddHeader>&amp;L&amp;"Calibri"&amp;11&amp;K000000 PERSONAL/NONWORK // EXTERNAL&amp;1#_x000D_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2025-10-02T19:56:01Z</dcterms:created>
  <dcterms:modified xsi:type="dcterms:W3CDTF">2025-10-02T21:41:01Z</dcterms:modified>
</cp:coreProperties>
</file>
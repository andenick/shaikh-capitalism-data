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25" documentId="8_{05FBAE33-BBC2-4A25-9265-1487EC01AAAF}" xr6:coauthVersionLast="47" xr6:coauthVersionMax="47" xr10:uidLastSave="{D4EDA746-43B3-479E-8229-2CBC143F7CD7}"/>
  <bookViews>
    <workbookView xWindow="-28920" yWindow="-300" windowWidth="29040" windowHeight="15720" xr2:uid="{CA3D8AE7-95CF-4A71-9E3A-7AC6E26F9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8" i="1" l="1"/>
  <c r="A69" i="1" s="1"/>
  <c r="A70" i="1" s="1"/>
  <c r="A71" i="1" s="1"/>
  <c r="A72" i="1" s="1"/>
  <c r="A73" i="1" s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L3" i="1"/>
  <c r="K3" i="1"/>
  <c r="J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</calcChain>
</file>

<file path=xl/sharedStrings.xml><?xml version="1.0" encoding="utf-8"?>
<sst xmlns="http://schemas.openxmlformats.org/spreadsheetml/2006/main" count="19" uniqueCount="19">
  <si>
    <t>Ams1_72.xmcd</t>
  </si>
  <si>
    <t>Index</t>
  </si>
  <si>
    <t>td</t>
  </si>
  <si>
    <t>tpm</t>
  </si>
  <si>
    <t>tv</t>
  </si>
  <si>
    <t>tp(r)</t>
  </si>
  <si>
    <t>tpmr = tpm/TPM</t>
  </si>
  <si>
    <t>tvr = tv/TV</t>
  </si>
  <si>
    <t>tdr = td/TD</t>
  </si>
  <si>
    <t>tp(r) = tp(r)/TP(r)</t>
  </si>
  <si>
    <t>qtpmtv = tpmr/tvr</t>
  </si>
  <si>
    <t>qtp(r)tv= tpr(r)/tvr</t>
  </si>
  <si>
    <t>qtpmtp(r) = tpmr/tpr(r)</t>
  </si>
  <si>
    <t>qtpmtv72</t>
  </si>
  <si>
    <t>qtpoptv72</t>
  </si>
  <si>
    <t>qtpmtpop72</t>
  </si>
  <si>
    <t>Total Market Prices</t>
  </si>
  <si>
    <t>Total Direct Prices</t>
  </si>
  <si>
    <t>r observed = 0.188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</si>
</sst>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1995-FFA8-4C11-95B0-1222D8033706}">
  <dimension ref="A1:AK73"/>
  <sheetViews>
    <sheetView tabSelected="1" workbookViewId="0"/>
  </sheetViews>
  <sheetFormatPr defaultRowHeight="15" x14ac:dyDescent="0.25"/>
  <cols>
    <col min="2" max="3" width="10.140625" bestFit="1" customWidth="1"/>
    <col min="4" max="12" width="9.28515625" bestFit="1" customWidth="1"/>
  </cols>
  <sheetData>
    <row r="1" spans="1:37" x14ac:dyDescent="0.25">
      <c r="A1" s="1" t="s">
        <v>0</v>
      </c>
      <c r="B1" t="s">
        <v>16</v>
      </c>
      <c r="C1" t="s">
        <v>17</v>
      </c>
      <c r="E1" t="s">
        <v>18</v>
      </c>
      <c r="J1" t="s">
        <v>10</v>
      </c>
      <c r="K1" t="s">
        <v>11</v>
      </c>
      <c r="L1" t="s">
        <v>12</v>
      </c>
    </row>
    <row r="2" spans="1:37" x14ac:dyDescent="0.25">
      <c r="A2" t="s">
        <v>1</v>
      </c>
      <c r="B2" t="s">
        <v>3</v>
      </c>
      <c r="C2" t="s">
        <v>2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13</v>
      </c>
      <c r="K2" t="s">
        <v>14</v>
      </c>
      <c r="L2" t="s">
        <v>15</v>
      </c>
    </row>
    <row r="3" spans="1:37" x14ac:dyDescent="0.25">
      <c r="A3">
        <v>1</v>
      </c>
      <c r="B3" s="2">
        <v>83988.49</v>
      </c>
      <c r="C3" s="2">
        <v>84378.232813900002</v>
      </c>
      <c r="D3" s="2">
        <v>10551.627592500001</v>
      </c>
      <c r="E3" s="2">
        <v>14204.1383869</v>
      </c>
      <c r="F3" s="2">
        <v>4.7816999999999998E-2</v>
      </c>
      <c r="G3" s="2">
        <v>4.8038900000000002E-2</v>
      </c>
      <c r="H3" s="2">
        <v>4.8038900000000002E-2</v>
      </c>
      <c r="I3" s="2">
        <v>5.7660400000000001E-2</v>
      </c>
      <c r="J3" s="2">
        <f>+F3/G3</f>
        <v>0.99538082678829021</v>
      </c>
      <c r="K3" s="2">
        <f>+I3/G3</f>
        <v>1.2002856018768122</v>
      </c>
      <c r="L3" s="2">
        <f>+F3/I3</f>
        <v>0.82928665080367114</v>
      </c>
      <c r="Z3" s="2"/>
      <c r="AA3" s="2"/>
      <c r="AB3" s="2"/>
      <c r="AC3" s="2"/>
      <c r="AD3" s="2"/>
      <c r="AE3" s="2"/>
      <c r="AF3" s="2"/>
      <c r="AG3" s="2"/>
      <c r="AH3" s="2"/>
      <c r="AI3" s="2"/>
      <c r="AK3" s="2"/>
    </row>
    <row r="4" spans="1:37" x14ac:dyDescent="0.25">
      <c r="A4">
        <f>+A3+1</f>
        <v>2</v>
      </c>
      <c r="B4" s="2">
        <v>1337.1</v>
      </c>
      <c r="C4" s="2">
        <v>1221.9675812</v>
      </c>
      <c r="D4" s="2">
        <v>152.80892259999999</v>
      </c>
      <c r="E4" s="2">
        <v>266.28712289999999</v>
      </c>
      <c r="F4" s="2">
        <v>7.6119999999999996E-4</v>
      </c>
      <c r="G4" s="2">
        <v>6.9570000000000005E-4</v>
      </c>
      <c r="H4" s="2">
        <v>6.9570000000000005E-4</v>
      </c>
      <c r="I4" s="2">
        <v>1.0809999999999999E-3</v>
      </c>
      <c r="J4" s="2">
        <f t="shared" ref="J4:J67" si="0">+F4/G4</f>
        <v>1.0941497772028173</v>
      </c>
      <c r="K4" s="2">
        <f t="shared" ref="K4:K67" si="1">+I4/G4</f>
        <v>1.5538306741411525</v>
      </c>
      <c r="L4" s="2">
        <f t="shared" ref="L4:L67" si="2">+F4/I4</f>
        <v>0.70416281221091581</v>
      </c>
      <c r="Z4" s="2"/>
      <c r="AA4" s="2"/>
      <c r="AB4" s="2"/>
      <c r="AC4" s="2"/>
      <c r="AD4" s="2"/>
      <c r="AE4" s="2"/>
      <c r="AF4" s="2"/>
      <c r="AG4" s="2"/>
      <c r="AH4" s="2"/>
      <c r="AI4" s="2"/>
      <c r="AK4" s="2"/>
    </row>
    <row r="5" spans="1:37" x14ac:dyDescent="0.25">
      <c r="A5">
        <f t="shared" ref="A5:A68" si="3">+A4+1</f>
        <v>3</v>
      </c>
      <c r="B5" s="2">
        <v>2396.4</v>
      </c>
      <c r="C5" s="2">
        <v>2254.8442292999998</v>
      </c>
      <c r="D5" s="2">
        <v>281.97173359999999</v>
      </c>
      <c r="E5" s="2">
        <v>378.79570269999999</v>
      </c>
      <c r="F5" s="2">
        <v>1.3642999999999999E-3</v>
      </c>
      <c r="G5" s="2">
        <v>1.2837E-3</v>
      </c>
      <c r="H5" s="2">
        <v>1.2837E-3</v>
      </c>
      <c r="I5" s="2">
        <v>1.5376999999999999E-3</v>
      </c>
      <c r="J5" s="2">
        <f t="shared" si="0"/>
        <v>1.0627872555893121</v>
      </c>
      <c r="K5" s="2">
        <f t="shared" si="1"/>
        <v>1.1978655449092466</v>
      </c>
      <c r="L5" s="2">
        <f t="shared" si="2"/>
        <v>0.88723418091955519</v>
      </c>
      <c r="Z5" s="2"/>
      <c r="AA5" s="2"/>
      <c r="AB5" s="2"/>
      <c r="AC5" s="2"/>
      <c r="AD5" s="2"/>
      <c r="AE5" s="2"/>
      <c r="AF5" s="2"/>
      <c r="AG5" s="2"/>
      <c r="AH5" s="2"/>
      <c r="AI5" s="2"/>
      <c r="AK5" s="2"/>
    </row>
    <row r="6" spans="1:37" x14ac:dyDescent="0.25">
      <c r="A6">
        <f t="shared" si="3"/>
        <v>4</v>
      </c>
      <c r="B6" s="2">
        <v>5545.2060000000001</v>
      </c>
      <c r="C6" s="2">
        <v>6218.2978304999997</v>
      </c>
      <c r="D6" s="2">
        <v>777.60769310000001</v>
      </c>
      <c r="E6" s="2">
        <v>886.21089510000002</v>
      </c>
      <c r="F6" s="2">
        <v>3.1570000000000001E-3</v>
      </c>
      <c r="G6" s="2">
        <v>3.5403000000000001E-3</v>
      </c>
      <c r="H6" s="2">
        <v>3.5403000000000001E-3</v>
      </c>
      <c r="I6" s="2">
        <v>3.5975E-3</v>
      </c>
      <c r="J6" s="2">
        <f t="shared" si="0"/>
        <v>0.89173233906731064</v>
      </c>
      <c r="K6" s="2">
        <f t="shared" si="1"/>
        <v>1.0161568228681186</v>
      </c>
      <c r="L6" s="2">
        <f t="shared" si="2"/>
        <v>0.87755385684503129</v>
      </c>
      <c r="Z6" s="2"/>
      <c r="AA6" s="2"/>
      <c r="AB6" s="2"/>
      <c r="AC6" s="2"/>
      <c r="AD6" s="2"/>
      <c r="AE6" s="2"/>
      <c r="AF6" s="2"/>
      <c r="AG6" s="2"/>
      <c r="AH6" s="2"/>
      <c r="AI6" s="2"/>
      <c r="AK6" s="2"/>
    </row>
    <row r="7" spans="1:37" x14ac:dyDescent="0.25">
      <c r="A7">
        <f t="shared" si="3"/>
        <v>5</v>
      </c>
      <c r="B7" s="2">
        <v>18680.5</v>
      </c>
      <c r="C7" s="2">
        <v>8409.4911757999998</v>
      </c>
      <c r="D7" s="2">
        <v>1051.6197858999999</v>
      </c>
      <c r="E7" s="2">
        <v>1599.8176951999999</v>
      </c>
      <c r="F7" s="2">
        <v>1.06353E-2</v>
      </c>
      <c r="G7" s="2">
        <v>4.7878E-3</v>
      </c>
      <c r="H7" s="2">
        <v>4.7878E-3</v>
      </c>
      <c r="I7" s="2">
        <v>6.4942999999999997E-3</v>
      </c>
      <c r="J7" s="2">
        <f t="shared" si="0"/>
        <v>2.2213333890304523</v>
      </c>
      <c r="K7" s="2">
        <f t="shared" si="1"/>
        <v>1.3564267513262875</v>
      </c>
      <c r="L7" s="2">
        <f t="shared" si="2"/>
        <v>1.6376360808709176</v>
      </c>
      <c r="Z7" s="2"/>
      <c r="AA7" s="2"/>
      <c r="AB7" s="2"/>
      <c r="AC7" s="2"/>
      <c r="AD7" s="2"/>
      <c r="AE7" s="2"/>
      <c r="AF7" s="2"/>
      <c r="AG7" s="2"/>
      <c r="AH7" s="2"/>
      <c r="AI7" s="2"/>
      <c r="AK7" s="2"/>
    </row>
    <row r="8" spans="1:37" x14ac:dyDescent="0.25">
      <c r="A8">
        <f t="shared" si="3"/>
        <v>6</v>
      </c>
      <c r="B8" s="2">
        <v>2931.2930000000001</v>
      </c>
      <c r="C8" s="2">
        <v>2822.452143</v>
      </c>
      <c r="D8" s="2">
        <v>352.95197489999998</v>
      </c>
      <c r="E8" s="2">
        <v>435.42809840000001</v>
      </c>
      <c r="F8" s="2">
        <v>1.6689000000000001E-3</v>
      </c>
      <c r="G8" s="2">
        <v>1.6069000000000001E-3</v>
      </c>
      <c r="H8" s="2">
        <v>1.6069000000000001E-3</v>
      </c>
      <c r="I8" s="2">
        <v>1.7676E-3</v>
      </c>
      <c r="J8" s="2">
        <f t="shared" si="0"/>
        <v>1.038583608189682</v>
      </c>
      <c r="K8" s="2">
        <f t="shared" si="1"/>
        <v>1.1000062231626111</v>
      </c>
      <c r="L8" s="2">
        <f t="shared" si="2"/>
        <v>0.94416157501697218</v>
      </c>
      <c r="Z8" s="2"/>
      <c r="AA8" s="2"/>
      <c r="AB8" s="2"/>
      <c r="AC8" s="2"/>
      <c r="AD8" s="2"/>
      <c r="AE8" s="2"/>
      <c r="AF8" s="2"/>
      <c r="AG8" s="2"/>
      <c r="AH8" s="2"/>
      <c r="AI8" s="2"/>
      <c r="AK8" s="2"/>
    </row>
    <row r="9" spans="1:37" x14ac:dyDescent="0.25">
      <c r="A9">
        <f t="shared" si="3"/>
        <v>7</v>
      </c>
      <c r="B9" s="2">
        <v>797.19799999999998</v>
      </c>
      <c r="C9" s="2">
        <v>653.92603599999995</v>
      </c>
      <c r="D9" s="2">
        <v>81.774455000000003</v>
      </c>
      <c r="E9" s="2">
        <v>127.22329019999999</v>
      </c>
      <c r="F9" s="2">
        <v>4.5389999999999997E-4</v>
      </c>
      <c r="G9" s="2">
        <v>3.723E-4</v>
      </c>
      <c r="H9" s="2">
        <v>3.723E-4</v>
      </c>
      <c r="I9" s="2">
        <v>5.1650000000000003E-4</v>
      </c>
      <c r="J9" s="2">
        <f t="shared" si="0"/>
        <v>1.2191780821917808</v>
      </c>
      <c r="K9" s="2">
        <f t="shared" si="1"/>
        <v>1.3873220521085148</v>
      </c>
      <c r="L9" s="2">
        <f t="shared" si="2"/>
        <v>0.87879961277831553</v>
      </c>
      <c r="Z9" s="2"/>
      <c r="AA9" s="2"/>
      <c r="AB9" s="2"/>
      <c r="AC9" s="2"/>
      <c r="AD9" s="2"/>
      <c r="AE9" s="2"/>
      <c r="AF9" s="2"/>
      <c r="AG9" s="2"/>
      <c r="AH9" s="2"/>
      <c r="AI9" s="2"/>
      <c r="AK9" s="2"/>
    </row>
    <row r="10" spans="1:37" x14ac:dyDescent="0.25">
      <c r="A10">
        <f t="shared" si="3"/>
        <v>8</v>
      </c>
      <c r="B10" s="2">
        <v>141026.6</v>
      </c>
      <c r="C10" s="2">
        <v>166882.74999879999</v>
      </c>
      <c r="D10" s="2">
        <v>20868.944168099999</v>
      </c>
      <c r="E10" s="2">
        <v>20522.7288381</v>
      </c>
      <c r="F10" s="2">
        <v>8.0290500000000001E-2</v>
      </c>
      <c r="G10" s="2">
        <v>9.5011100000000001E-2</v>
      </c>
      <c r="H10" s="2">
        <v>9.5011100000000001E-2</v>
      </c>
      <c r="I10" s="2">
        <v>8.3310099999999998E-2</v>
      </c>
      <c r="J10" s="2">
        <f t="shared" si="0"/>
        <v>0.84506441878896255</v>
      </c>
      <c r="K10" s="2">
        <f t="shared" si="1"/>
        <v>0.87684596852367769</v>
      </c>
      <c r="L10" s="2">
        <f t="shared" si="2"/>
        <v>0.96375469480891274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K10" s="2"/>
    </row>
    <row r="11" spans="1:37" x14ac:dyDescent="0.25">
      <c r="A11">
        <f t="shared" si="3"/>
        <v>9</v>
      </c>
      <c r="B11" s="2">
        <v>7175.5990000000002</v>
      </c>
      <c r="C11" s="2">
        <v>6040.4372224999997</v>
      </c>
      <c r="D11" s="2">
        <v>755.36595090000003</v>
      </c>
      <c r="E11" s="2">
        <v>769.86774630000002</v>
      </c>
      <c r="F11" s="2">
        <v>4.0853E-3</v>
      </c>
      <c r="G11" s="2">
        <v>3.4390000000000002E-3</v>
      </c>
      <c r="H11" s="2">
        <v>3.4390000000000002E-3</v>
      </c>
      <c r="I11" s="2">
        <v>3.1251999999999999E-3</v>
      </c>
      <c r="J11" s="2">
        <f t="shared" si="0"/>
        <v>1.1879325385286419</v>
      </c>
      <c r="K11" s="2">
        <f t="shared" si="1"/>
        <v>0.90875254434428598</v>
      </c>
      <c r="L11" s="2">
        <f t="shared" si="2"/>
        <v>1.3072123384103418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K11" s="2"/>
    </row>
    <row r="12" spans="1:37" x14ac:dyDescent="0.25">
      <c r="A12">
        <f t="shared" si="3"/>
        <v>10</v>
      </c>
      <c r="B12" s="2">
        <v>118480.2</v>
      </c>
      <c r="C12" s="2">
        <v>108418.5568567</v>
      </c>
      <c r="D12" s="2">
        <v>13557.9070326</v>
      </c>
      <c r="E12" s="2">
        <v>16151.070653799999</v>
      </c>
      <c r="F12" s="2">
        <v>6.7454200000000006E-2</v>
      </c>
      <c r="G12" s="2">
        <v>6.1725799999999997E-2</v>
      </c>
      <c r="H12" s="2">
        <v>6.1725799999999997E-2</v>
      </c>
      <c r="I12" s="2">
        <v>6.5563800000000005E-2</v>
      </c>
      <c r="J12" s="2">
        <f t="shared" si="0"/>
        <v>1.0928039814793815</v>
      </c>
      <c r="K12" s="2">
        <f t="shared" si="1"/>
        <v>1.0621782139721154</v>
      </c>
      <c r="L12" s="2">
        <f t="shared" si="2"/>
        <v>1.0288329840552255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K12" s="2"/>
    </row>
    <row r="13" spans="1:37" x14ac:dyDescent="0.25">
      <c r="A13">
        <f t="shared" si="3"/>
        <v>11</v>
      </c>
      <c r="B13" s="2">
        <v>9252.4969999999994</v>
      </c>
      <c r="C13" s="2">
        <v>4761.4739128000001</v>
      </c>
      <c r="D13" s="2">
        <v>595.42962499999999</v>
      </c>
      <c r="E13" s="2">
        <v>713.78749319999997</v>
      </c>
      <c r="F13" s="2">
        <v>5.2677000000000002E-3</v>
      </c>
      <c r="G13" s="2">
        <v>2.7108000000000002E-3</v>
      </c>
      <c r="H13" s="2">
        <v>2.7108000000000002E-3</v>
      </c>
      <c r="I13" s="2">
        <v>2.8976000000000002E-3</v>
      </c>
      <c r="J13" s="2">
        <f t="shared" si="0"/>
        <v>1.943227091633466</v>
      </c>
      <c r="K13" s="2">
        <f t="shared" si="1"/>
        <v>1.0689095469971963</v>
      </c>
      <c r="L13" s="2">
        <f t="shared" si="2"/>
        <v>1.8179527885146327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K13" s="2"/>
    </row>
    <row r="14" spans="1:37" x14ac:dyDescent="0.25">
      <c r="A14">
        <f t="shared" si="3"/>
        <v>12</v>
      </c>
      <c r="B14" s="2">
        <v>17753.400000000001</v>
      </c>
      <c r="C14" s="2">
        <v>18992.7553372</v>
      </c>
      <c r="D14" s="2">
        <v>2375.073222</v>
      </c>
      <c r="E14" s="2">
        <v>2699.6991042</v>
      </c>
      <c r="F14" s="2">
        <v>1.01075E-2</v>
      </c>
      <c r="G14" s="2">
        <v>1.0813100000000001E-2</v>
      </c>
      <c r="H14" s="2">
        <v>1.0813100000000001E-2</v>
      </c>
      <c r="I14" s="2">
        <v>1.0959200000000001E-2</v>
      </c>
      <c r="J14" s="2">
        <f t="shared" si="0"/>
        <v>0.9347458175731288</v>
      </c>
      <c r="K14" s="2">
        <f t="shared" si="1"/>
        <v>1.0135113889633869</v>
      </c>
      <c r="L14" s="2">
        <f t="shared" si="2"/>
        <v>0.92228447331922037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K14" s="2"/>
    </row>
    <row r="15" spans="1:37" x14ac:dyDescent="0.25">
      <c r="A15">
        <f t="shared" si="3"/>
        <v>13</v>
      </c>
      <c r="B15" s="2">
        <v>5974.6009999999997</v>
      </c>
      <c r="C15" s="2">
        <v>6124.3629893999996</v>
      </c>
      <c r="D15" s="2">
        <v>765.860997</v>
      </c>
      <c r="E15" s="2">
        <v>862.82440770000005</v>
      </c>
      <c r="F15" s="2">
        <v>3.4015E-3</v>
      </c>
      <c r="G15" s="2">
        <v>3.4868E-3</v>
      </c>
      <c r="H15" s="2">
        <v>3.4868E-3</v>
      </c>
      <c r="I15" s="2">
        <v>3.5025999999999998E-3</v>
      </c>
      <c r="J15" s="2">
        <f t="shared" si="0"/>
        <v>0.9755363083629689</v>
      </c>
      <c r="K15" s="2">
        <f t="shared" si="1"/>
        <v>1.0045313754732133</v>
      </c>
      <c r="L15" s="2">
        <f t="shared" si="2"/>
        <v>0.97113572774510371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K15" s="2"/>
    </row>
    <row r="16" spans="1:37" x14ac:dyDescent="0.25">
      <c r="A16">
        <f t="shared" si="3"/>
        <v>14</v>
      </c>
      <c r="B16" s="2">
        <v>30229.200000000001</v>
      </c>
      <c r="C16" s="2">
        <v>34640.927558000003</v>
      </c>
      <c r="D16" s="2">
        <v>4331.9011890000002</v>
      </c>
      <c r="E16" s="2">
        <v>4215.6697929000002</v>
      </c>
      <c r="F16" s="2">
        <v>1.7210300000000001E-2</v>
      </c>
      <c r="G16" s="2">
        <v>1.9722099999999999E-2</v>
      </c>
      <c r="H16" s="2">
        <v>1.9722099999999999E-2</v>
      </c>
      <c r="I16" s="2">
        <v>1.7113099999999999E-2</v>
      </c>
      <c r="J16" s="2">
        <f t="shared" si="0"/>
        <v>0.8726403374894155</v>
      </c>
      <c r="K16" s="2">
        <f t="shared" si="1"/>
        <v>0.86771185624248937</v>
      </c>
      <c r="L16" s="2">
        <f t="shared" si="2"/>
        <v>1.0056798592890828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K16" s="2"/>
    </row>
    <row r="17" spans="1:37" x14ac:dyDescent="0.25">
      <c r="A17">
        <f t="shared" si="3"/>
        <v>15</v>
      </c>
      <c r="B17" s="2">
        <v>4935.0990000000002</v>
      </c>
      <c r="C17" s="2">
        <v>5315.5406426999998</v>
      </c>
      <c r="D17" s="2">
        <v>664.71652040000004</v>
      </c>
      <c r="E17" s="2">
        <v>683.66761629999996</v>
      </c>
      <c r="F17" s="2">
        <v>2.8097E-3</v>
      </c>
      <c r="G17" s="2">
        <v>3.0263E-3</v>
      </c>
      <c r="H17" s="2">
        <v>3.0263E-3</v>
      </c>
      <c r="I17" s="2">
        <v>2.7753000000000001E-3</v>
      </c>
      <c r="J17" s="2">
        <f t="shared" si="0"/>
        <v>0.9284274526649704</v>
      </c>
      <c r="K17" s="2">
        <f t="shared" si="1"/>
        <v>0.91706043683706173</v>
      </c>
      <c r="L17" s="2">
        <f t="shared" si="2"/>
        <v>1.0123950563903001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K17" s="2"/>
    </row>
    <row r="18" spans="1:37" x14ac:dyDescent="0.25">
      <c r="A18">
        <f t="shared" si="3"/>
        <v>16</v>
      </c>
      <c r="B18" s="2">
        <v>21603.599999999999</v>
      </c>
      <c r="C18" s="2">
        <v>22635.557604500002</v>
      </c>
      <c r="D18" s="2">
        <v>2830.6112397000002</v>
      </c>
      <c r="E18" s="2">
        <v>3054.2059414</v>
      </c>
      <c r="F18" s="2">
        <v>1.22995E-2</v>
      </c>
      <c r="G18" s="2">
        <v>1.28871E-2</v>
      </c>
      <c r="H18" s="2">
        <v>1.28871E-2</v>
      </c>
      <c r="I18" s="2">
        <v>1.2398299999999999E-2</v>
      </c>
      <c r="J18" s="2">
        <f t="shared" si="0"/>
        <v>0.95440401641952022</v>
      </c>
      <c r="K18" s="2">
        <f t="shared" si="1"/>
        <v>0.96207059772951242</v>
      </c>
      <c r="L18" s="2">
        <f t="shared" si="2"/>
        <v>0.99203116556302073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K18" s="2"/>
    </row>
    <row r="19" spans="1:37" x14ac:dyDescent="0.25">
      <c r="A19">
        <f t="shared" si="3"/>
        <v>17</v>
      </c>
      <c r="B19" s="2">
        <v>467.39100000000002</v>
      </c>
      <c r="C19" s="2">
        <v>609.87871710000002</v>
      </c>
      <c r="D19" s="2">
        <v>76.266270199999994</v>
      </c>
      <c r="E19" s="2">
        <v>79.400645900000001</v>
      </c>
      <c r="F19" s="2">
        <v>2.6610000000000002E-4</v>
      </c>
      <c r="G19" s="2">
        <v>3.4719999999999998E-4</v>
      </c>
      <c r="H19" s="2">
        <v>3.4719999999999998E-4</v>
      </c>
      <c r="I19" s="2">
        <v>3.2229999999999997E-4</v>
      </c>
      <c r="J19" s="2">
        <f t="shared" si="0"/>
        <v>0.76641705069124433</v>
      </c>
      <c r="K19" s="2">
        <f t="shared" si="1"/>
        <v>0.92828341013824878</v>
      </c>
      <c r="L19" s="2">
        <f t="shared" si="2"/>
        <v>0.82562829661805781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K19" s="2"/>
    </row>
    <row r="20" spans="1:37" x14ac:dyDescent="0.25">
      <c r="A20">
        <f t="shared" si="3"/>
        <v>18</v>
      </c>
      <c r="B20" s="2">
        <v>7318.1030000000001</v>
      </c>
      <c r="C20" s="2">
        <v>8487.5236898000003</v>
      </c>
      <c r="D20" s="2">
        <v>1061.3778715999999</v>
      </c>
      <c r="E20" s="2">
        <v>1040.9189481000001</v>
      </c>
      <c r="F20" s="2">
        <v>4.1663999999999998E-3</v>
      </c>
      <c r="G20" s="2">
        <v>4.8322E-3</v>
      </c>
      <c r="H20" s="2">
        <v>4.8322E-3</v>
      </c>
      <c r="I20" s="2">
        <v>4.2255000000000001E-3</v>
      </c>
      <c r="J20" s="2">
        <f t="shared" si="0"/>
        <v>0.86221596788212407</v>
      </c>
      <c r="K20" s="2">
        <f t="shared" si="1"/>
        <v>0.87444642191962252</v>
      </c>
      <c r="L20" s="2">
        <f t="shared" si="2"/>
        <v>0.98601348952786649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K20" s="2"/>
    </row>
    <row r="21" spans="1:37" x14ac:dyDescent="0.25">
      <c r="A21">
        <f t="shared" si="3"/>
        <v>19</v>
      </c>
      <c r="B21" s="2">
        <v>3744.0039999999999</v>
      </c>
      <c r="C21" s="2">
        <v>3784.6474438</v>
      </c>
      <c r="D21" s="2">
        <v>473.27597489999999</v>
      </c>
      <c r="E21" s="2">
        <v>481.94073980000002</v>
      </c>
      <c r="F21" s="2">
        <v>2.1316E-3</v>
      </c>
      <c r="G21" s="2">
        <v>2.1546999999999998E-3</v>
      </c>
      <c r="H21" s="2">
        <v>2.1546999999999998E-3</v>
      </c>
      <c r="I21" s="2">
        <v>1.9564000000000001E-3</v>
      </c>
      <c r="J21" s="2">
        <f t="shared" si="0"/>
        <v>0.98927925001160266</v>
      </c>
      <c r="K21" s="2">
        <f t="shared" si="1"/>
        <v>0.90796862672297773</v>
      </c>
      <c r="L21" s="2">
        <f t="shared" si="2"/>
        <v>1.0895522388059702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K21" s="2"/>
    </row>
    <row r="22" spans="1:37" x14ac:dyDescent="0.25">
      <c r="A22">
        <f t="shared" si="3"/>
        <v>20</v>
      </c>
      <c r="B22" s="2">
        <v>19935.5</v>
      </c>
      <c r="C22" s="2">
        <v>20107.109587700001</v>
      </c>
      <c r="D22" s="2">
        <v>2514.4249322999999</v>
      </c>
      <c r="E22" s="2">
        <v>3069.3873563000002</v>
      </c>
      <c r="F22" s="2">
        <v>1.13498E-2</v>
      </c>
      <c r="G22" s="2">
        <v>1.14476E-2</v>
      </c>
      <c r="H22" s="2">
        <v>1.14476E-2</v>
      </c>
      <c r="I22" s="2">
        <v>1.2459899999999999E-2</v>
      </c>
      <c r="J22" s="2">
        <f t="shared" si="0"/>
        <v>0.99145672455361822</v>
      </c>
      <c r="K22" s="2">
        <f t="shared" si="1"/>
        <v>1.0884290156888778</v>
      </c>
      <c r="L22" s="2">
        <f t="shared" si="2"/>
        <v>0.91090618704805015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K22" s="2"/>
    </row>
    <row r="23" spans="1:37" x14ac:dyDescent="0.25">
      <c r="A23">
        <f t="shared" si="3"/>
        <v>21</v>
      </c>
      <c r="B23" s="2">
        <v>7996.9030000000002</v>
      </c>
      <c r="C23" s="2">
        <v>8203.6295298000005</v>
      </c>
      <c r="D23" s="2">
        <v>1025.876471</v>
      </c>
      <c r="E23" s="2">
        <v>1168.0271679</v>
      </c>
      <c r="F23" s="2">
        <v>4.5529000000000003E-3</v>
      </c>
      <c r="G23" s="2">
        <v>4.6705999999999996E-3</v>
      </c>
      <c r="H23" s="2">
        <v>4.6705999999999996E-3</v>
      </c>
      <c r="I23" s="2">
        <v>4.7415000000000001E-3</v>
      </c>
      <c r="J23" s="2">
        <f t="shared" si="0"/>
        <v>0.9747998115873765</v>
      </c>
      <c r="K23" s="2">
        <f t="shared" si="1"/>
        <v>1.0151800625187344</v>
      </c>
      <c r="L23" s="2">
        <f t="shared" si="2"/>
        <v>0.96022355794579783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K23" s="2"/>
    </row>
    <row r="24" spans="1:37" x14ac:dyDescent="0.25">
      <c r="A24">
        <f t="shared" si="3"/>
        <v>22</v>
      </c>
      <c r="B24" s="2">
        <v>29798</v>
      </c>
      <c r="C24" s="2">
        <v>33225.200183499997</v>
      </c>
      <c r="D24" s="2">
        <v>4154.8623066999999</v>
      </c>
      <c r="E24" s="2">
        <v>4256.9407137999997</v>
      </c>
      <c r="F24" s="2">
        <v>1.6964900000000002E-2</v>
      </c>
      <c r="G24" s="2">
        <v>1.8916100000000002E-2</v>
      </c>
      <c r="H24" s="2">
        <v>1.8916100000000002E-2</v>
      </c>
      <c r="I24" s="2">
        <v>1.72807E-2</v>
      </c>
      <c r="J24" s="2">
        <f t="shared" si="0"/>
        <v>0.89684977347339034</v>
      </c>
      <c r="K24" s="2">
        <f t="shared" si="1"/>
        <v>0.91354454670888807</v>
      </c>
      <c r="L24" s="2">
        <f t="shared" si="2"/>
        <v>0.98172527733251558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K24" s="2"/>
    </row>
    <row r="25" spans="1:37" x14ac:dyDescent="0.25">
      <c r="A25">
        <f t="shared" si="3"/>
        <v>23</v>
      </c>
      <c r="B25" s="2">
        <v>24200.799999999999</v>
      </c>
      <c r="C25" s="2">
        <v>20123.415979900001</v>
      </c>
      <c r="D25" s="2">
        <v>2516.4640717000002</v>
      </c>
      <c r="E25" s="2">
        <v>3472.2454858000001</v>
      </c>
      <c r="F25" s="2">
        <v>1.3778200000000001E-2</v>
      </c>
      <c r="G25" s="2">
        <v>1.14568E-2</v>
      </c>
      <c r="H25" s="2">
        <v>1.14568E-2</v>
      </c>
      <c r="I25" s="2">
        <v>1.40953E-2</v>
      </c>
      <c r="J25" s="2">
        <f t="shared" si="0"/>
        <v>1.202622023601704</v>
      </c>
      <c r="K25" s="2">
        <f t="shared" si="1"/>
        <v>1.2302999092242162</v>
      </c>
      <c r="L25" s="2">
        <f t="shared" si="2"/>
        <v>0.97750313934432054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K25" s="2"/>
    </row>
    <row r="26" spans="1:37" x14ac:dyDescent="0.25">
      <c r="A26">
        <f t="shared" si="3"/>
        <v>24</v>
      </c>
      <c r="B26" s="2">
        <v>9735.5049999999992</v>
      </c>
      <c r="C26" s="2">
        <v>8985.7854717999999</v>
      </c>
      <c r="D26" s="2">
        <v>1123.6862727</v>
      </c>
      <c r="E26" s="2">
        <v>1485.2247050000001</v>
      </c>
      <c r="F26" s="2">
        <v>5.5427000000000002E-3</v>
      </c>
      <c r="G26" s="2">
        <v>5.1158999999999996E-3</v>
      </c>
      <c r="H26" s="2">
        <v>5.1158999999999996E-3</v>
      </c>
      <c r="I26" s="2">
        <v>6.0290999999999999E-3</v>
      </c>
      <c r="J26" s="2">
        <f t="shared" si="0"/>
        <v>1.0834261811216015</v>
      </c>
      <c r="K26" s="2">
        <f t="shared" si="1"/>
        <v>1.1785023163079811</v>
      </c>
      <c r="L26" s="2">
        <f t="shared" si="2"/>
        <v>0.91932460897978141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K26" s="2"/>
    </row>
    <row r="27" spans="1:37" x14ac:dyDescent="0.25">
      <c r="A27">
        <f t="shared" si="3"/>
        <v>25</v>
      </c>
      <c r="B27" s="2">
        <v>17265</v>
      </c>
      <c r="C27" s="2">
        <v>13954.330641099999</v>
      </c>
      <c r="D27" s="2">
        <v>1745.0104762000001</v>
      </c>
      <c r="E27" s="2">
        <v>1926.3980164</v>
      </c>
      <c r="F27" s="2">
        <v>9.8294999999999997E-3</v>
      </c>
      <c r="G27" s="2">
        <v>7.9445999999999996E-3</v>
      </c>
      <c r="H27" s="2">
        <v>7.9445999999999996E-3</v>
      </c>
      <c r="I27" s="2">
        <v>7.8200000000000006E-3</v>
      </c>
      <c r="J27" s="2">
        <f t="shared" si="0"/>
        <v>1.2372554942980138</v>
      </c>
      <c r="K27" s="2">
        <f t="shared" si="1"/>
        <v>0.98431639100772861</v>
      </c>
      <c r="L27" s="2">
        <f t="shared" si="2"/>
        <v>1.2569693094629155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K27" s="2"/>
    </row>
    <row r="28" spans="1:37" x14ac:dyDescent="0.25">
      <c r="A28">
        <f t="shared" si="3"/>
        <v>26</v>
      </c>
      <c r="B28" s="2">
        <v>3627.5</v>
      </c>
      <c r="C28" s="2">
        <v>3179.0020324000002</v>
      </c>
      <c r="D28" s="2">
        <v>397.53908610000002</v>
      </c>
      <c r="E28" s="2">
        <v>459.33506799999998</v>
      </c>
      <c r="F28" s="2">
        <v>2.0652000000000001E-3</v>
      </c>
      <c r="G28" s="2">
        <v>1.8098999999999999E-3</v>
      </c>
      <c r="H28" s="2">
        <v>1.8098999999999999E-3</v>
      </c>
      <c r="I28" s="2">
        <v>1.8645999999999999E-3</v>
      </c>
      <c r="J28" s="2">
        <f t="shared" si="0"/>
        <v>1.1410575169898891</v>
      </c>
      <c r="K28" s="2">
        <f t="shared" si="1"/>
        <v>1.0302226642355932</v>
      </c>
      <c r="L28" s="2">
        <f t="shared" si="2"/>
        <v>1.1075833959026067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K28" s="2"/>
    </row>
    <row r="29" spans="1:37" x14ac:dyDescent="0.25">
      <c r="A29">
        <f t="shared" si="3"/>
        <v>27</v>
      </c>
      <c r="B29" s="2">
        <v>31524</v>
      </c>
      <c r="C29" s="2">
        <v>18955.586119700001</v>
      </c>
      <c r="D29" s="2">
        <v>2370.4251542000002</v>
      </c>
      <c r="E29" s="2">
        <v>3625.4893078</v>
      </c>
      <c r="F29" s="2">
        <v>1.7947500000000002E-2</v>
      </c>
      <c r="G29" s="2">
        <v>1.0792E-2</v>
      </c>
      <c r="H29" s="2">
        <v>1.0792E-2</v>
      </c>
      <c r="I29" s="2">
        <v>1.4717299999999999E-2</v>
      </c>
      <c r="J29" s="2">
        <f t="shared" si="0"/>
        <v>1.6630374351371389</v>
      </c>
      <c r="K29" s="2">
        <f t="shared" si="1"/>
        <v>1.363723128243143</v>
      </c>
      <c r="L29" s="2">
        <f t="shared" si="2"/>
        <v>1.2194831932487618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K29" s="2"/>
    </row>
    <row r="30" spans="1:37" x14ac:dyDescent="0.25">
      <c r="A30">
        <f t="shared" si="3"/>
        <v>28</v>
      </c>
      <c r="B30" s="2">
        <v>20713.5</v>
      </c>
      <c r="C30" s="2">
        <v>19131.5868706</v>
      </c>
      <c r="D30" s="2">
        <v>2392.4343183999999</v>
      </c>
      <c r="E30" s="2">
        <v>2669.1612919999998</v>
      </c>
      <c r="F30" s="2">
        <v>1.1792800000000001E-2</v>
      </c>
      <c r="G30" s="2">
        <v>1.0892199999999999E-2</v>
      </c>
      <c r="H30" s="2">
        <v>1.0892199999999999E-2</v>
      </c>
      <c r="I30" s="2">
        <v>1.08352E-2</v>
      </c>
      <c r="J30" s="2">
        <f t="shared" si="0"/>
        <v>1.0826830208773253</v>
      </c>
      <c r="K30" s="2">
        <f t="shared" si="1"/>
        <v>0.99476689741282753</v>
      </c>
      <c r="L30" s="2">
        <f t="shared" si="2"/>
        <v>1.0883786178381571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K30" s="2"/>
    </row>
    <row r="31" spans="1:37" x14ac:dyDescent="0.25">
      <c r="A31">
        <f t="shared" si="3"/>
        <v>29</v>
      </c>
      <c r="B31" s="2">
        <v>1063.597</v>
      </c>
      <c r="C31" s="2">
        <v>999.225234</v>
      </c>
      <c r="D31" s="2">
        <v>124.95465</v>
      </c>
      <c r="E31" s="2">
        <v>139.9995261</v>
      </c>
      <c r="F31" s="2">
        <v>6.0550000000000003E-4</v>
      </c>
      <c r="G31" s="2">
        <v>5.689E-4</v>
      </c>
      <c r="H31" s="2">
        <v>5.689E-4</v>
      </c>
      <c r="I31" s="2">
        <v>5.6829999999999999E-4</v>
      </c>
      <c r="J31" s="2">
        <f t="shared" si="0"/>
        <v>1.0643346809632626</v>
      </c>
      <c r="K31" s="2">
        <f t="shared" si="1"/>
        <v>0.99894533309896294</v>
      </c>
      <c r="L31" s="2">
        <f t="shared" si="2"/>
        <v>1.0654583846559915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K31" s="2"/>
    </row>
    <row r="32" spans="1:37" x14ac:dyDescent="0.25">
      <c r="A32">
        <f t="shared" si="3"/>
        <v>30</v>
      </c>
      <c r="B32" s="2">
        <v>4534.701</v>
      </c>
      <c r="C32" s="2">
        <v>5254.0836326999997</v>
      </c>
      <c r="D32" s="2">
        <v>657.03122689999998</v>
      </c>
      <c r="E32" s="2">
        <v>623.72038699999996</v>
      </c>
      <c r="F32" s="2">
        <v>2.5817000000000001E-3</v>
      </c>
      <c r="G32" s="2">
        <v>2.9913000000000001E-3</v>
      </c>
      <c r="H32" s="2">
        <v>2.9913000000000001E-3</v>
      </c>
      <c r="I32" s="2">
        <v>2.5319000000000001E-3</v>
      </c>
      <c r="J32" s="2">
        <f t="shared" si="0"/>
        <v>0.86306956841507043</v>
      </c>
      <c r="K32" s="2">
        <f t="shared" si="1"/>
        <v>0.84642128840303543</v>
      </c>
      <c r="L32" s="2">
        <f t="shared" si="2"/>
        <v>1.019669023263162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K32" s="2"/>
    </row>
    <row r="33" spans="1:37" x14ac:dyDescent="0.25">
      <c r="A33">
        <f t="shared" si="3"/>
        <v>31</v>
      </c>
      <c r="B33" s="2">
        <v>5628.5969999999998</v>
      </c>
      <c r="C33" s="2">
        <v>5539.6516846000004</v>
      </c>
      <c r="D33" s="2">
        <v>692.74195039999995</v>
      </c>
      <c r="E33" s="2">
        <v>778.51133530000004</v>
      </c>
      <c r="F33" s="2">
        <v>3.2044999999999999E-3</v>
      </c>
      <c r="G33" s="2">
        <v>3.1538999999999998E-3</v>
      </c>
      <c r="H33" s="2">
        <v>3.1538999999999998E-3</v>
      </c>
      <c r="I33" s="2">
        <v>3.1603E-3</v>
      </c>
      <c r="J33" s="2">
        <f t="shared" si="0"/>
        <v>1.0160436285234156</v>
      </c>
      <c r="K33" s="2">
        <f t="shared" si="1"/>
        <v>1.0020292336472305</v>
      </c>
      <c r="L33" s="2">
        <f t="shared" si="2"/>
        <v>1.013986013986014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K33" s="2"/>
    </row>
    <row r="34" spans="1:37" x14ac:dyDescent="0.25">
      <c r="A34">
        <f t="shared" si="3"/>
        <v>32</v>
      </c>
      <c r="B34" s="2">
        <v>15411.4</v>
      </c>
      <c r="C34" s="2">
        <v>15947.127805800001</v>
      </c>
      <c r="D34" s="2">
        <v>1994.212822</v>
      </c>
      <c r="E34" s="2">
        <v>2298.8002351999999</v>
      </c>
      <c r="F34" s="2">
        <v>8.7741E-3</v>
      </c>
      <c r="G34" s="2">
        <v>9.0792000000000008E-3</v>
      </c>
      <c r="H34" s="2">
        <v>9.0792000000000008E-3</v>
      </c>
      <c r="I34" s="2">
        <v>9.3317999999999995E-3</v>
      </c>
      <c r="J34" s="2">
        <f t="shared" si="0"/>
        <v>0.96639571768437738</v>
      </c>
      <c r="K34" s="2">
        <f t="shared" si="1"/>
        <v>1.0278218345228654</v>
      </c>
      <c r="L34" s="2">
        <f t="shared" si="2"/>
        <v>0.94023661030026362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K34" s="2"/>
    </row>
    <row r="35" spans="1:37" x14ac:dyDescent="0.25">
      <c r="A35">
        <f t="shared" si="3"/>
        <v>33</v>
      </c>
      <c r="B35" s="2">
        <v>37319.1</v>
      </c>
      <c r="C35" s="2">
        <v>40597.582055999999</v>
      </c>
      <c r="D35" s="2">
        <v>5076.7899815999999</v>
      </c>
      <c r="E35" s="2">
        <v>6244.4446396000003</v>
      </c>
      <c r="F35" s="2">
        <v>2.12468E-2</v>
      </c>
      <c r="G35" s="2">
        <v>2.3113399999999999E-2</v>
      </c>
      <c r="H35" s="2">
        <v>2.3113399999999999E-2</v>
      </c>
      <c r="I35" s="2">
        <v>2.5348800000000001E-2</v>
      </c>
      <c r="J35" s="2">
        <f t="shared" si="0"/>
        <v>0.91924165202869335</v>
      </c>
      <c r="K35" s="2">
        <f t="shared" si="1"/>
        <v>1.0967144600102106</v>
      </c>
      <c r="L35" s="2">
        <f t="shared" si="2"/>
        <v>0.83817774411411972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K35" s="2"/>
    </row>
    <row r="36" spans="1:37" x14ac:dyDescent="0.25">
      <c r="A36">
        <f t="shared" si="3"/>
        <v>34</v>
      </c>
      <c r="B36" s="2">
        <v>24126.400000000001</v>
      </c>
      <c r="C36" s="2">
        <v>26527.4098476</v>
      </c>
      <c r="D36" s="2">
        <v>3317.2933394000001</v>
      </c>
      <c r="E36" s="2">
        <v>3847.4155225999998</v>
      </c>
      <c r="F36" s="2">
        <v>1.3735799999999999E-2</v>
      </c>
      <c r="G36" s="2">
        <v>1.51028E-2</v>
      </c>
      <c r="H36" s="2">
        <v>1.51028E-2</v>
      </c>
      <c r="I36" s="2">
        <v>1.56182E-2</v>
      </c>
      <c r="J36" s="2">
        <f t="shared" si="0"/>
        <v>0.9094869825462828</v>
      </c>
      <c r="K36" s="2">
        <f t="shared" si="1"/>
        <v>1.0341261223084461</v>
      </c>
      <c r="L36" s="2">
        <f t="shared" si="2"/>
        <v>0.87947394706176119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K36" s="2"/>
    </row>
    <row r="37" spans="1:37" x14ac:dyDescent="0.25">
      <c r="A37">
        <f t="shared" si="3"/>
        <v>35</v>
      </c>
      <c r="B37" s="2">
        <v>4890.2950000000001</v>
      </c>
      <c r="C37" s="2">
        <v>5219.3365444999999</v>
      </c>
      <c r="D37" s="2">
        <v>652.68605019999995</v>
      </c>
      <c r="E37" s="2">
        <v>735.85343350000005</v>
      </c>
      <c r="F37" s="2">
        <v>2.7842000000000001E-3</v>
      </c>
      <c r="G37" s="2">
        <v>2.9715000000000002E-3</v>
      </c>
      <c r="H37" s="2">
        <v>2.9715000000000002E-3</v>
      </c>
      <c r="I37" s="2">
        <v>2.9870999999999999E-3</v>
      </c>
      <c r="J37" s="2">
        <f t="shared" si="0"/>
        <v>0.93696786134948673</v>
      </c>
      <c r="K37" s="2">
        <f t="shared" si="1"/>
        <v>1.0052498738011104</v>
      </c>
      <c r="L37" s="2">
        <f t="shared" si="2"/>
        <v>0.9320745873924543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K37" s="2"/>
    </row>
    <row r="38" spans="1:37" x14ac:dyDescent="0.25">
      <c r="A38">
        <f t="shared" si="3"/>
        <v>36</v>
      </c>
      <c r="B38" s="2">
        <v>15383.8</v>
      </c>
      <c r="C38" s="2">
        <v>17699.387851200001</v>
      </c>
      <c r="D38" s="2">
        <v>2213.3356315999999</v>
      </c>
      <c r="E38" s="2">
        <v>2283.7389567999999</v>
      </c>
      <c r="F38" s="2">
        <v>8.7583999999999995E-3</v>
      </c>
      <c r="G38" s="2">
        <v>1.00768E-2</v>
      </c>
      <c r="H38" s="2">
        <v>1.00768E-2</v>
      </c>
      <c r="I38" s="2">
        <v>9.2706000000000004E-3</v>
      </c>
      <c r="J38" s="2">
        <f t="shared" si="0"/>
        <v>0.86916481422673852</v>
      </c>
      <c r="K38" s="2">
        <f t="shared" si="1"/>
        <v>0.91999444268021591</v>
      </c>
      <c r="L38" s="2">
        <f t="shared" si="2"/>
        <v>0.94475007011412415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K38" s="2"/>
    </row>
    <row r="39" spans="1:37" x14ac:dyDescent="0.25">
      <c r="A39">
        <f t="shared" si="3"/>
        <v>37</v>
      </c>
      <c r="B39" s="2">
        <v>11310.4</v>
      </c>
      <c r="C39" s="2">
        <v>12696.3782625</v>
      </c>
      <c r="D39" s="2">
        <v>1587.7015994999999</v>
      </c>
      <c r="E39" s="2">
        <v>1645.9550045999999</v>
      </c>
      <c r="F39" s="2">
        <v>6.4393000000000002E-3</v>
      </c>
      <c r="G39" s="2">
        <v>7.2284000000000003E-3</v>
      </c>
      <c r="H39" s="2">
        <v>7.2284000000000003E-3</v>
      </c>
      <c r="I39" s="2">
        <v>6.6816000000000002E-3</v>
      </c>
      <c r="J39" s="2">
        <f t="shared" si="0"/>
        <v>0.89083337944773389</v>
      </c>
      <c r="K39" s="2">
        <f t="shared" si="1"/>
        <v>0.92435393724752368</v>
      </c>
      <c r="L39" s="2">
        <f t="shared" si="2"/>
        <v>0.96373623084291193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K39" s="2"/>
    </row>
    <row r="40" spans="1:37" x14ac:dyDescent="0.25">
      <c r="A40">
        <f t="shared" si="3"/>
        <v>38</v>
      </c>
      <c r="B40" s="2">
        <v>14298.4</v>
      </c>
      <c r="C40" s="2">
        <v>14620.129365999999</v>
      </c>
      <c r="D40" s="2">
        <v>1828.2696292999999</v>
      </c>
      <c r="E40" s="2">
        <v>1893.7464832000001</v>
      </c>
      <c r="F40" s="2">
        <v>8.1405000000000002E-3</v>
      </c>
      <c r="G40" s="2">
        <v>8.3236999999999998E-3</v>
      </c>
      <c r="H40" s="2">
        <v>8.3236999999999998E-3</v>
      </c>
      <c r="I40" s="2">
        <v>7.6874999999999999E-3</v>
      </c>
      <c r="J40" s="2">
        <f t="shared" si="0"/>
        <v>0.97799055708398908</v>
      </c>
      <c r="K40" s="2">
        <f t="shared" si="1"/>
        <v>0.92356764419669135</v>
      </c>
      <c r="L40" s="2">
        <f t="shared" si="2"/>
        <v>1.0589268292682927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K40" s="2"/>
    </row>
    <row r="41" spans="1:37" x14ac:dyDescent="0.25">
      <c r="A41">
        <f t="shared" si="3"/>
        <v>39</v>
      </c>
      <c r="B41" s="2">
        <v>5422.5010000000002</v>
      </c>
      <c r="C41" s="2">
        <v>5231.6033587000002</v>
      </c>
      <c r="D41" s="2">
        <v>654.22003410000002</v>
      </c>
      <c r="E41" s="2">
        <v>691.74247379999997</v>
      </c>
      <c r="F41" s="2">
        <v>3.0872E-3</v>
      </c>
      <c r="G41" s="2">
        <v>2.9784999999999998E-3</v>
      </c>
      <c r="H41" s="2">
        <v>2.9784999999999998E-3</v>
      </c>
      <c r="I41" s="2">
        <v>2.8081E-3</v>
      </c>
      <c r="J41" s="2">
        <f t="shared" si="0"/>
        <v>1.0364948799731408</v>
      </c>
      <c r="K41" s="2">
        <f t="shared" si="1"/>
        <v>0.94278999496390803</v>
      </c>
      <c r="L41" s="2">
        <f t="shared" si="2"/>
        <v>1.0993910473273745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K41" s="2"/>
    </row>
    <row r="42" spans="1:37" x14ac:dyDescent="0.25">
      <c r="A42">
        <f t="shared" si="3"/>
        <v>40</v>
      </c>
      <c r="B42" s="2">
        <v>5595.7030000000004</v>
      </c>
      <c r="C42" s="2">
        <v>5566.6874385000001</v>
      </c>
      <c r="D42" s="2">
        <v>696.12281289999999</v>
      </c>
      <c r="E42" s="2">
        <v>715.55167119999999</v>
      </c>
      <c r="F42" s="2">
        <v>3.1857999999999999E-3</v>
      </c>
      <c r="G42" s="2">
        <v>3.1692999999999999E-3</v>
      </c>
      <c r="H42" s="2">
        <v>3.1692999999999999E-3</v>
      </c>
      <c r="I42" s="2">
        <v>2.9047000000000001E-3</v>
      </c>
      <c r="J42" s="2">
        <f t="shared" si="0"/>
        <v>1.0052061969520083</v>
      </c>
      <c r="K42" s="2">
        <f t="shared" si="1"/>
        <v>0.91651153251506645</v>
      </c>
      <c r="L42" s="2">
        <f t="shared" si="2"/>
        <v>1.096774193548387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K42" s="2"/>
    </row>
    <row r="43" spans="1:37" x14ac:dyDescent="0.25">
      <c r="A43">
        <f t="shared" si="3"/>
        <v>41</v>
      </c>
      <c r="B43" s="2">
        <v>7926.3040000000001</v>
      </c>
      <c r="C43" s="2">
        <v>7892.8371912000002</v>
      </c>
      <c r="D43" s="2">
        <v>987.01141170000005</v>
      </c>
      <c r="E43" s="2">
        <v>1012.5737864</v>
      </c>
      <c r="F43" s="2">
        <v>4.5126999999999997E-3</v>
      </c>
      <c r="G43" s="2">
        <v>4.4936000000000004E-3</v>
      </c>
      <c r="H43" s="2">
        <v>4.4936000000000004E-3</v>
      </c>
      <c r="I43" s="2">
        <v>4.1104999999999996E-3</v>
      </c>
      <c r="J43" s="2">
        <f t="shared" si="0"/>
        <v>1.0042504895851876</v>
      </c>
      <c r="K43" s="2">
        <f t="shared" si="1"/>
        <v>0.91474541570233203</v>
      </c>
      <c r="L43" s="2">
        <f t="shared" si="2"/>
        <v>1.0978469772533754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K43" s="2"/>
    </row>
    <row r="44" spans="1:37" x14ac:dyDescent="0.25">
      <c r="A44">
        <f t="shared" si="3"/>
        <v>42</v>
      </c>
      <c r="B44" s="2">
        <v>2825.1</v>
      </c>
      <c r="C44" s="2">
        <v>3018.6379897000002</v>
      </c>
      <c r="D44" s="2">
        <v>377.48531630000002</v>
      </c>
      <c r="E44" s="2">
        <v>372.73262679999999</v>
      </c>
      <c r="F44" s="2">
        <v>1.6084000000000001E-3</v>
      </c>
      <c r="G44" s="2">
        <v>1.7186E-3</v>
      </c>
      <c r="H44" s="2">
        <v>1.7186E-3</v>
      </c>
      <c r="I44" s="2">
        <v>1.5131000000000001E-3</v>
      </c>
      <c r="J44" s="2">
        <f t="shared" si="0"/>
        <v>0.93587804026533228</v>
      </c>
      <c r="K44" s="2">
        <f t="shared" si="1"/>
        <v>0.88042592808099618</v>
      </c>
      <c r="L44" s="2">
        <f t="shared" si="2"/>
        <v>1.0629832793602538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K44" s="2"/>
    </row>
    <row r="45" spans="1:37" x14ac:dyDescent="0.25">
      <c r="A45">
        <f t="shared" si="3"/>
        <v>43</v>
      </c>
      <c r="B45" s="2">
        <v>7185.9989999999998</v>
      </c>
      <c r="C45" s="2">
        <v>8493.5960080999994</v>
      </c>
      <c r="D45" s="2">
        <v>1062.1372243999999</v>
      </c>
      <c r="E45" s="2">
        <v>1047.0140782999999</v>
      </c>
      <c r="F45" s="2">
        <v>4.0911999999999997E-3</v>
      </c>
      <c r="G45" s="2">
        <v>4.8355999999999998E-3</v>
      </c>
      <c r="H45" s="2">
        <v>4.8355999999999998E-3</v>
      </c>
      <c r="I45" s="2">
        <v>4.2503000000000003E-3</v>
      </c>
      <c r="J45" s="2">
        <f t="shared" si="0"/>
        <v>0.84605840019852752</v>
      </c>
      <c r="K45" s="2">
        <f t="shared" si="1"/>
        <v>0.87896021176275962</v>
      </c>
      <c r="L45" s="2">
        <f t="shared" si="2"/>
        <v>0.9625673481871867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K45" s="2"/>
    </row>
    <row r="46" spans="1:37" x14ac:dyDescent="0.25">
      <c r="A46">
        <f t="shared" si="3"/>
        <v>44</v>
      </c>
      <c r="B46" s="2">
        <v>5896</v>
      </c>
      <c r="C46" s="2">
        <v>5793.7136835000001</v>
      </c>
      <c r="D46" s="2">
        <v>724.51279350000004</v>
      </c>
      <c r="E46" s="2">
        <v>735.41743610000003</v>
      </c>
      <c r="F46" s="2">
        <v>3.3568000000000001E-3</v>
      </c>
      <c r="G46" s="2">
        <v>3.2985000000000002E-3</v>
      </c>
      <c r="H46" s="2">
        <v>3.2985000000000002E-3</v>
      </c>
      <c r="I46" s="2">
        <v>2.9854E-3</v>
      </c>
      <c r="J46" s="2">
        <f t="shared" si="0"/>
        <v>1.0176747006214946</v>
      </c>
      <c r="K46" s="2">
        <f t="shared" si="1"/>
        <v>0.90507806578747907</v>
      </c>
      <c r="L46" s="2">
        <f t="shared" si="2"/>
        <v>1.1244054398070611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K46" s="2"/>
    </row>
    <row r="47" spans="1:37" x14ac:dyDescent="0.25">
      <c r="A47">
        <f t="shared" si="3"/>
        <v>45</v>
      </c>
      <c r="B47" s="2">
        <v>8189.3959999999997</v>
      </c>
      <c r="C47" s="2">
        <v>8741.0558672000006</v>
      </c>
      <c r="D47" s="2">
        <v>1093.0824597999999</v>
      </c>
      <c r="E47" s="2">
        <v>1115.5574778</v>
      </c>
      <c r="F47" s="2">
        <v>4.6625E-3</v>
      </c>
      <c r="G47" s="2">
        <v>4.9765E-3</v>
      </c>
      <c r="H47" s="2">
        <v>4.9765E-3</v>
      </c>
      <c r="I47" s="2">
        <v>4.5285000000000004E-3</v>
      </c>
      <c r="J47" s="2">
        <f t="shared" si="0"/>
        <v>0.93690344619712651</v>
      </c>
      <c r="K47" s="2">
        <f t="shared" si="1"/>
        <v>0.90997689138953086</v>
      </c>
      <c r="L47" s="2">
        <f t="shared" si="2"/>
        <v>1.0295903720878876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K47" s="2"/>
    </row>
    <row r="48" spans="1:37" x14ac:dyDescent="0.25">
      <c r="A48">
        <f t="shared" si="3"/>
        <v>46</v>
      </c>
      <c r="B48" s="2">
        <v>4485.7039999999997</v>
      </c>
      <c r="C48" s="2">
        <v>5993.5560489999998</v>
      </c>
      <c r="D48" s="2">
        <v>749.50338820000002</v>
      </c>
      <c r="E48" s="2">
        <v>706.87565529999995</v>
      </c>
      <c r="F48" s="2">
        <v>2.5538000000000002E-3</v>
      </c>
      <c r="G48" s="2">
        <v>3.4123000000000001E-3</v>
      </c>
      <c r="H48" s="2">
        <v>3.4123000000000001E-3</v>
      </c>
      <c r="I48" s="2">
        <v>2.8695000000000001E-3</v>
      </c>
      <c r="J48" s="2">
        <f t="shared" si="0"/>
        <v>0.74841016323301002</v>
      </c>
      <c r="K48" s="2">
        <f t="shared" si="1"/>
        <v>0.84092840606042851</v>
      </c>
      <c r="L48" s="2">
        <f t="shared" si="2"/>
        <v>0.88998083289771746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K48" s="2"/>
    </row>
    <row r="49" spans="1:37" x14ac:dyDescent="0.25">
      <c r="A49">
        <f t="shared" si="3"/>
        <v>47</v>
      </c>
      <c r="B49" s="2">
        <v>8067.0029999999997</v>
      </c>
      <c r="C49" s="2">
        <v>8497.7004732999994</v>
      </c>
      <c r="D49" s="2">
        <v>1062.650494</v>
      </c>
      <c r="E49" s="2">
        <v>1045.0075013000001</v>
      </c>
      <c r="F49" s="2">
        <v>4.5928000000000002E-3</v>
      </c>
      <c r="G49" s="2">
        <v>4.8380000000000003E-3</v>
      </c>
      <c r="H49" s="2">
        <v>4.8380000000000003E-3</v>
      </c>
      <c r="I49" s="2">
        <v>4.2421000000000004E-3</v>
      </c>
      <c r="J49" s="2">
        <f t="shared" si="0"/>
        <v>0.94931789995866056</v>
      </c>
      <c r="K49" s="2">
        <f t="shared" si="1"/>
        <v>0.87682926829268293</v>
      </c>
      <c r="L49" s="2">
        <f t="shared" si="2"/>
        <v>1.0826713184507673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K49" s="2"/>
    </row>
    <row r="50" spans="1:37" x14ac:dyDescent="0.25">
      <c r="A50">
        <f t="shared" si="3"/>
        <v>48</v>
      </c>
      <c r="B50" s="2">
        <v>8543.9</v>
      </c>
      <c r="C50" s="2">
        <v>7365.8848018999997</v>
      </c>
      <c r="D50" s="2">
        <v>921.11520619999999</v>
      </c>
      <c r="E50" s="2">
        <v>958.78146890000005</v>
      </c>
      <c r="F50" s="2">
        <v>4.8643000000000002E-3</v>
      </c>
      <c r="G50" s="2">
        <v>4.1935999999999996E-3</v>
      </c>
      <c r="H50" s="2">
        <v>4.1935999999999996E-3</v>
      </c>
      <c r="I50" s="2">
        <v>3.8920999999999999E-3</v>
      </c>
      <c r="J50" s="2">
        <f t="shared" si="0"/>
        <v>1.1599341854254104</v>
      </c>
      <c r="K50" s="2">
        <f t="shared" si="1"/>
        <v>0.92810473101869517</v>
      </c>
      <c r="L50" s="2">
        <f t="shared" si="2"/>
        <v>1.2497880321677244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K50" s="2"/>
    </row>
    <row r="51" spans="1:37" x14ac:dyDescent="0.25">
      <c r="A51">
        <f t="shared" si="3"/>
        <v>49</v>
      </c>
      <c r="B51" s="2">
        <v>10466.4</v>
      </c>
      <c r="C51" s="2">
        <v>11253.5444252</v>
      </c>
      <c r="D51" s="2">
        <v>1407.2730124</v>
      </c>
      <c r="E51" s="2">
        <v>1415.1503619</v>
      </c>
      <c r="F51" s="2">
        <v>5.9588000000000002E-3</v>
      </c>
      <c r="G51" s="2">
        <v>6.4070000000000004E-3</v>
      </c>
      <c r="H51" s="2">
        <v>6.4070000000000004E-3</v>
      </c>
      <c r="I51" s="2">
        <v>5.7447000000000002E-3</v>
      </c>
      <c r="J51" s="2">
        <f t="shared" si="0"/>
        <v>0.93004526299360069</v>
      </c>
      <c r="K51" s="2">
        <f t="shared" si="1"/>
        <v>0.89662868737318557</v>
      </c>
      <c r="L51" s="2">
        <f t="shared" si="2"/>
        <v>1.0372691350288092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K51" s="2"/>
    </row>
    <row r="52" spans="1:37" x14ac:dyDescent="0.25">
      <c r="A52">
        <f t="shared" si="3"/>
        <v>50</v>
      </c>
      <c r="B52" s="2">
        <v>6701.3010000000004</v>
      </c>
      <c r="C52" s="2">
        <v>6764.9979993999996</v>
      </c>
      <c r="D52" s="2">
        <v>845.97338879999995</v>
      </c>
      <c r="E52" s="2">
        <v>868.11739780000005</v>
      </c>
      <c r="F52" s="2">
        <v>3.8151999999999999E-3</v>
      </c>
      <c r="G52" s="2">
        <v>3.8514999999999999E-3</v>
      </c>
      <c r="H52" s="2">
        <v>3.8514999999999999E-3</v>
      </c>
      <c r="I52" s="2">
        <v>3.5239999999999998E-3</v>
      </c>
      <c r="J52" s="2">
        <f t="shared" si="0"/>
        <v>0.99057510061015186</v>
      </c>
      <c r="K52" s="2">
        <f t="shared" si="1"/>
        <v>0.91496819421004805</v>
      </c>
      <c r="L52" s="2">
        <f t="shared" si="2"/>
        <v>1.0826333711691261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K52" s="2"/>
    </row>
    <row r="53" spans="1:37" x14ac:dyDescent="0.25">
      <c r="A53">
        <f t="shared" si="3"/>
        <v>51</v>
      </c>
      <c r="B53" s="2">
        <v>5553</v>
      </c>
      <c r="C53" s="2">
        <v>5567.4952406000002</v>
      </c>
      <c r="D53" s="2">
        <v>696.22382979999998</v>
      </c>
      <c r="E53" s="2">
        <v>699.16152390000002</v>
      </c>
      <c r="F53" s="2">
        <v>3.1614999999999998E-3</v>
      </c>
      <c r="G53" s="2">
        <v>3.1697000000000001E-3</v>
      </c>
      <c r="H53" s="2">
        <v>3.1697000000000001E-3</v>
      </c>
      <c r="I53" s="2">
        <v>2.8381999999999999E-3</v>
      </c>
      <c r="J53" s="2">
        <f t="shared" si="0"/>
        <v>0.99741300438527292</v>
      </c>
      <c r="K53" s="2">
        <f t="shared" si="1"/>
        <v>0.89541596996561179</v>
      </c>
      <c r="L53" s="2">
        <f t="shared" si="2"/>
        <v>1.1139102247903601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K53" s="2"/>
    </row>
    <row r="54" spans="1:37" x14ac:dyDescent="0.25">
      <c r="A54">
        <f t="shared" si="3"/>
        <v>52</v>
      </c>
      <c r="B54" s="2">
        <v>18040.099999999999</v>
      </c>
      <c r="C54" s="2">
        <v>18710.764506</v>
      </c>
      <c r="D54" s="2">
        <v>2339.8098355000002</v>
      </c>
      <c r="E54" s="2">
        <v>2269.7258673000001</v>
      </c>
      <c r="F54" s="2">
        <v>1.0270700000000001E-2</v>
      </c>
      <c r="G54" s="2">
        <v>1.06526E-2</v>
      </c>
      <c r="H54" s="2">
        <v>1.06526E-2</v>
      </c>
      <c r="I54" s="2">
        <v>9.2137E-3</v>
      </c>
      <c r="J54" s="2">
        <f t="shared" si="0"/>
        <v>0.96414959728141492</v>
      </c>
      <c r="K54" s="2">
        <f t="shared" si="1"/>
        <v>0.86492499483694119</v>
      </c>
      <c r="L54" s="2">
        <f t="shared" si="2"/>
        <v>1.1147204706035578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K54" s="2"/>
    </row>
    <row r="55" spans="1:37" x14ac:dyDescent="0.25">
      <c r="A55">
        <f t="shared" si="3"/>
        <v>53</v>
      </c>
      <c r="B55" s="2">
        <v>8459.1</v>
      </c>
      <c r="C55" s="2">
        <v>8456.0716539000005</v>
      </c>
      <c r="D55" s="2">
        <v>1057.4447462999999</v>
      </c>
      <c r="E55" s="2">
        <v>1094.8370192</v>
      </c>
      <c r="F55" s="2">
        <v>4.816E-3</v>
      </c>
      <c r="G55" s="2">
        <v>4.8142999999999997E-3</v>
      </c>
      <c r="H55" s="2">
        <v>4.8142999999999997E-3</v>
      </c>
      <c r="I55" s="2">
        <v>4.4444000000000003E-3</v>
      </c>
      <c r="J55" s="2">
        <f t="shared" si="0"/>
        <v>1.0003531146791851</v>
      </c>
      <c r="K55" s="2">
        <f t="shared" si="1"/>
        <v>0.92316640009970308</v>
      </c>
      <c r="L55" s="2">
        <f t="shared" si="2"/>
        <v>1.083610836108361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K55" s="2"/>
    </row>
    <row r="56" spans="1:37" x14ac:dyDescent="0.25">
      <c r="A56">
        <f t="shared" si="3"/>
        <v>54</v>
      </c>
      <c r="B56" s="2">
        <v>4306.5029999999997</v>
      </c>
      <c r="C56" s="2">
        <v>4369.3070489000002</v>
      </c>
      <c r="D56" s="2">
        <v>546.38855639999997</v>
      </c>
      <c r="E56" s="2">
        <v>543.43236920000004</v>
      </c>
      <c r="F56" s="2">
        <v>2.4518000000000001E-3</v>
      </c>
      <c r="G56" s="2">
        <v>2.4876E-3</v>
      </c>
      <c r="H56" s="2">
        <v>2.4876E-3</v>
      </c>
      <c r="I56" s="2">
        <v>2.2060000000000001E-3</v>
      </c>
      <c r="J56" s="2">
        <f t="shared" si="0"/>
        <v>0.98560861874899508</v>
      </c>
      <c r="K56" s="2">
        <f t="shared" si="1"/>
        <v>0.88679852066248599</v>
      </c>
      <c r="L56" s="2">
        <f t="shared" si="2"/>
        <v>1.1114233907524933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K56" s="2"/>
    </row>
    <row r="57" spans="1:37" x14ac:dyDescent="0.25">
      <c r="A57">
        <f t="shared" si="3"/>
        <v>55</v>
      </c>
      <c r="B57" s="2">
        <v>65330.49</v>
      </c>
      <c r="C57" s="2">
        <v>63070.047077800002</v>
      </c>
      <c r="D57" s="2">
        <v>7887.0062433000003</v>
      </c>
      <c r="E57" s="2">
        <v>8209.5270784999993</v>
      </c>
      <c r="F57" s="2">
        <v>3.7194499999999998E-2</v>
      </c>
      <c r="G57" s="2">
        <v>3.5907599999999998E-2</v>
      </c>
      <c r="H57" s="2">
        <v>3.5907599999999998E-2</v>
      </c>
      <c r="I57" s="2">
        <v>3.3325800000000003E-2</v>
      </c>
      <c r="J57" s="2">
        <f t="shared" si="0"/>
        <v>1.035839209526674</v>
      </c>
      <c r="K57" s="2">
        <f t="shared" si="1"/>
        <v>0.92809878688634173</v>
      </c>
      <c r="L57" s="2">
        <f t="shared" si="2"/>
        <v>1.1160872357152716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K57" s="2"/>
    </row>
    <row r="58" spans="1:37" x14ac:dyDescent="0.25">
      <c r="A58">
        <f t="shared" si="3"/>
        <v>56</v>
      </c>
      <c r="B58" s="2">
        <v>17099.099999999999</v>
      </c>
      <c r="C58" s="2">
        <v>19012.428081499998</v>
      </c>
      <c r="D58" s="2">
        <v>2377.5333289</v>
      </c>
      <c r="E58" s="2">
        <v>2361.6012663000001</v>
      </c>
      <c r="F58" s="2">
        <v>9.7350000000000006E-3</v>
      </c>
      <c r="G58" s="2">
        <v>1.08243E-2</v>
      </c>
      <c r="H58" s="2">
        <v>1.08243E-2</v>
      </c>
      <c r="I58" s="2">
        <v>9.5867000000000001E-3</v>
      </c>
      <c r="J58" s="2">
        <f t="shared" si="0"/>
        <v>0.8993653169258059</v>
      </c>
      <c r="K58" s="2">
        <f t="shared" si="1"/>
        <v>0.88566466191809168</v>
      </c>
      <c r="L58" s="2">
        <f t="shared" si="2"/>
        <v>1.0154693481594292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K58" s="2"/>
    </row>
    <row r="59" spans="1:37" x14ac:dyDescent="0.25">
      <c r="A59">
        <f t="shared" si="3"/>
        <v>57</v>
      </c>
      <c r="B59" s="2">
        <v>12815.2</v>
      </c>
      <c r="C59" s="2">
        <v>15762.376305199999</v>
      </c>
      <c r="D59" s="2">
        <v>1971.1093631000001</v>
      </c>
      <c r="E59" s="2">
        <v>1909.8069476999999</v>
      </c>
      <c r="F59" s="2">
        <v>7.2960999999999998E-3</v>
      </c>
      <c r="G59" s="2">
        <v>8.9739999999999993E-3</v>
      </c>
      <c r="H59" s="2">
        <v>8.9739999999999993E-3</v>
      </c>
      <c r="I59" s="2">
        <v>7.7527000000000004E-3</v>
      </c>
      <c r="J59" s="2">
        <f t="shared" si="0"/>
        <v>0.8130265210608425</v>
      </c>
      <c r="K59" s="2">
        <f t="shared" si="1"/>
        <v>0.8639068419879653</v>
      </c>
      <c r="L59" s="2">
        <f t="shared" si="2"/>
        <v>0.94110438943851815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K59" s="2"/>
    </row>
    <row r="60" spans="1:37" x14ac:dyDescent="0.25">
      <c r="A60">
        <f t="shared" si="3"/>
        <v>58</v>
      </c>
      <c r="B60" s="2">
        <v>7020.9970000000003</v>
      </c>
      <c r="C60" s="2">
        <v>7136.4627430999999</v>
      </c>
      <c r="D60" s="2">
        <v>892.42562539999994</v>
      </c>
      <c r="E60" s="2">
        <v>877.11448470000005</v>
      </c>
      <c r="F60" s="2">
        <v>3.9972999999999996E-3</v>
      </c>
      <c r="G60" s="2">
        <v>4.0629999999999998E-3</v>
      </c>
      <c r="H60" s="2">
        <v>4.0629999999999998E-3</v>
      </c>
      <c r="I60" s="2">
        <v>3.5606000000000001E-3</v>
      </c>
      <c r="J60" s="2">
        <f t="shared" si="0"/>
        <v>0.98382968250061531</v>
      </c>
      <c r="K60" s="2">
        <f t="shared" si="1"/>
        <v>0.87634752645828218</v>
      </c>
      <c r="L60" s="2">
        <f t="shared" si="2"/>
        <v>1.1226478683367971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K60" s="2"/>
    </row>
    <row r="61" spans="1:37" x14ac:dyDescent="0.25">
      <c r="A61">
        <f t="shared" si="3"/>
        <v>59</v>
      </c>
      <c r="B61" s="2">
        <v>6561.0029999999997</v>
      </c>
      <c r="C61" s="2">
        <v>4864.3841327</v>
      </c>
      <c r="D61" s="2">
        <v>608.29870600000004</v>
      </c>
      <c r="E61" s="2">
        <v>646.01298810000003</v>
      </c>
      <c r="F61" s="2">
        <v>3.7353999999999998E-3</v>
      </c>
      <c r="G61" s="2">
        <v>2.7694E-3</v>
      </c>
      <c r="H61" s="2">
        <v>2.7694E-3</v>
      </c>
      <c r="I61" s="2">
        <v>2.6224E-3</v>
      </c>
      <c r="J61" s="2">
        <f t="shared" si="0"/>
        <v>1.3488120170434028</v>
      </c>
      <c r="K61" s="2">
        <f t="shared" si="1"/>
        <v>0.94691991044991697</v>
      </c>
      <c r="L61" s="2">
        <f t="shared" si="2"/>
        <v>1.4244203782794387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K61" s="2"/>
    </row>
    <row r="62" spans="1:37" x14ac:dyDescent="0.25">
      <c r="A62">
        <f t="shared" si="3"/>
        <v>60</v>
      </c>
      <c r="B62" s="2">
        <v>12023.6</v>
      </c>
      <c r="C62" s="2">
        <v>12347.5727654</v>
      </c>
      <c r="D62" s="2">
        <v>1544.0829364000001</v>
      </c>
      <c r="E62" s="2">
        <v>1551.6833352000001</v>
      </c>
      <c r="F62" s="2">
        <v>6.8453999999999997E-3</v>
      </c>
      <c r="G62" s="2">
        <v>7.0298000000000001E-3</v>
      </c>
      <c r="H62" s="2">
        <v>7.0298000000000001E-3</v>
      </c>
      <c r="I62" s="2">
        <v>6.2988999999999996E-3</v>
      </c>
      <c r="J62" s="2">
        <f t="shared" si="0"/>
        <v>0.9737688127684998</v>
      </c>
      <c r="K62" s="2">
        <f t="shared" si="1"/>
        <v>0.89602833651028468</v>
      </c>
      <c r="L62" s="2">
        <f t="shared" si="2"/>
        <v>1.0867611805235835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K62" s="2"/>
    </row>
    <row r="63" spans="1:37" x14ac:dyDescent="0.25">
      <c r="A63">
        <f t="shared" si="3"/>
        <v>61</v>
      </c>
      <c r="B63" s="2">
        <v>76745.19</v>
      </c>
      <c r="C63" s="2">
        <v>89804.3154679</v>
      </c>
      <c r="D63" s="2">
        <v>11230.1675612</v>
      </c>
      <c r="E63" s="2">
        <v>14497.3405172</v>
      </c>
      <c r="F63" s="2">
        <v>4.3693200000000001E-2</v>
      </c>
      <c r="G63" s="2">
        <v>5.1128199999999999E-2</v>
      </c>
      <c r="H63" s="2">
        <v>5.1128199999999999E-2</v>
      </c>
      <c r="I63" s="2">
        <v>5.8850600000000003E-2</v>
      </c>
      <c r="J63" s="2">
        <f t="shared" si="0"/>
        <v>0.85458122914555967</v>
      </c>
      <c r="K63" s="2">
        <f t="shared" si="1"/>
        <v>1.1510399349087197</v>
      </c>
      <c r="L63" s="2">
        <f t="shared" si="2"/>
        <v>0.74244272785664034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K63" s="2"/>
    </row>
    <row r="64" spans="1:37" x14ac:dyDescent="0.25">
      <c r="A64">
        <f t="shared" si="3"/>
        <v>62</v>
      </c>
      <c r="B64" s="2">
        <v>34305.4</v>
      </c>
      <c r="C64" s="2">
        <v>27057.222065400001</v>
      </c>
      <c r="D64" s="2">
        <v>3383.5471708999999</v>
      </c>
      <c r="E64" s="2">
        <v>5680.8191619999998</v>
      </c>
      <c r="F64" s="2">
        <v>1.9531E-2</v>
      </c>
      <c r="G64" s="2">
        <v>1.54044E-2</v>
      </c>
      <c r="H64" s="2">
        <v>1.54044E-2</v>
      </c>
      <c r="I64" s="2">
        <v>2.3060799999999999E-2</v>
      </c>
      <c r="J64" s="2">
        <f t="shared" si="0"/>
        <v>1.2678845005323154</v>
      </c>
      <c r="K64" s="2">
        <f t="shared" si="1"/>
        <v>1.4970268235049726</v>
      </c>
      <c r="L64" s="2">
        <f t="shared" si="2"/>
        <v>0.84693505862762786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K64" s="2"/>
    </row>
    <row r="65" spans="1:37" x14ac:dyDescent="0.25">
      <c r="A65">
        <f t="shared" si="3"/>
        <v>63</v>
      </c>
      <c r="B65" s="2">
        <v>4521.1019999999999</v>
      </c>
      <c r="C65" s="2">
        <v>4526.3430144000004</v>
      </c>
      <c r="D65" s="2">
        <v>566.02614500000004</v>
      </c>
      <c r="E65" s="2">
        <v>686.10185230000002</v>
      </c>
      <c r="F65" s="2">
        <v>2.5739999999999999E-3</v>
      </c>
      <c r="G65" s="2">
        <v>2.5769999999999999E-3</v>
      </c>
      <c r="H65" s="2">
        <v>2.5769999999999999E-3</v>
      </c>
      <c r="I65" s="2">
        <v>2.7851999999999998E-3</v>
      </c>
      <c r="J65" s="2">
        <f t="shared" si="0"/>
        <v>0.99883585564610011</v>
      </c>
      <c r="K65" s="2">
        <f t="shared" si="1"/>
        <v>1.0807916181606518</v>
      </c>
      <c r="L65" s="2">
        <f t="shared" si="2"/>
        <v>0.92417061611374407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K65" s="2"/>
    </row>
    <row r="66" spans="1:37" x14ac:dyDescent="0.25">
      <c r="A66">
        <f t="shared" si="3"/>
        <v>64</v>
      </c>
      <c r="B66" s="2">
        <v>54162.3</v>
      </c>
      <c r="C66" s="2">
        <v>39877.303306100002</v>
      </c>
      <c r="D66" s="2">
        <v>4986.7180177</v>
      </c>
      <c r="E66" s="2">
        <v>11537.820929699999</v>
      </c>
      <c r="F66" s="2">
        <v>3.0836100000000002E-2</v>
      </c>
      <c r="G66" s="2">
        <v>2.2703299999999999E-2</v>
      </c>
      <c r="H66" s="2">
        <v>2.2703299999999999E-2</v>
      </c>
      <c r="I66" s="2">
        <v>4.6836700000000002E-2</v>
      </c>
      <c r="J66" s="2">
        <f t="shared" si="0"/>
        <v>1.3582210515651911</v>
      </c>
      <c r="K66" s="2">
        <f t="shared" si="1"/>
        <v>2.0629908427409234</v>
      </c>
      <c r="L66" s="2">
        <f t="shared" si="2"/>
        <v>0.65837473605100272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K66" s="2"/>
    </row>
    <row r="67" spans="1:37" x14ac:dyDescent="0.25">
      <c r="A67">
        <f t="shared" si="3"/>
        <v>65</v>
      </c>
      <c r="B67" s="2">
        <v>265049.7</v>
      </c>
      <c r="C67" s="2">
        <v>280564.08622250002</v>
      </c>
      <c r="D67" s="2">
        <v>35084.969842600003</v>
      </c>
      <c r="E67" s="2">
        <v>32756.238009699999</v>
      </c>
      <c r="F67" s="2">
        <v>0.15090029999999999</v>
      </c>
      <c r="G67" s="2">
        <v>0.15973309999999999</v>
      </c>
      <c r="H67" s="2">
        <v>0.15973309999999999</v>
      </c>
      <c r="I67" s="2">
        <v>0.13297100000000001</v>
      </c>
      <c r="J67" s="2">
        <f t="shared" si="0"/>
        <v>0.94470275728699937</v>
      </c>
      <c r="K67" s="2">
        <f t="shared" si="1"/>
        <v>0.83245739298867938</v>
      </c>
      <c r="L67" s="2">
        <f t="shared" si="2"/>
        <v>1.1348361672845957</v>
      </c>
      <c r="Z67" s="2"/>
      <c r="AA67" s="2"/>
      <c r="AB67" s="2"/>
      <c r="AC67" s="2"/>
      <c r="AD67" s="2"/>
      <c r="AE67" s="2"/>
      <c r="AF67" s="2"/>
      <c r="AG67" s="2"/>
      <c r="AH67" s="2"/>
      <c r="AI67" s="2"/>
      <c r="AK67" s="2"/>
    </row>
    <row r="68" spans="1:37" x14ac:dyDescent="0.25">
      <c r="A68">
        <f t="shared" si="3"/>
        <v>66</v>
      </c>
      <c r="B68" s="2">
        <v>77949.289999999994</v>
      </c>
      <c r="C68" s="2">
        <v>62673.2880544</v>
      </c>
      <c r="D68" s="2">
        <v>7837.3909181999998</v>
      </c>
      <c r="E68" s="2">
        <v>8354.6987212000004</v>
      </c>
      <c r="F68" s="2">
        <v>4.4378800000000003E-2</v>
      </c>
      <c r="G68" s="2">
        <v>3.5681699999999997E-2</v>
      </c>
      <c r="H68" s="2">
        <v>3.5681699999999997E-2</v>
      </c>
      <c r="I68" s="2">
        <v>3.3915099999999997E-2</v>
      </c>
      <c r="J68" s="2">
        <f t="shared" ref="J68:J73" si="4">+F68/G68</f>
        <v>1.2437411894612647</v>
      </c>
      <c r="K68" s="2">
        <f t="shared" ref="K68:K73" si="5">+I68/G68</f>
        <v>0.95049002710072672</v>
      </c>
      <c r="L68" s="2">
        <f t="shared" ref="L68:L73" si="6">+F68/I68</f>
        <v>1.308526290649298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K68" s="2"/>
    </row>
    <row r="69" spans="1:37" x14ac:dyDescent="0.25">
      <c r="A69">
        <f t="shared" ref="A69:A73" si="7">+A68+1</f>
        <v>67</v>
      </c>
      <c r="B69" s="2">
        <v>30987.1</v>
      </c>
      <c r="C69" s="2">
        <v>34862.667873999999</v>
      </c>
      <c r="D69" s="2">
        <v>4359.6301560000002</v>
      </c>
      <c r="E69" s="2">
        <v>3885.5360335</v>
      </c>
      <c r="F69" s="2">
        <v>1.7641799999999999E-2</v>
      </c>
      <c r="G69" s="2">
        <v>1.9848299999999999E-2</v>
      </c>
      <c r="H69" s="2">
        <v>1.9848299999999999E-2</v>
      </c>
      <c r="I69" s="2">
        <v>1.5772999999999999E-2</v>
      </c>
      <c r="J69" s="2">
        <f t="shared" si="4"/>
        <v>0.88883178912047878</v>
      </c>
      <c r="K69" s="2">
        <f t="shared" si="5"/>
        <v>0.79467762982220136</v>
      </c>
      <c r="L69" s="2">
        <f t="shared" si="6"/>
        <v>1.1184809484562226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K69" s="2"/>
    </row>
    <row r="70" spans="1:37" x14ac:dyDescent="0.25">
      <c r="A70">
        <f t="shared" si="7"/>
        <v>68</v>
      </c>
      <c r="B70" s="2">
        <v>68927.59</v>
      </c>
      <c r="C70" s="2">
        <v>54289.6463964</v>
      </c>
      <c r="D70" s="2">
        <v>6789.0036540999999</v>
      </c>
      <c r="E70" s="2">
        <v>6674.0813865</v>
      </c>
      <c r="F70" s="2">
        <v>3.9242399999999997E-2</v>
      </c>
      <c r="G70" s="2">
        <v>3.0908600000000001E-2</v>
      </c>
      <c r="H70" s="2">
        <v>3.0908600000000001E-2</v>
      </c>
      <c r="I70" s="2">
        <v>2.70928E-2</v>
      </c>
      <c r="J70" s="2">
        <f t="shared" si="4"/>
        <v>1.2696272234911965</v>
      </c>
      <c r="K70" s="2">
        <f t="shared" si="5"/>
        <v>0.87654568631384144</v>
      </c>
      <c r="L70" s="2">
        <f t="shared" si="6"/>
        <v>1.448443867005256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K70" s="2"/>
    </row>
    <row r="71" spans="1:37" x14ac:dyDescent="0.25">
      <c r="A71">
        <f t="shared" si="7"/>
        <v>69</v>
      </c>
      <c r="B71" s="2">
        <v>24360.7</v>
      </c>
      <c r="C71" s="2">
        <v>24589.4473951</v>
      </c>
      <c r="D71" s="2">
        <v>3074.9481586000002</v>
      </c>
      <c r="E71" s="2">
        <v>3569.3534072000002</v>
      </c>
      <c r="F71" s="2">
        <v>1.38692E-2</v>
      </c>
      <c r="G71" s="2">
        <v>1.39995E-2</v>
      </c>
      <c r="H71" s="2">
        <v>1.39995E-2</v>
      </c>
      <c r="I71" s="2">
        <v>1.4489500000000001E-2</v>
      </c>
      <c r="J71" s="2">
        <f t="shared" si="4"/>
        <v>0.99069252473302616</v>
      </c>
      <c r="K71" s="2">
        <f t="shared" si="5"/>
        <v>1.0350012500446446</v>
      </c>
      <c r="L71" s="2">
        <f t="shared" si="6"/>
        <v>0.95718968908519964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K71" s="2"/>
    </row>
    <row r="72" spans="1:37" x14ac:dyDescent="0.25">
      <c r="A72">
        <f t="shared" si="7"/>
        <v>70</v>
      </c>
      <c r="B72" s="2">
        <v>12825.59</v>
      </c>
      <c r="C72" s="2">
        <v>14424.677124600001</v>
      </c>
      <c r="D72" s="2">
        <v>1803.8280262999999</v>
      </c>
      <c r="E72" s="2">
        <v>2044.8781982</v>
      </c>
      <c r="F72" s="2">
        <v>7.3020000000000003E-3</v>
      </c>
      <c r="G72" s="2">
        <v>8.2123999999999999E-3</v>
      </c>
      <c r="H72" s="2">
        <v>8.2123999999999999E-3</v>
      </c>
      <c r="I72" s="2">
        <v>8.3009999999999994E-3</v>
      </c>
      <c r="J72" s="2">
        <f t="shared" si="4"/>
        <v>0.88914324679752577</v>
      </c>
      <c r="K72" s="2">
        <f t="shared" si="5"/>
        <v>1.0107885636354781</v>
      </c>
      <c r="L72" s="2">
        <f t="shared" si="6"/>
        <v>0.879653053848934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K72" s="2"/>
    </row>
    <row r="73" spans="1:37" x14ac:dyDescent="0.25">
      <c r="A73">
        <f t="shared" si="7"/>
        <v>71</v>
      </c>
      <c r="B73" s="2">
        <v>85707</v>
      </c>
      <c r="C73" s="2">
        <v>96255.940754199997</v>
      </c>
      <c r="D73" s="2">
        <v>12036.953210899999</v>
      </c>
      <c r="E73" s="2">
        <v>14008.9333322</v>
      </c>
      <c r="F73" s="2">
        <v>4.8795400000000003E-2</v>
      </c>
      <c r="G73" s="2">
        <v>5.4801200000000001E-2</v>
      </c>
      <c r="H73" s="2">
        <v>5.4801200000000001E-2</v>
      </c>
      <c r="I73" s="2">
        <v>5.6868000000000002E-2</v>
      </c>
      <c r="J73" s="2">
        <f t="shared" si="4"/>
        <v>0.89040750932461332</v>
      </c>
      <c r="K73" s="2">
        <f t="shared" si="5"/>
        <v>1.0377145026021328</v>
      </c>
      <c r="L73" s="2">
        <f t="shared" si="6"/>
        <v>0.8580467046493635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K73" s="2"/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2025-10-03T15:17:47Z</dcterms:created>
  <dcterms:modified xsi:type="dcterms:W3CDTF">2025-10-03T15:32:06Z</dcterms:modified>
</cp:coreProperties>
</file>
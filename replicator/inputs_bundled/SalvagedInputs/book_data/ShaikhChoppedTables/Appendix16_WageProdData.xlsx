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frbprod1-my.sharepoint.com/personal/nicholas_anderson_ny_frb_org/Documents/Desktop/ChoptSend/"/>
    </mc:Choice>
  </mc:AlternateContent>
  <xr:revisionPtr revIDLastSave="141" documentId="8_{6BB8D8CE-A926-4DD8-BB1A-2C6FB15AAD21}" xr6:coauthVersionLast="47" xr6:coauthVersionMax="47" xr10:uidLastSave="{76CAAF97-DDD5-46B2-A8FB-941FB7E14396}"/>
  <bookViews>
    <workbookView xWindow="2205" yWindow="1035" windowWidth="21600" windowHeight="13215" xr2:uid="{2E09DD53-9415-4F41-9E31-A56C7AEECD45}"/>
  </bookViews>
  <sheets>
    <sheet name="Data" sheetId="1" r:id="rId1"/>
    <sheet name="Regress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c r="G4" i="1"/>
  <c r="N4" i="1" s="1"/>
  <c r="H4" i="1"/>
  <c r="I4" i="1"/>
  <c r="J4" i="1" s="1"/>
  <c r="L4" i="1"/>
  <c r="F5" i="1"/>
  <c r="I5" i="1" s="1"/>
  <c r="G5" i="1"/>
  <c r="H5" i="1"/>
  <c r="L5" i="1"/>
  <c r="N5" i="1"/>
  <c r="F6" i="1"/>
  <c r="G6" i="1"/>
  <c r="H6" i="1"/>
  <c r="I6" i="1"/>
  <c r="J6" i="1" s="1"/>
  <c r="L6" i="1"/>
  <c r="N6" i="1"/>
  <c r="F7" i="1"/>
  <c r="G7" i="1"/>
  <c r="L7" i="1" s="1"/>
  <c r="H7" i="1"/>
  <c r="F8" i="1"/>
  <c r="G8" i="1"/>
  <c r="N8" i="1" s="1"/>
  <c r="H8" i="1"/>
  <c r="L8" i="1"/>
  <c r="F9" i="1"/>
  <c r="I9" i="1" s="1"/>
  <c r="G9" i="1"/>
  <c r="H9" i="1"/>
  <c r="F10" i="1"/>
  <c r="G10" i="1"/>
  <c r="N10" i="1" s="1"/>
  <c r="H10" i="1"/>
  <c r="I10" i="1"/>
  <c r="J10" i="1"/>
  <c r="L10" i="1"/>
  <c r="F11" i="1"/>
  <c r="I11" i="1" s="1"/>
  <c r="G11" i="1"/>
  <c r="H11" i="1"/>
  <c r="L11" i="1"/>
  <c r="N11" i="1"/>
  <c r="F12" i="1"/>
  <c r="G12" i="1"/>
  <c r="H12" i="1"/>
  <c r="I12" i="1"/>
  <c r="J12" i="1" s="1"/>
  <c r="L12" i="1"/>
  <c r="M12" i="1"/>
  <c r="N12" i="1"/>
  <c r="F13" i="1"/>
  <c r="G13" i="1"/>
  <c r="H13" i="1"/>
  <c r="F14" i="1"/>
  <c r="K65" i="1" s="1"/>
  <c r="G14" i="1"/>
  <c r="L13" i="1" s="1"/>
  <c r="H14" i="1"/>
  <c r="L14" i="1"/>
  <c r="F15" i="1"/>
  <c r="G15" i="1"/>
  <c r="H15" i="1"/>
  <c r="F16" i="1"/>
  <c r="G16" i="1"/>
  <c r="N16" i="1" s="1"/>
  <c r="H16" i="1"/>
  <c r="I16" i="1"/>
  <c r="L16" i="1"/>
  <c r="F17" i="1"/>
  <c r="I17" i="1" s="1"/>
  <c r="G17" i="1"/>
  <c r="H17" i="1"/>
  <c r="L17" i="1"/>
  <c r="N17" i="1"/>
  <c r="F18" i="1"/>
  <c r="G18" i="1"/>
  <c r="H18" i="1"/>
  <c r="I18" i="1"/>
  <c r="L18" i="1"/>
  <c r="N18" i="1"/>
  <c r="F19" i="1"/>
  <c r="G19" i="1"/>
  <c r="H19" i="1"/>
  <c r="K19" i="1"/>
  <c r="N19" i="1"/>
  <c r="F20" i="1"/>
  <c r="G20" i="1"/>
  <c r="N20" i="1" s="1"/>
  <c r="H20" i="1"/>
  <c r="L20" i="1"/>
  <c r="F21" i="1"/>
  <c r="G21" i="1"/>
  <c r="H21" i="1"/>
  <c r="F22" i="1"/>
  <c r="G22" i="1"/>
  <c r="N22" i="1" s="1"/>
  <c r="H22" i="1"/>
  <c r="I22" i="1"/>
  <c r="J22" i="1" s="1"/>
  <c r="L22" i="1"/>
  <c r="F23" i="1"/>
  <c r="G23" i="1"/>
  <c r="H23" i="1"/>
  <c r="L23" i="1"/>
  <c r="N23" i="1"/>
  <c r="F24" i="1"/>
  <c r="G24" i="1"/>
  <c r="H24" i="1"/>
  <c r="I24" i="1"/>
  <c r="L24" i="1"/>
  <c r="N24" i="1"/>
  <c r="F25" i="1"/>
  <c r="G25" i="1"/>
  <c r="H25" i="1"/>
  <c r="K25" i="1"/>
  <c r="N25" i="1"/>
  <c r="F26" i="1"/>
  <c r="G26" i="1"/>
  <c r="N26" i="1" s="1"/>
  <c r="H26" i="1"/>
  <c r="L26" i="1"/>
  <c r="F27" i="1"/>
  <c r="G27" i="1"/>
  <c r="H27" i="1"/>
  <c r="F28" i="1"/>
  <c r="G28" i="1"/>
  <c r="H28" i="1"/>
  <c r="I28" i="1"/>
  <c r="J28" i="1"/>
  <c r="L28" i="1"/>
  <c r="F29" i="1"/>
  <c r="I29" i="1" s="1"/>
  <c r="J29" i="1" s="1"/>
  <c r="G29" i="1"/>
  <c r="H29" i="1"/>
  <c r="K29" i="1"/>
  <c r="L29" i="1"/>
  <c r="N29" i="1"/>
  <c r="F30" i="1"/>
  <c r="G30" i="1"/>
  <c r="H30" i="1"/>
  <c r="I30" i="1"/>
  <c r="L30" i="1"/>
  <c r="N30" i="1"/>
  <c r="F31" i="1"/>
  <c r="I31" i="1" s="1"/>
  <c r="G31" i="1"/>
  <c r="H31" i="1"/>
  <c r="K31" i="1"/>
  <c r="N31" i="1"/>
  <c r="F32" i="1"/>
  <c r="G32" i="1"/>
  <c r="N32" i="1" s="1"/>
  <c r="H32" i="1"/>
  <c r="L32" i="1"/>
  <c r="F33" i="1"/>
  <c r="G33" i="1"/>
  <c r="H33" i="1"/>
  <c r="F34" i="1"/>
  <c r="G34" i="1"/>
  <c r="N34" i="1" s="1"/>
  <c r="H34" i="1"/>
  <c r="I34" i="1"/>
  <c r="J34" i="1" s="1"/>
  <c r="L34" i="1"/>
  <c r="F35" i="1"/>
  <c r="I35" i="1" s="1"/>
  <c r="G35" i="1"/>
  <c r="H35" i="1"/>
  <c r="J35" i="1"/>
  <c r="K35" i="1"/>
  <c r="L35" i="1"/>
  <c r="M35" i="1" s="1"/>
  <c r="N35" i="1"/>
  <c r="F36" i="1"/>
  <c r="G36" i="1"/>
  <c r="H36" i="1"/>
  <c r="I36" i="1"/>
  <c r="L36" i="1"/>
  <c r="N36" i="1"/>
  <c r="F37" i="1"/>
  <c r="I37" i="1" s="1"/>
  <c r="J37" i="1" s="1"/>
  <c r="G37" i="1"/>
  <c r="H37" i="1"/>
  <c r="K37" i="1"/>
  <c r="N37" i="1"/>
  <c r="F38" i="1"/>
  <c r="G38" i="1"/>
  <c r="N38" i="1" s="1"/>
  <c r="H38" i="1"/>
  <c r="L38" i="1"/>
  <c r="F39" i="1"/>
  <c r="G39" i="1"/>
  <c r="H39" i="1"/>
  <c r="F40" i="1"/>
  <c r="G40" i="1"/>
  <c r="N40" i="1" s="1"/>
  <c r="H40" i="1"/>
  <c r="I40" i="1"/>
  <c r="J40" i="1"/>
  <c r="L40" i="1"/>
  <c r="F41" i="1"/>
  <c r="I41" i="1" s="1"/>
  <c r="J41" i="1" s="1"/>
  <c r="G41" i="1"/>
  <c r="H41" i="1"/>
  <c r="K41" i="1"/>
  <c r="L41" i="1"/>
  <c r="N41" i="1"/>
  <c r="F42" i="1"/>
  <c r="G42" i="1"/>
  <c r="H42" i="1"/>
  <c r="I42" i="1"/>
  <c r="L42" i="1"/>
  <c r="N42" i="1"/>
  <c r="F43" i="1"/>
  <c r="I43" i="1" s="1"/>
  <c r="J43" i="1" s="1"/>
  <c r="M43" i="1" s="1"/>
  <c r="G43" i="1"/>
  <c r="H43" i="1"/>
  <c r="K43" i="1"/>
  <c r="L43" i="1"/>
  <c r="F44" i="1"/>
  <c r="G44" i="1"/>
  <c r="N44" i="1" s="1"/>
  <c r="H44" i="1"/>
  <c r="L44" i="1"/>
  <c r="F45" i="1"/>
  <c r="G45" i="1"/>
  <c r="H45" i="1"/>
  <c r="F46" i="1"/>
  <c r="G46" i="1"/>
  <c r="N46" i="1" s="1"/>
  <c r="H46" i="1"/>
  <c r="I46" i="1"/>
  <c r="L46" i="1"/>
  <c r="F47" i="1"/>
  <c r="I47" i="1" s="1"/>
  <c r="G47" i="1"/>
  <c r="N47" i="1" s="1"/>
  <c r="H47" i="1"/>
  <c r="K47" i="1"/>
  <c r="L47" i="1"/>
  <c r="F48" i="1"/>
  <c r="G48" i="1"/>
  <c r="H48" i="1"/>
  <c r="I48" i="1"/>
  <c r="L48" i="1"/>
  <c r="N48" i="1"/>
  <c r="F49" i="1"/>
  <c r="I49" i="1" s="1"/>
  <c r="J49" i="1" s="1"/>
  <c r="M49" i="1" s="1"/>
  <c r="G49" i="1"/>
  <c r="H49" i="1"/>
  <c r="K49" i="1"/>
  <c r="L49" i="1"/>
  <c r="F50" i="1"/>
  <c r="G50" i="1"/>
  <c r="H50" i="1"/>
  <c r="L50" i="1"/>
  <c r="F51" i="1"/>
  <c r="G51" i="1"/>
  <c r="H51" i="1"/>
  <c r="F52" i="1"/>
  <c r="G52" i="1"/>
  <c r="N52" i="1" s="1"/>
  <c r="H52" i="1"/>
  <c r="I52" i="1"/>
  <c r="J52" i="1"/>
  <c r="L52" i="1"/>
  <c r="M52" i="1" s="1"/>
  <c r="F53" i="1"/>
  <c r="G53" i="1"/>
  <c r="L53" i="1" s="1"/>
  <c r="H53" i="1"/>
  <c r="I53" i="1"/>
  <c r="J53" i="1"/>
  <c r="F54" i="1"/>
  <c r="G54" i="1"/>
  <c r="H54" i="1"/>
  <c r="I54" i="1"/>
  <c r="L54" i="1"/>
  <c r="N54" i="1"/>
  <c r="F55" i="1"/>
  <c r="I55" i="1" s="1"/>
  <c r="J55" i="1" s="1"/>
  <c r="M55" i="1" s="1"/>
  <c r="G55" i="1"/>
  <c r="H55" i="1"/>
  <c r="L55" i="1"/>
  <c r="F56" i="1"/>
  <c r="G56" i="1"/>
  <c r="N56" i="1" s="1"/>
  <c r="H56" i="1"/>
  <c r="L56" i="1"/>
  <c r="F57" i="1"/>
  <c r="G57" i="1"/>
  <c r="H57" i="1"/>
  <c r="F58" i="1"/>
  <c r="G58" i="1"/>
  <c r="N58" i="1" s="1"/>
  <c r="H58" i="1"/>
  <c r="I58" i="1"/>
  <c r="L58" i="1"/>
  <c r="F59" i="1"/>
  <c r="G59" i="1"/>
  <c r="L59" i="1" s="1"/>
  <c r="H59" i="1"/>
  <c r="I59" i="1"/>
  <c r="K59" i="1"/>
  <c r="F60" i="1"/>
  <c r="G60" i="1"/>
  <c r="H60" i="1"/>
  <c r="I60" i="1"/>
  <c r="L60" i="1"/>
  <c r="N60" i="1"/>
  <c r="F61" i="1"/>
  <c r="I61" i="1" s="1"/>
  <c r="J61" i="1" s="1"/>
  <c r="M61" i="1" s="1"/>
  <c r="G61" i="1"/>
  <c r="H61" i="1"/>
  <c r="K61" i="1"/>
  <c r="L61" i="1"/>
  <c r="N61" i="1"/>
  <c r="F62" i="1"/>
  <c r="G62" i="1"/>
  <c r="N62" i="1" s="1"/>
  <c r="H62" i="1"/>
  <c r="L62" i="1"/>
  <c r="F63" i="1"/>
  <c r="G63" i="1"/>
  <c r="H63" i="1"/>
  <c r="F64" i="1"/>
  <c r="G64" i="1"/>
  <c r="N64" i="1" s="1"/>
  <c r="H64" i="1"/>
  <c r="I64" i="1"/>
  <c r="L64" i="1"/>
  <c r="F65" i="1"/>
  <c r="G65" i="1"/>
  <c r="H65" i="1"/>
  <c r="I65" i="1"/>
  <c r="L65" i="1"/>
  <c r="N65" i="1"/>
  <c r="F66" i="1"/>
  <c r="G66" i="1"/>
  <c r="H66" i="1"/>
  <c r="I66" i="1"/>
  <c r="L66" i="1"/>
  <c r="N66" i="1"/>
  <c r="F67" i="1"/>
  <c r="I67" i="1" s="1"/>
  <c r="J67" i="1" s="1"/>
  <c r="M67" i="1" s="1"/>
  <c r="G67" i="1"/>
  <c r="H67" i="1"/>
  <c r="L67" i="1"/>
  <c r="N67" i="1"/>
  <c r="F68" i="1"/>
  <c r="G68" i="1"/>
  <c r="N68" i="1" s="1"/>
  <c r="H68" i="1"/>
  <c r="L68" i="1"/>
  <c r="L3" i="1"/>
  <c r="H3" i="1"/>
  <c r="G3" i="1"/>
  <c r="F3" i="1"/>
  <c r="E68" i="1"/>
  <c r="D68" i="1"/>
  <c r="E67" i="1"/>
  <c r="D67" i="1"/>
  <c r="E66" i="1"/>
  <c r="D66" i="1"/>
  <c r="M53" i="1" l="1"/>
  <c r="M41" i="1"/>
  <c r="O40" i="1"/>
  <c r="J65" i="1"/>
  <c r="J58" i="1"/>
  <c r="M58" i="1" s="1"/>
  <c r="M59" i="1"/>
  <c r="I51" i="1"/>
  <c r="K51" i="1"/>
  <c r="M10" i="1"/>
  <c r="I62" i="1"/>
  <c r="K62" i="1"/>
  <c r="I45" i="1"/>
  <c r="K45" i="1"/>
  <c r="N45" i="1"/>
  <c r="L45" i="1"/>
  <c r="N33" i="1"/>
  <c r="L33" i="1"/>
  <c r="I25" i="1"/>
  <c r="I39" i="1"/>
  <c r="K39" i="1"/>
  <c r="I21" i="1"/>
  <c r="K21" i="1"/>
  <c r="K67" i="1"/>
  <c r="I56" i="1"/>
  <c r="K56" i="1"/>
  <c r="K5" i="1"/>
  <c r="L57" i="1"/>
  <c r="N57" i="1"/>
  <c r="N39" i="1"/>
  <c r="L39" i="1"/>
  <c r="J31" i="1"/>
  <c r="L27" i="1"/>
  <c r="N27" i="1"/>
  <c r="L21" i="1"/>
  <c r="N21" i="1"/>
  <c r="I19" i="1"/>
  <c r="I8" i="1"/>
  <c r="K8" i="1"/>
  <c r="J54" i="1"/>
  <c r="M54" i="1" s="1"/>
  <c r="I33" i="1"/>
  <c r="K33" i="1"/>
  <c r="I27" i="1"/>
  <c r="K27" i="1"/>
  <c r="J17" i="1"/>
  <c r="M65" i="1"/>
  <c r="N59" i="1"/>
  <c r="N50" i="1"/>
  <c r="J48" i="1"/>
  <c r="M48" i="1" s="1"/>
  <c r="J46" i="1"/>
  <c r="M46" i="1" s="1"/>
  <c r="M40" i="1"/>
  <c r="M34" i="1"/>
  <c r="M28" i="1"/>
  <c r="M22" i="1"/>
  <c r="J16" i="1"/>
  <c r="J60" i="1"/>
  <c r="M60" i="1" s="1"/>
  <c r="N55" i="1"/>
  <c r="J42" i="1"/>
  <c r="M42" i="1" s="1"/>
  <c r="J36" i="1"/>
  <c r="O36" i="1"/>
  <c r="J24" i="1"/>
  <c r="J18" i="1"/>
  <c r="N53" i="1"/>
  <c r="I44" i="1"/>
  <c r="K44" i="1"/>
  <c r="K54" i="1"/>
  <c r="K6" i="1"/>
  <c r="K12" i="1"/>
  <c r="K18" i="1"/>
  <c r="K24" i="1"/>
  <c r="K30" i="1"/>
  <c r="K36" i="1"/>
  <c r="K42" i="1"/>
  <c r="K48" i="1"/>
  <c r="K60" i="1"/>
  <c r="K66" i="1"/>
  <c r="K4" i="1"/>
  <c r="K10" i="1"/>
  <c r="K16" i="1"/>
  <c r="K22" i="1"/>
  <c r="K28" i="1"/>
  <c r="K34" i="1"/>
  <c r="K40" i="1"/>
  <c r="K46" i="1"/>
  <c r="K52" i="1"/>
  <c r="K58" i="1"/>
  <c r="K64" i="1"/>
  <c r="I14" i="1"/>
  <c r="K14" i="1"/>
  <c r="J9" i="1"/>
  <c r="J5" i="1"/>
  <c r="M5" i="1" s="1"/>
  <c r="O5" i="1"/>
  <c r="N63" i="1"/>
  <c r="L63" i="1"/>
  <c r="J59" i="1"/>
  <c r="K55" i="1"/>
  <c r="N49" i="1"/>
  <c r="I38" i="1"/>
  <c r="K38" i="1"/>
  <c r="I32" i="1"/>
  <c r="K32" i="1"/>
  <c r="I26" i="1"/>
  <c r="K26" i="1"/>
  <c r="I20" i="1"/>
  <c r="K20" i="1"/>
  <c r="M6" i="1"/>
  <c r="M4" i="1"/>
  <c r="L15" i="1"/>
  <c r="N15" i="1"/>
  <c r="I50" i="1"/>
  <c r="K50" i="1"/>
  <c r="J30" i="1"/>
  <c r="O30" i="1"/>
  <c r="N7" i="1"/>
  <c r="K7" i="1"/>
  <c r="I7" i="1"/>
  <c r="I63" i="1"/>
  <c r="K63" i="1"/>
  <c r="K53" i="1"/>
  <c r="N43" i="1"/>
  <c r="K11" i="1"/>
  <c r="L9" i="1"/>
  <c r="N9" i="1"/>
  <c r="I57" i="1"/>
  <c r="K57" i="1"/>
  <c r="N13" i="1"/>
  <c r="K13" i="1"/>
  <c r="I13" i="1"/>
  <c r="J66" i="1"/>
  <c r="M66" i="1" s="1"/>
  <c r="O66" i="1"/>
  <c r="M29" i="1"/>
  <c r="I68" i="1"/>
  <c r="K68" i="1"/>
  <c r="J64" i="1"/>
  <c r="M64" i="1" s="1"/>
  <c r="L51" i="1"/>
  <c r="N51" i="1"/>
  <c r="J47" i="1"/>
  <c r="M47" i="1" s="1"/>
  <c r="K23" i="1"/>
  <c r="K17" i="1"/>
  <c r="J11" i="1"/>
  <c r="M11" i="1" s="1"/>
  <c r="N28" i="1"/>
  <c r="K15" i="1"/>
  <c r="K9" i="1"/>
  <c r="K3" i="1"/>
  <c r="I15" i="1"/>
  <c r="I23" i="1"/>
  <c r="L37" i="1"/>
  <c r="M37" i="1" s="1"/>
  <c r="L31" i="1"/>
  <c r="L25" i="1"/>
  <c r="L19" i="1"/>
  <c r="N14" i="1"/>
  <c r="I3" i="1"/>
  <c r="O10" i="1" s="1"/>
  <c r="N3" i="1"/>
  <c r="O3" i="1"/>
  <c r="O24" i="1" l="1"/>
  <c r="O53" i="1"/>
  <c r="O4" i="1"/>
  <c r="J3" i="1"/>
  <c r="M3" i="1" s="1"/>
  <c r="O61" i="1"/>
  <c r="O48" i="1"/>
  <c r="O47" i="1"/>
  <c r="O31" i="1"/>
  <c r="O28" i="1"/>
  <c r="O42" i="1"/>
  <c r="O16" i="1"/>
  <c r="O37" i="1"/>
  <c r="O34" i="1"/>
  <c r="O54" i="1"/>
  <c r="O41" i="1"/>
  <c r="O55" i="1"/>
  <c r="O43" i="1"/>
  <c r="O60" i="1"/>
  <c r="O67" i="1"/>
  <c r="O49" i="1"/>
  <c r="O35" i="1"/>
  <c r="O29" i="1"/>
  <c r="O46" i="1"/>
  <c r="O11" i="1"/>
  <c r="O59" i="1"/>
  <c r="O58" i="1"/>
  <c r="O6" i="1"/>
  <c r="O22" i="1"/>
  <c r="O18" i="1"/>
  <c r="O64" i="1"/>
  <c r="O65" i="1"/>
  <c r="O12" i="1"/>
  <c r="O17" i="1"/>
  <c r="O52" i="1"/>
  <c r="O9" i="1"/>
  <c r="M36" i="1"/>
  <c r="M30" i="1"/>
  <c r="J51" i="1"/>
  <c r="M51" i="1" s="1"/>
  <c r="O51" i="1"/>
  <c r="M9" i="1"/>
  <c r="M17" i="1"/>
  <c r="O8" i="1"/>
  <c r="J8" i="1"/>
  <c r="J45" i="1"/>
  <c r="M45" i="1" s="1"/>
  <c r="O45" i="1"/>
  <c r="J15" i="1"/>
  <c r="O15" i="1"/>
  <c r="J7" i="1"/>
  <c r="O7" i="1"/>
  <c r="O50" i="1"/>
  <c r="J50" i="1"/>
  <c r="M50" i="1" s="1"/>
  <c r="O26" i="1"/>
  <c r="J26" i="1"/>
  <c r="J19" i="1"/>
  <c r="O19" i="1"/>
  <c r="M31" i="1"/>
  <c r="J21" i="1"/>
  <c r="M21" i="1" s="1"/>
  <c r="O21" i="1"/>
  <c r="J33" i="1"/>
  <c r="O33" i="1"/>
  <c r="J57" i="1"/>
  <c r="M57" i="1" s="1"/>
  <c r="O57" i="1"/>
  <c r="O23" i="1"/>
  <c r="J23" i="1"/>
  <c r="O68" i="1"/>
  <c r="J68" i="1"/>
  <c r="M68" i="1" s="1"/>
  <c r="M18" i="1"/>
  <c r="M16" i="1"/>
  <c r="J39" i="1"/>
  <c r="M39" i="1" s="1"/>
  <c r="O39" i="1"/>
  <c r="O44" i="1"/>
  <c r="J44" i="1"/>
  <c r="M44" i="1" s="1"/>
  <c r="J13" i="1"/>
  <c r="O13" i="1"/>
  <c r="O20" i="1"/>
  <c r="J20" i="1"/>
  <c r="O56" i="1"/>
  <c r="J56" i="1"/>
  <c r="M56" i="1" s="1"/>
  <c r="J63" i="1"/>
  <c r="M63" i="1" s="1"/>
  <c r="O63" i="1"/>
  <c r="O32" i="1"/>
  <c r="J32" i="1"/>
  <c r="O62" i="1"/>
  <c r="J62" i="1"/>
  <c r="M62" i="1" s="1"/>
  <c r="O14" i="1"/>
  <c r="J14" i="1"/>
  <c r="J27" i="1"/>
  <c r="M27" i="1" s="1"/>
  <c r="O27" i="1"/>
  <c r="J25" i="1"/>
  <c r="M25" i="1" s="1"/>
  <c r="O25" i="1"/>
  <c r="O38" i="1"/>
  <c r="J38" i="1"/>
  <c r="M38" i="1" s="1"/>
  <c r="M24" i="1"/>
  <c r="M20" i="1" l="1"/>
  <c r="M7" i="1"/>
  <c r="M8" i="1"/>
  <c r="M14" i="1"/>
  <c r="M26" i="1"/>
  <c r="M13" i="1"/>
  <c r="M32" i="1"/>
  <c r="M33" i="1"/>
  <c r="M23" i="1"/>
  <c r="M15" i="1"/>
  <c r="M1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Anwar Shaikh</author>
  </authors>
  <commentList>
    <comment ref="D66" authorId="0" shapeId="0" xr:uid="{60DCB78B-A29B-416D-851F-7B807ED16D72}">
      <text>
        <r>
          <rPr>
            <b/>
            <sz val="8"/>
            <color indexed="81"/>
            <rFont val="Tahoma"/>
            <family val="2"/>
          </rPr>
          <t>Anwar Shaikh:</t>
        </r>
        <r>
          <rPr>
            <sz val="8"/>
            <color indexed="81"/>
            <rFont val="Tahoma"/>
            <family val="2"/>
          </rPr>
          <t xml:space="preserve">
new data is in 2005 =100 so this is rebased to 1992</t>
        </r>
      </text>
    </comment>
    <comment ref="E66" authorId="0" shapeId="0" xr:uid="{13A75640-1622-4CD4-9D1E-48915A7E7289}">
      <text>
        <r>
          <rPr>
            <b/>
            <sz val="8"/>
            <color indexed="81"/>
            <rFont val="Tahoma"/>
            <family val="2"/>
          </rPr>
          <t>Anwar Shaikh:
new data is in 2005 =100 so this is rebased to 1992</t>
        </r>
        <r>
          <rPr>
            <sz val="8"/>
            <color indexed="81"/>
            <rFont val="Tahoma"/>
            <family val="2"/>
          </rPr>
          <t xml:space="preserve">
</t>
        </r>
      </text>
    </comment>
  </commentList>
</comments>
</file>

<file path=xl/sharedStrings.xml><?xml version="1.0" encoding="utf-8"?>
<sst xmlns="http://schemas.openxmlformats.org/spreadsheetml/2006/main" count="47" uniqueCount="41">
  <si>
    <t>Year</t>
  </si>
  <si>
    <t>Productivity</t>
  </si>
  <si>
    <t>Real Hrly EC</t>
  </si>
  <si>
    <t>Productivity_Ext</t>
  </si>
  <si>
    <t>Real Hrly EC_Ext</t>
  </si>
  <si>
    <t>new data is in 2005 =100 so this is rebased to 1992</t>
  </si>
  <si>
    <t>BLS PRS84006093, index 1992=100</t>
  </si>
  <si>
    <t>BLS PRS84006153, index 1992=100</t>
  </si>
  <si>
    <t>BLS Major Sector Productivity and Costs</t>
  </si>
  <si>
    <t>Productivity 1982=100</t>
  </si>
  <si>
    <t>Calculated</t>
  </si>
  <si>
    <t>Real Hrly EC 1982=100</t>
  </si>
  <si>
    <t>Ratio of Producivity to Real EC</t>
  </si>
  <si>
    <t>REALECF6081 (TREND)</t>
  </si>
  <si>
    <t>EVIEWS FILE: prodwage.wf1, eqlneclnyt6081 [Rate of Profit Aggregate Folder]</t>
  </si>
  <si>
    <t>Dependent Variable: LOG(REALEC)</t>
  </si>
  <si>
    <t>Method: Least Squares</t>
  </si>
  <si>
    <t>Date: 06/21/10   Time: 17:02</t>
  </si>
  <si>
    <t>Sample: 1960 1981</t>
  </si>
  <si>
    <t>Variable</t>
  </si>
  <si>
    <t>Coefficient</t>
  </si>
  <si>
    <t>Std. Error</t>
  </si>
  <si>
    <t>t-Statistic</t>
  </si>
  <si>
    <t xml:space="preserve">Prob.  </t>
  </si>
  <si>
    <t>C</t>
  </si>
  <si>
    <t>LOG(PRODUCTIVITY)</t>
  </si>
  <si>
    <t>R-squared</t>
  </si>
  <si>
    <t xml:space="preserve">    Akaike info criterion</t>
  </si>
  <si>
    <t>Adjusted R-squared</t>
  </si>
  <si>
    <t xml:space="preserve">    Schwarz criterion</t>
  </si>
  <si>
    <t>Productivity 1958=100</t>
  </si>
  <si>
    <t>Real Hrly EC 1958=100</t>
  </si>
  <si>
    <t>Adj Real Hrly EC</t>
  </si>
  <si>
    <t>Actual Real Wage Relative to Productivity (index to 100 in 1947)</t>
  </si>
  <si>
    <t>Trend Real Wage Relative to Productivity (index to 100 in 1947)</t>
  </si>
  <si>
    <t>Z = ECTREND/EC</t>
  </si>
  <si>
    <t>Regression used for Data Transformation: Ratio of productivity (y) to real employee compensation (ec)  shows that if follows a steady trend in the "golden age" 1958-1981. This trend was captured by regressing lnec on lny over 1960-1981  See eqlneclnyt, realecf, and graphecforecast. This gives a more  modest counterfactual wage path than using the whole period from 1947-1981,  (time trend is not statistically significant). The trend is projected into 1982-2012.  The ratio of realec to realecf is then used to adjust profit to show  what they would have been if real wages had stayed on their golden age path.  See Productivity and Wages.xls, and Corp Rop.xls</t>
  </si>
  <si>
    <t>Reindexed 1982</t>
  </si>
  <si>
    <t>Ratio</t>
  </si>
  <si>
    <t>Trended using Regression</t>
  </si>
  <si>
    <t>Reindexed to 1958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</si>
</sst>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x14ac:knownFonts="1">
    <font>
      <sz val="11"/>
      <color theme="1"/>
      <name val="Aptos Narrow"/>
      <family val="2"/>
      <scheme val="minor"/>
    </font>
    <font>
      <b/>
      <sz val="8"/>
      <color indexed="81"/>
      <name val="Tahoma"/>
      <family val="2"/>
    </font>
    <font>
      <sz val="8"/>
      <color indexed="81"/>
      <name val="Tahoma"/>
      <family val="2"/>
    </font>
    <font>
      <sz val="11"/>
      <color rgb="FF0070C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4" fontId="0" fillId="0" borderId="0" xfId="0" applyNumberFormat="1"/>
    <xf numFmtId="0" fontId="0" fillId="2" borderId="0" xfId="0" applyFill="1"/>
    <xf numFmtId="0" fontId="0" fillId="3" borderId="0" xfId="0" applyFill="1"/>
    <xf numFmtId="4" fontId="3" fillId="0" borderId="0" xfId="0" applyNumberFormat="1" applyFont="1"/>
    <xf numFmtId="164" fontId="3" fillId="0" borderId="0" xfId="0" applyNumberFormat="1" applyFont="1"/>
    <xf numFmtId="0" fontId="3" fillId="0" borderId="0" xfId="0" applyFont="1"/>
    <xf numFmtId="2"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E4154-AC11-4DCA-BA6B-85E85F3C013F}">
  <dimension ref="A1:O207"/>
  <sheetViews>
    <sheetView tabSelected="1"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sheetData>
    <row r="1" spans="1:15" x14ac:dyDescent="0.25">
      <c r="A1" t="s">
        <v>8</v>
      </c>
      <c r="B1" t="s">
        <v>6</v>
      </c>
      <c r="C1" t="s">
        <v>7</v>
      </c>
      <c r="D1" t="s">
        <v>5</v>
      </c>
      <c r="E1" t="s">
        <v>5</v>
      </c>
      <c r="F1" t="s">
        <v>37</v>
      </c>
      <c r="G1" t="s">
        <v>37</v>
      </c>
      <c r="H1" t="s">
        <v>38</v>
      </c>
      <c r="I1" t="s">
        <v>39</v>
      </c>
      <c r="J1" t="s">
        <v>38</v>
      </c>
      <c r="K1" t="s">
        <v>40</v>
      </c>
      <c r="L1" t="s">
        <v>40</v>
      </c>
      <c r="M1" t="s">
        <v>38</v>
      </c>
      <c r="N1" t="s">
        <v>10</v>
      </c>
      <c r="O1" t="s">
        <v>10</v>
      </c>
    </row>
    <row r="2" spans="1:15" x14ac:dyDescent="0.25">
      <c r="A2" t="s">
        <v>0</v>
      </c>
      <c r="B2" t="s">
        <v>1</v>
      </c>
      <c r="C2" t="s">
        <v>2</v>
      </c>
      <c r="D2" t="s">
        <v>3</v>
      </c>
      <c r="E2" t="s">
        <v>4</v>
      </c>
      <c r="F2" t="s">
        <v>9</v>
      </c>
      <c r="G2" t="s">
        <v>11</v>
      </c>
      <c r="H2" t="s">
        <v>12</v>
      </c>
      <c r="I2" t="s">
        <v>13</v>
      </c>
      <c r="J2" t="s">
        <v>35</v>
      </c>
      <c r="K2" t="s">
        <v>30</v>
      </c>
      <c r="L2" t="s">
        <v>31</v>
      </c>
      <c r="M2" t="s">
        <v>32</v>
      </c>
      <c r="N2" t="s">
        <v>33</v>
      </c>
      <c r="O2" t="s">
        <v>34</v>
      </c>
    </row>
    <row r="3" spans="1:15" x14ac:dyDescent="0.25">
      <c r="A3">
        <v>1947</v>
      </c>
      <c r="B3" s="2">
        <v>32.231999999999999</v>
      </c>
      <c r="C3" s="2">
        <v>41.084000000000003</v>
      </c>
      <c r="D3" s="2">
        <v>32.231999999999999</v>
      </c>
      <c r="E3" s="2">
        <v>41.084000000000003</v>
      </c>
      <c r="F3" s="5">
        <f>D3*100/$D$38</f>
        <v>40.215099377409572</v>
      </c>
      <c r="G3" s="5">
        <f>E3*100/$E$38</f>
        <v>45.327566804210157</v>
      </c>
      <c r="H3" s="5">
        <f>(D3/E3)*100</f>
        <v>78.453899328205623</v>
      </c>
      <c r="I3" s="6">
        <f>EXP(Regressions!$B$8+Regressions!$B$9*LN(F3))</f>
        <v>48.575049406218469</v>
      </c>
      <c r="J3" s="7">
        <f t="shared" ref="J3" si="0">I3/G3</f>
        <v>1.0716447590499536</v>
      </c>
      <c r="K3" s="6">
        <f>F3*100/$F$14</f>
        <v>69.66369845249416</v>
      </c>
      <c r="L3" s="6">
        <f>G3*100/$G$14</f>
        <v>70.94211907722061</v>
      </c>
      <c r="M3" s="6">
        <f t="shared" ref="M3" si="1">L3*J3</f>
        <v>76.024750105001203</v>
      </c>
      <c r="N3" s="8">
        <f>(G3/F3)*100/($G$3/$F$3)</f>
        <v>100</v>
      </c>
      <c r="O3" s="8">
        <f>(I3/F3)*100/($I$3/$F$3)</f>
        <v>100</v>
      </c>
    </row>
    <row r="4" spans="1:15" x14ac:dyDescent="0.25">
      <c r="A4">
        <v>1948</v>
      </c>
      <c r="B4" s="2">
        <v>33.722000000000001</v>
      </c>
      <c r="C4" s="2">
        <v>41.228999999999999</v>
      </c>
      <c r="D4" s="2">
        <v>33.722000000000001</v>
      </c>
      <c r="E4" s="2">
        <v>41.228999999999999</v>
      </c>
      <c r="F4" s="5">
        <f t="shared" ref="F4:F67" si="2">D4*100/$D$38</f>
        <v>42.074136919986529</v>
      </c>
      <c r="G4" s="5">
        <f t="shared" ref="G4:G67" si="3">E4*100/$E$38</f>
        <v>45.487543855777922</v>
      </c>
      <c r="H4" s="5">
        <f t="shared" ref="H4:H67" si="4">(D4/E4)*100</f>
        <v>81.79194256469961</v>
      </c>
      <c r="I4" s="6">
        <f>EXP(Regressions!$B$8+Regressions!$B$9*LN(F4))</f>
        <v>50.341836234005996</v>
      </c>
      <c r="J4" s="7">
        <f t="shared" ref="J4:J67" si="5">I4/G4</f>
        <v>1.1067169595619191</v>
      </c>
      <c r="K4" s="6">
        <f t="shared" ref="K4:K67" si="6">F4*100/$F$14</f>
        <v>72.884066741592477</v>
      </c>
      <c r="L4" s="6">
        <f t="shared" ref="L4:L67" si="7">G4*100/$G$14</f>
        <v>71.192498963945283</v>
      </c>
      <c r="M4" s="6">
        <f t="shared" ref="M4:M67" si="8">L4*J4</f>
        <v>78.7899459969926</v>
      </c>
      <c r="N4" s="8">
        <f t="shared" ref="N4:N67" si="9">(G4/F4)*100/($G$3/$F$3)</f>
        <v>95.918860548086954</v>
      </c>
      <c r="O4" s="8">
        <f t="shared" ref="O4:O67" si="10">(I4/F4)*100/($I$3/$F$3)</f>
        <v>99.058040282427413</v>
      </c>
    </row>
    <row r="5" spans="1:15" x14ac:dyDescent="0.25">
      <c r="A5">
        <v>1949</v>
      </c>
      <c r="B5" s="2">
        <v>34.493000000000002</v>
      </c>
      <c r="C5" s="2">
        <v>42.32</v>
      </c>
      <c r="D5" s="2">
        <v>34.493000000000002</v>
      </c>
      <c r="E5" s="2">
        <v>42.32</v>
      </c>
      <c r="F5" s="5">
        <f t="shared" si="2"/>
        <v>43.036095272554867</v>
      </c>
      <c r="G5" s="5">
        <f t="shared" si="3"/>
        <v>46.691233257574083</v>
      </c>
      <c r="H5" s="5">
        <f t="shared" si="4"/>
        <v>81.505198487712676</v>
      </c>
      <c r="I5" s="6">
        <f>EXP(Regressions!$B$8+Regressions!$B$9*LN(F5))</f>
        <v>51.249613847375358</v>
      </c>
      <c r="J5" s="7">
        <f t="shared" si="5"/>
        <v>1.0976281899570908</v>
      </c>
      <c r="K5" s="6">
        <f t="shared" si="6"/>
        <v>74.550445232125881</v>
      </c>
      <c r="L5" s="6">
        <f t="shared" si="7"/>
        <v>73.076391766818631</v>
      </c>
      <c r="M5" s="6">
        <f t="shared" si="8"/>
        <v>80.210707623608386</v>
      </c>
      <c r="N5" s="8">
        <f t="shared" si="9"/>
        <v>96.256313442427782</v>
      </c>
      <c r="O5" s="8">
        <f t="shared" si="10"/>
        <v>98.590173845873721</v>
      </c>
    </row>
    <row r="6" spans="1:15" x14ac:dyDescent="0.25">
      <c r="A6">
        <v>1950</v>
      </c>
      <c r="B6" s="2">
        <v>37.325000000000003</v>
      </c>
      <c r="C6" s="2">
        <v>44.741</v>
      </c>
      <c r="D6" s="2">
        <v>37.325000000000003</v>
      </c>
      <c r="E6" s="2">
        <v>44.741</v>
      </c>
      <c r="F6" s="5">
        <f t="shared" si="2"/>
        <v>46.56951427965415</v>
      </c>
      <c r="G6" s="5">
        <f t="shared" si="3"/>
        <v>49.362298373750527</v>
      </c>
      <c r="H6" s="5">
        <f t="shared" si="4"/>
        <v>83.424599360765299</v>
      </c>
      <c r="I6" s="6">
        <f>EXP(Regressions!$B$8+Regressions!$B$9*LN(F6))</f>
        <v>54.548467620522899</v>
      </c>
      <c r="J6" s="7">
        <f t="shared" si="5"/>
        <v>1.1050633665293477</v>
      </c>
      <c r="K6" s="6">
        <f t="shared" si="6"/>
        <v>80.671306302412049</v>
      </c>
      <c r="L6" s="6">
        <f t="shared" si="7"/>
        <v>77.25687249620114</v>
      </c>
      <c r="M6" s="6">
        <f t="shared" si="8"/>
        <v>85.3737396081806</v>
      </c>
      <c r="N6" s="8">
        <f t="shared" si="9"/>
        <v>94.041685461306017</v>
      </c>
      <c r="O6" s="8">
        <f t="shared" si="10"/>
        <v>96.974319756945334</v>
      </c>
    </row>
    <row r="7" spans="1:15" x14ac:dyDescent="0.25">
      <c r="A7">
        <v>1951</v>
      </c>
      <c r="B7" s="2">
        <v>38.51</v>
      </c>
      <c r="C7" s="2">
        <v>45.439</v>
      </c>
      <c r="D7" s="2">
        <v>38.51</v>
      </c>
      <c r="E7" s="2">
        <v>45.439</v>
      </c>
      <c r="F7" s="5">
        <f t="shared" si="2"/>
        <v>48.048010580294203</v>
      </c>
      <c r="G7" s="5">
        <f t="shared" si="3"/>
        <v>50.132394801297465</v>
      </c>
      <c r="H7" s="5">
        <f t="shared" si="4"/>
        <v>84.750984836814183</v>
      </c>
      <c r="I7" s="6">
        <f>EXP(Regressions!$B$8+Regressions!$B$9*LN(F7))</f>
        <v>55.913094671687574</v>
      </c>
      <c r="J7" s="7">
        <f t="shared" si="5"/>
        <v>1.1153086720333676</v>
      </c>
      <c r="K7" s="6">
        <f t="shared" si="6"/>
        <v>83.232471686694907</v>
      </c>
      <c r="L7" s="6">
        <f t="shared" si="7"/>
        <v>78.462149468158586</v>
      </c>
      <c r="M7" s="6">
        <f t="shared" si="8"/>
        <v>87.509515728215547</v>
      </c>
      <c r="N7" s="8">
        <f t="shared" si="9"/>
        <v>92.569896950774719</v>
      </c>
      <c r="O7" s="8">
        <f t="shared" si="10"/>
        <v>96.341635571439994</v>
      </c>
    </row>
    <row r="8" spans="1:15" x14ac:dyDescent="0.25">
      <c r="A8">
        <v>1952</v>
      </c>
      <c r="B8" s="2">
        <v>39.601999999999997</v>
      </c>
      <c r="C8" s="2">
        <v>47.317</v>
      </c>
      <c r="D8" s="2">
        <v>39.601999999999997</v>
      </c>
      <c r="E8" s="2">
        <v>47.317</v>
      </c>
      <c r="F8" s="5">
        <f t="shared" si="2"/>
        <v>49.410472994048583</v>
      </c>
      <c r="G8" s="5">
        <f t="shared" si="3"/>
        <v>52.204373441602854</v>
      </c>
      <c r="H8" s="5">
        <f t="shared" si="4"/>
        <v>83.695077878986396</v>
      </c>
      <c r="I8" s="6">
        <f>EXP(Regressions!$B$8+Regressions!$B$9*LN(F8))</f>
        <v>57.162854649528263</v>
      </c>
      <c r="J8" s="7">
        <f t="shared" si="5"/>
        <v>1.0949821036253236</v>
      </c>
      <c r="K8" s="6">
        <f t="shared" si="6"/>
        <v>85.592634218034064</v>
      </c>
      <c r="L8" s="6">
        <f t="shared" si="7"/>
        <v>81.70500069070313</v>
      </c>
      <c r="M8" s="6">
        <f t="shared" si="8"/>
        <v>89.465513533014629</v>
      </c>
      <c r="N8" s="8">
        <f t="shared" si="9"/>
        <v>93.737769671044504</v>
      </c>
      <c r="O8" s="8">
        <f t="shared" si="10"/>
        <v>95.779109034733651</v>
      </c>
    </row>
    <row r="9" spans="1:15" x14ac:dyDescent="0.25">
      <c r="A9">
        <v>1953</v>
      </c>
      <c r="B9" s="2">
        <v>41.012999999999998</v>
      </c>
      <c r="C9" s="2">
        <v>49.951000000000001</v>
      </c>
      <c r="D9" s="2">
        <v>41.012999999999998</v>
      </c>
      <c r="E9" s="2">
        <v>49.951000000000001</v>
      </c>
      <c r="F9" s="5">
        <f t="shared" si="2"/>
        <v>51.170944116582866</v>
      </c>
      <c r="G9" s="5">
        <f t="shared" si="3"/>
        <v>55.110439330082308</v>
      </c>
      <c r="H9" s="5">
        <f t="shared" si="4"/>
        <v>82.106464335048344</v>
      </c>
      <c r="I9" s="6">
        <f>EXP(Regressions!$B$8+Regressions!$B$9*LN(F9))</f>
        <v>58.767075816862956</v>
      </c>
      <c r="J9" s="7">
        <f t="shared" si="5"/>
        <v>1.0663510676240364</v>
      </c>
      <c r="K9" s="6">
        <f t="shared" si="6"/>
        <v>88.642258148180176</v>
      </c>
      <c r="L9" s="6">
        <f t="shared" si="7"/>
        <v>86.253280839895027</v>
      </c>
      <c r="M9" s="6">
        <f t="shared" si="8"/>
        <v>91.976278109697901</v>
      </c>
      <c r="N9" s="8">
        <f t="shared" si="9"/>
        <v>95.55142821405893</v>
      </c>
      <c r="O9" s="8">
        <f t="shared" si="10"/>
        <v>95.079424994709129</v>
      </c>
    </row>
    <row r="10" spans="1:15" x14ac:dyDescent="0.25">
      <c r="A10">
        <v>1954</v>
      </c>
      <c r="B10" s="2">
        <v>41.883000000000003</v>
      </c>
      <c r="C10" s="2">
        <v>51.162999999999997</v>
      </c>
      <c r="D10" s="2">
        <v>41.883000000000003</v>
      </c>
      <c r="E10" s="2">
        <v>51.162999999999997</v>
      </c>
      <c r="F10" s="5">
        <f t="shared" si="2"/>
        <v>52.256422413255315</v>
      </c>
      <c r="G10" s="5">
        <f t="shared" si="3"/>
        <v>56.447626823186731</v>
      </c>
      <c r="H10" s="5">
        <f t="shared" si="4"/>
        <v>81.861892383167529</v>
      </c>
      <c r="I10" s="6">
        <f>EXP(Regressions!$B$8+Regressions!$B$9*LN(F10))</f>
        <v>59.75044157668794</v>
      </c>
      <c r="J10" s="7">
        <f t="shared" si="5"/>
        <v>1.0585111357089778</v>
      </c>
      <c r="K10" s="6">
        <f t="shared" si="6"/>
        <v>90.522607417653674</v>
      </c>
      <c r="L10" s="6">
        <f t="shared" si="7"/>
        <v>88.346111341345477</v>
      </c>
      <c r="M10" s="6">
        <f t="shared" si="8"/>
        <v>93.515342651399408</v>
      </c>
      <c r="N10" s="8">
        <f t="shared" si="9"/>
        <v>95.836899250984473</v>
      </c>
      <c r="O10" s="8">
        <f t="shared" si="10"/>
        <v>94.66236288872453</v>
      </c>
    </row>
    <row r="11" spans="1:15" x14ac:dyDescent="0.25">
      <c r="A11">
        <v>1955</v>
      </c>
      <c r="B11" s="2">
        <v>43.619</v>
      </c>
      <c r="C11" s="2">
        <v>52.664000000000001</v>
      </c>
      <c r="D11" s="2">
        <v>43.619</v>
      </c>
      <c r="E11" s="2">
        <v>52.664000000000001</v>
      </c>
      <c r="F11" s="5">
        <f t="shared" si="2"/>
        <v>54.422388301787912</v>
      </c>
      <c r="G11" s="5">
        <f t="shared" si="3"/>
        <v>58.103665129415923</v>
      </c>
      <c r="H11" s="5">
        <f t="shared" si="4"/>
        <v>82.825079750873456</v>
      </c>
      <c r="I11" s="6">
        <f>EXP(Regressions!$B$8+Regressions!$B$9*LN(F11))</f>
        <v>61.699997955842974</v>
      </c>
      <c r="J11" s="7">
        <f t="shared" si="5"/>
        <v>1.0618951114084945</v>
      </c>
      <c r="K11" s="6">
        <f t="shared" si="6"/>
        <v>94.27466067260309</v>
      </c>
      <c r="L11" s="6">
        <f t="shared" si="7"/>
        <v>90.937974858405866</v>
      </c>
      <c r="M11" s="6">
        <f t="shared" si="8"/>
        <v>96.566590943529761</v>
      </c>
      <c r="N11" s="8">
        <f t="shared" si="9"/>
        <v>94.722395153960917</v>
      </c>
      <c r="O11" s="8">
        <f t="shared" si="10"/>
        <v>93.860626392711268</v>
      </c>
    </row>
    <row r="12" spans="1:15" x14ac:dyDescent="0.25">
      <c r="A12">
        <v>1956</v>
      </c>
      <c r="B12" s="2">
        <v>43.646999999999998</v>
      </c>
      <c r="C12" s="2">
        <v>55.323</v>
      </c>
      <c r="D12" s="2">
        <v>43.646999999999998</v>
      </c>
      <c r="E12" s="2">
        <v>55.323</v>
      </c>
      <c r="F12" s="5">
        <f t="shared" si="2"/>
        <v>54.457323235473929</v>
      </c>
      <c r="G12" s="5">
        <f t="shared" si="3"/>
        <v>61.037313268165668</v>
      </c>
      <c r="H12" s="5">
        <f t="shared" si="4"/>
        <v>78.894853858250642</v>
      </c>
      <c r="I12" s="6">
        <f>EXP(Regressions!$B$8+Regressions!$B$9*LN(F12))</f>
        <v>61.73130767481058</v>
      </c>
      <c r="J12" s="7">
        <f t="shared" si="5"/>
        <v>1.011370002535922</v>
      </c>
      <c r="K12" s="6">
        <f t="shared" si="6"/>
        <v>94.335177660586155</v>
      </c>
      <c r="L12" s="6">
        <f t="shared" si="7"/>
        <v>95.529423953584754</v>
      </c>
      <c r="M12" s="6">
        <f t="shared" si="8"/>
        <v>96.615593746192175</v>
      </c>
      <c r="N12" s="8">
        <f t="shared" si="9"/>
        <v>99.441085814244261</v>
      </c>
      <c r="O12" s="8">
        <f t="shared" si="10"/>
        <v>93.848012937876007</v>
      </c>
    </row>
    <row r="13" spans="1:15" x14ac:dyDescent="0.25">
      <c r="A13">
        <v>1957</v>
      </c>
      <c r="B13" s="2">
        <v>45.026000000000003</v>
      </c>
      <c r="C13" s="2">
        <v>57.027000000000001</v>
      </c>
      <c r="D13" s="2">
        <v>45.026000000000003</v>
      </c>
      <c r="E13" s="2">
        <v>57.027000000000001</v>
      </c>
      <c r="F13" s="5">
        <f t="shared" si="2"/>
        <v>56.177868719509917</v>
      </c>
      <c r="G13" s="5">
        <f t="shared" si="3"/>
        <v>62.917319446589723</v>
      </c>
      <c r="H13" s="5">
        <f t="shared" si="4"/>
        <v>78.955582443403998</v>
      </c>
      <c r="I13" s="6">
        <f>EXP(Regressions!$B$8+Regressions!$B$9*LN(F13))</f>
        <v>63.268170385695619</v>
      </c>
      <c r="J13" s="7">
        <f t="shared" si="5"/>
        <v>1.0055763809105651</v>
      </c>
      <c r="K13" s="6">
        <f t="shared" si="6"/>
        <v>97.315639318751622</v>
      </c>
      <c r="L13" s="6">
        <f t="shared" si="7"/>
        <v>98.471819312059679</v>
      </c>
      <c r="M13" s="6">
        <f t="shared" si="8"/>
        <v>99.020935685500064</v>
      </c>
      <c r="N13" s="8">
        <f t="shared" si="9"/>
        <v>99.36460083039978</v>
      </c>
      <c r="O13" s="8">
        <f t="shared" si="10"/>
        <v>93.238636077721679</v>
      </c>
    </row>
    <row r="14" spans="1:15" x14ac:dyDescent="0.25">
      <c r="A14">
        <v>1958</v>
      </c>
      <c r="B14" s="2">
        <v>46.268000000000001</v>
      </c>
      <c r="C14" s="2">
        <v>57.911999999999999</v>
      </c>
      <c r="D14" s="2">
        <v>46.268000000000001</v>
      </c>
      <c r="E14" s="2">
        <v>57.911999999999999</v>
      </c>
      <c r="F14" s="5">
        <f t="shared" si="2"/>
        <v>57.727482563725061</v>
      </c>
      <c r="G14" s="5">
        <f t="shared" si="3"/>
        <v>63.893731106158562</v>
      </c>
      <c r="H14" s="5">
        <f t="shared" si="4"/>
        <v>79.893631717087999</v>
      </c>
      <c r="I14" s="6">
        <f>EXP(Regressions!$B$8+Regressions!$B$9*LN(F14))</f>
        <v>64.643927953795867</v>
      </c>
      <c r="J14" s="7">
        <f t="shared" si="5"/>
        <v>1.0117413216390645</v>
      </c>
      <c r="K14" s="6">
        <f t="shared" si="6"/>
        <v>100</v>
      </c>
      <c r="L14" s="6">
        <f t="shared" si="7"/>
        <v>100</v>
      </c>
      <c r="M14" s="6">
        <f t="shared" si="8"/>
        <v>101.17413216390645</v>
      </c>
      <c r="N14" s="8">
        <f t="shared" si="9"/>
        <v>98.197938486535904</v>
      </c>
      <c r="O14" s="8">
        <f t="shared" si="10"/>
        <v>92.708811597862962</v>
      </c>
    </row>
    <row r="15" spans="1:15" x14ac:dyDescent="0.25">
      <c r="A15">
        <v>1959</v>
      </c>
      <c r="B15" s="2">
        <v>48.027000000000001</v>
      </c>
      <c r="C15" s="2">
        <v>59.872</v>
      </c>
      <c r="D15" s="2">
        <v>48.027000000000001</v>
      </c>
      <c r="E15" s="2">
        <v>59.872</v>
      </c>
      <c r="F15" s="5">
        <f t="shared" si="2"/>
        <v>59.922145004928318</v>
      </c>
      <c r="G15" s="5">
        <f t="shared" si="3"/>
        <v>66.056179527350551</v>
      </c>
      <c r="H15" s="5">
        <f t="shared" si="4"/>
        <v>80.216127739176912</v>
      </c>
      <c r="I15" s="6">
        <f>EXP(Regressions!$B$8+Regressions!$B$9*LN(F15))</f>
        <v>66.57922401048225</v>
      </c>
      <c r="J15" s="7">
        <f t="shared" si="5"/>
        <v>1.0079181764200447</v>
      </c>
      <c r="K15" s="6">
        <f t="shared" si="6"/>
        <v>103.80176363793549</v>
      </c>
      <c r="L15" s="6">
        <f t="shared" si="7"/>
        <v>103.38444536538195</v>
      </c>
      <c r="M15" s="6">
        <f t="shared" si="8"/>
        <v>104.20306164287351</v>
      </c>
      <c r="N15" s="8">
        <f t="shared" si="9"/>
        <v>97.803149490460086</v>
      </c>
      <c r="O15" s="8">
        <f t="shared" si="10"/>
        <v>91.987173221426119</v>
      </c>
    </row>
    <row r="16" spans="1:15" x14ac:dyDescent="0.25">
      <c r="A16">
        <v>1960</v>
      </c>
      <c r="B16" s="2">
        <v>48.865000000000002</v>
      </c>
      <c r="C16" s="2">
        <v>61.319000000000003</v>
      </c>
      <c r="D16" s="2">
        <v>48.865000000000002</v>
      </c>
      <c r="E16" s="2">
        <v>61.319000000000003</v>
      </c>
      <c r="F16" s="5">
        <f t="shared" si="2"/>
        <v>60.96769766310247</v>
      </c>
      <c r="G16" s="5">
        <f t="shared" si="3"/>
        <v>67.652640172995874</v>
      </c>
      <c r="H16" s="5">
        <f t="shared" si="4"/>
        <v>79.689818816353821</v>
      </c>
      <c r="I16" s="6">
        <f>EXP(Regressions!$B$8+Regressions!$B$9*LN(F16))</f>
        <v>67.49597096416646</v>
      </c>
      <c r="J16" s="7">
        <f t="shared" si="5"/>
        <v>0.99768421145976283</v>
      </c>
      <c r="K16" s="6">
        <f t="shared" si="6"/>
        <v>105.61295063542838</v>
      </c>
      <c r="L16" s="6">
        <f t="shared" si="7"/>
        <v>105.88306395911037</v>
      </c>
      <c r="M16" s="6">
        <f t="shared" si="8"/>
        <v>105.63786117298866</v>
      </c>
      <c r="N16" s="8">
        <f t="shared" si="9"/>
        <v>98.449087340760059</v>
      </c>
      <c r="O16" s="8">
        <f t="shared" si="10"/>
        <v>91.654533130526929</v>
      </c>
    </row>
    <row r="17" spans="1:15" x14ac:dyDescent="0.25">
      <c r="A17">
        <v>1961</v>
      </c>
      <c r="B17" s="2">
        <v>50.567999999999998</v>
      </c>
      <c r="C17" s="2">
        <v>63.055</v>
      </c>
      <c r="D17" s="2">
        <v>50.567999999999998</v>
      </c>
      <c r="E17" s="2">
        <v>63.055</v>
      </c>
      <c r="F17" s="5">
        <f t="shared" si="2"/>
        <v>63.092490236933713</v>
      </c>
      <c r="G17" s="5">
        <f t="shared" si="3"/>
        <v>69.567951631765922</v>
      </c>
      <c r="H17" s="5">
        <f t="shared" si="4"/>
        <v>80.196653715010697</v>
      </c>
      <c r="I17" s="6">
        <f>EXP(Regressions!$B$8+Regressions!$B$9*LN(F17))</f>
        <v>69.348946053008262</v>
      </c>
      <c r="J17" s="7">
        <f t="shared" si="5"/>
        <v>0.99685191853977695</v>
      </c>
      <c r="K17" s="6">
        <f t="shared" si="6"/>
        <v>109.29368029739778</v>
      </c>
      <c r="L17" s="6">
        <f t="shared" si="7"/>
        <v>108.88071556844868</v>
      </c>
      <c r="M17" s="6">
        <f t="shared" si="8"/>
        <v>108.53795020639183</v>
      </c>
      <c r="N17" s="8">
        <f t="shared" si="9"/>
        <v>97.826898871618496</v>
      </c>
      <c r="O17" s="8">
        <f t="shared" si="10"/>
        <v>90.999308307561932</v>
      </c>
    </row>
    <row r="18" spans="1:15" x14ac:dyDescent="0.25">
      <c r="A18">
        <v>1962</v>
      </c>
      <c r="B18" s="2">
        <v>52.881999999999998</v>
      </c>
      <c r="C18" s="2">
        <v>65.191999999999993</v>
      </c>
      <c r="D18" s="2">
        <v>52.881999999999998</v>
      </c>
      <c r="E18" s="2">
        <v>65.191999999999993</v>
      </c>
      <c r="F18" s="5">
        <f t="shared" si="2"/>
        <v>65.979612970841799</v>
      </c>
      <c r="G18" s="5">
        <f t="shared" si="3"/>
        <v>71.925682384871678</v>
      </c>
      <c r="H18" s="5">
        <f t="shared" si="4"/>
        <v>81.117315007976444</v>
      </c>
      <c r="I18" s="6">
        <f>EXP(Regressions!$B$8+Regressions!$B$9*LN(F18))</f>
        <v>71.845953943648666</v>
      </c>
      <c r="J18" s="7">
        <f t="shared" si="5"/>
        <v>0.99889151637385398</v>
      </c>
      <c r="K18" s="6">
        <f t="shared" si="6"/>
        <v>114.29497708999739</v>
      </c>
      <c r="L18" s="6">
        <f t="shared" si="7"/>
        <v>112.5707970714187</v>
      </c>
      <c r="M18" s="6">
        <f t="shared" si="8"/>
        <v>112.44601418608282</v>
      </c>
      <c r="N18" s="8">
        <f t="shared" si="9"/>
        <v>96.716587969524227</v>
      </c>
      <c r="O18" s="8">
        <f t="shared" si="10"/>
        <v>90.150563794135024</v>
      </c>
    </row>
    <row r="19" spans="1:15" x14ac:dyDescent="0.25">
      <c r="A19">
        <v>1963</v>
      </c>
      <c r="B19" s="2">
        <v>54.95</v>
      </c>
      <c r="C19" s="2">
        <v>66.632999999999996</v>
      </c>
      <c r="D19" s="2">
        <v>54.95</v>
      </c>
      <c r="E19" s="2">
        <v>66.632999999999996</v>
      </c>
      <c r="F19" s="5">
        <f t="shared" si="2"/>
        <v>68.559807358794245</v>
      </c>
      <c r="G19" s="5">
        <f t="shared" si="3"/>
        <v>73.515523290452123</v>
      </c>
      <c r="H19" s="5">
        <f t="shared" si="4"/>
        <v>82.466645656056315</v>
      </c>
      <c r="I19" s="6">
        <f>EXP(Regressions!$B$8+Regressions!$B$9*LN(F19))</f>
        <v>74.058189390971378</v>
      </c>
      <c r="J19" s="7">
        <f t="shared" si="5"/>
        <v>1.0073816532377147</v>
      </c>
      <c r="K19" s="6">
        <f t="shared" si="6"/>
        <v>118.76458891674591</v>
      </c>
      <c r="L19" s="6">
        <f t="shared" si="7"/>
        <v>115.05905511811022</v>
      </c>
      <c r="M19" s="6">
        <f t="shared" si="8"/>
        <v>115.90838116485121</v>
      </c>
      <c r="N19" s="8">
        <f t="shared" si="9"/>
        <v>95.134097796839384</v>
      </c>
      <c r="O19" s="8">
        <f t="shared" si="10"/>
        <v>89.429210480925022</v>
      </c>
    </row>
    <row r="20" spans="1:15" x14ac:dyDescent="0.25">
      <c r="A20">
        <v>1964</v>
      </c>
      <c r="B20" s="2">
        <v>56.808</v>
      </c>
      <c r="C20" s="2">
        <v>68.257000000000005</v>
      </c>
      <c r="D20" s="2">
        <v>56.808</v>
      </c>
      <c r="E20" s="2">
        <v>68.257000000000005</v>
      </c>
      <c r="F20" s="5">
        <f t="shared" si="2"/>
        <v>70.877989744101612</v>
      </c>
      <c r="G20" s="5">
        <f t="shared" si="3"/>
        <v>75.307266268011219</v>
      </c>
      <c r="H20" s="5">
        <f t="shared" si="4"/>
        <v>83.226628770675532</v>
      </c>
      <c r="I20" s="6">
        <f>EXP(Regressions!$B$8+Regressions!$B$9*LN(F20))</f>
        <v>76.030940119819618</v>
      </c>
      <c r="J20" s="7">
        <f t="shared" si="5"/>
        <v>1.0096096152160525</v>
      </c>
      <c r="K20" s="6">
        <f t="shared" si="6"/>
        <v>122.78032333362152</v>
      </c>
      <c r="L20" s="6">
        <f t="shared" si="7"/>
        <v>117.86330984942673</v>
      </c>
      <c r="M20" s="6">
        <f t="shared" si="8"/>
        <v>118.9959309051701</v>
      </c>
      <c r="N20" s="8">
        <f t="shared" si="9"/>
        <v>94.265381749847407</v>
      </c>
      <c r="O20" s="8">
        <f t="shared" si="10"/>
        <v>88.808567384802032</v>
      </c>
    </row>
    <row r="21" spans="1:15" x14ac:dyDescent="0.25">
      <c r="A21">
        <v>1965</v>
      </c>
      <c r="B21" s="2">
        <v>58.817</v>
      </c>
      <c r="C21" s="2">
        <v>69.676000000000002</v>
      </c>
      <c r="D21" s="2">
        <v>58.817</v>
      </c>
      <c r="E21" s="2">
        <v>69.676000000000002</v>
      </c>
      <c r="F21" s="5">
        <f t="shared" si="2"/>
        <v>73.384571236072816</v>
      </c>
      <c r="G21" s="5">
        <f t="shared" si="3"/>
        <v>76.872834793353775</v>
      </c>
      <c r="H21" s="5">
        <f t="shared" si="4"/>
        <v>84.415006601986335</v>
      </c>
      <c r="I21" s="6">
        <f>EXP(Regressions!$B$8+Regressions!$B$9*LN(F21))</f>
        <v>78.148876870955121</v>
      </c>
      <c r="J21" s="7">
        <f t="shared" si="5"/>
        <v>1.0165993888612479</v>
      </c>
      <c r="K21" s="6">
        <f t="shared" si="6"/>
        <v>127.12241722140573</v>
      </c>
      <c r="L21" s="6">
        <f t="shared" si="7"/>
        <v>120.31357922364967</v>
      </c>
      <c r="M21" s="6">
        <f t="shared" si="8"/>
        <v>122.31071111047159</v>
      </c>
      <c r="N21" s="8">
        <f t="shared" si="9"/>
        <v>92.938332277947751</v>
      </c>
      <c r="O21" s="8">
        <f t="shared" si="10"/>
        <v>88.16452560203409</v>
      </c>
    </row>
    <row r="22" spans="1:15" x14ac:dyDescent="0.25">
      <c r="A22">
        <v>1966</v>
      </c>
      <c r="B22" s="2">
        <v>61.204999999999998</v>
      </c>
      <c r="C22" s="2">
        <v>72.3</v>
      </c>
      <c r="D22" s="2">
        <v>61.204999999999998</v>
      </c>
      <c r="E22" s="2">
        <v>72.3</v>
      </c>
      <c r="F22" s="5">
        <f t="shared" si="2"/>
        <v>76.364022009008224</v>
      </c>
      <c r="G22" s="5">
        <f t="shared" si="3"/>
        <v>79.767867781725101</v>
      </c>
      <c r="H22" s="5">
        <f t="shared" si="4"/>
        <v>84.654218533886578</v>
      </c>
      <c r="I22" s="6">
        <f>EXP(Regressions!$B$8+Regressions!$B$9*LN(F22))</f>
        <v>80.646773356100368</v>
      </c>
      <c r="J22" s="7">
        <f t="shared" si="5"/>
        <v>1.0110182909336412</v>
      </c>
      <c r="K22" s="6">
        <f t="shared" si="6"/>
        <v>132.28365176796058</v>
      </c>
      <c r="L22" s="6">
        <f t="shared" si="7"/>
        <v>124.84459179444674</v>
      </c>
      <c r="M22" s="6">
        <f t="shared" si="8"/>
        <v>126.22016582832963</v>
      </c>
      <c r="N22" s="8">
        <f t="shared" si="9"/>
        <v>92.675711484834011</v>
      </c>
      <c r="O22" s="8">
        <f t="shared" si="10"/>
        <v>87.432741722659344</v>
      </c>
    </row>
    <row r="23" spans="1:15" x14ac:dyDescent="0.25">
      <c r="A23">
        <v>1967</v>
      </c>
      <c r="B23" s="2">
        <v>62.542999999999999</v>
      </c>
      <c r="C23" s="2">
        <v>74.122</v>
      </c>
      <c r="D23" s="2">
        <v>62.542999999999999</v>
      </c>
      <c r="E23" s="2">
        <v>74.122</v>
      </c>
      <c r="F23" s="5">
        <f t="shared" si="2"/>
        <v>78.033412768718264</v>
      </c>
      <c r="G23" s="5">
        <f t="shared" si="3"/>
        <v>81.778062181425</v>
      </c>
      <c r="H23" s="5">
        <f t="shared" si="4"/>
        <v>84.378457138231568</v>
      </c>
      <c r="I23" s="6">
        <f>EXP(Regressions!$B$8+Regressions!$B$9*LN(F23))</f>
        <v>82.037399707981535</v>
      </c>
      <c r="J23" s="7">
        <f t="shared" si="5"/>
        <v>1.0031712358991975</v>
      </c>
      <c r="K23" s="6">
        <f t="shared" si="6"/>
        <v>135.17549926515088</v>
      </c>
      <c r="L23" s="6">
        <f t="shared" si="7"/>
        <v>127.99074457798038</v>
      </c>
      <c r="M23" s="6">
        <f t="shared" si="8"/>
        <v>128.39663342195109</v>
      </c>
      <c r="N23" s="8">
        <f t="shared" si="9"/>
        <v>92.978589546476101</v>
      </c>
      <c r="O23" s="8">
        <f t="shared" si="10"/>
        <v>87.03765478234827</v>
      </c>
    </row>
    <row r="24" spans="1:15" x14ac:dyDescent="0.25">
      <c r="A24">
        <v>1968</v>
      </c>
      <c r="B24" s="2">
        <v>64.677999999999997</v>
      </c>
      <c r="C24" s="2">
        <v>76.896000000000001</v>
      </c>
      <c r="D24" s="2">
        <v>64.677999999999997</v>
      </c>
      <c r="E24" s="2">
        <v>76.896000000000001</v>
      </c>
      <c r="F24" s="5">
        <f t="shared" si="2"/>
        <v>80.697201462276496</v>
      </c>
      <c r="G24" s="5">
        <f t="shared" si="3"/>
        <v>84.838588671418165</v>
      </c>
      <c r="H24" s="5">
        <f t="shared" si="4"/>
        <v>84.111007074490217</v>
      </c>
      <c r="I24" s="6">
        <f>EXP(Regressions!$B$8+Regressions!$B$9*LN(F24))</f>
        <v>84.243563616550517</v>
      </c>
      <c r="J24" s="7">
        <f t="shared" si="5"/>
        <v>0.99298638668811201</v>
      </c>
      <c r="K24" s="6">
        <f t="shared" si="6"/>
        <v>139.7899195988588</v>
      </c>
      <c r="L24" s="6">
        <f t="shared" si="7"/>
        <v>132.78077082469954</v>
      </c>
      <c r="M24" s="6">
        <f t="shared" si="8"/>
        <v>131.84949784288068</v>
      </c>
      <c r="N24" s="8">
        <f t="shared" si="9"/>
        <v>93.274236104111111</v>
      </c>
      <c r="O24" s="8">
        <f t="shared" si="10"/>
        <v>86.427937894480721</v>
      </c>
    </row>
    <row r="25" spans="1:15" x14ac:dyDescent="0.25">
      <c r="A25">
        <v>1969</v>
      </c>
      <c r="B25" s="2">
        <v>64.994</v>
      </c>
      <c r="C25" s="2">
        <v>78.007999999999996</v>
      </c>
      <c r="D25" s="2">
        <v>64.994</v>
      </c>
      <c r="E25" s="2">
        <v>78.007999999999996</v>
      </c>
      <c r="F25" s="5">
        <f t="shared" si="2"/>
        <v>81.091467142447186</v>
      </c>
      <c r="G25" s="5">
        <f t="shared" si="3"/>
        <v>86.065447163441362</v>
      </c>
      <c r="H25" s="5">
        <f t="shared" si="4"/>
        <v>83.317095682494099</v>
      </c>
      <c r="I25" s="6">
        <f>EXP(Regressions!$B$8+Regressions!$B$9*LN(F25))</f>
        <v>84.568790397873144</v>
      </c>
      <c r="J25" s="7">
        <f t="shared" si="5"/>
        <v>0.98261024819024045</v>
      </c>
      <c r="K25" s="6">
        <f t="shared" si="6"/>
        <v>140.47289703466757</v>
      </c>
      <c r="L25" s="6">
        <f t="shared" si="7"/>
        <v>134.70092554220196</v>
      </c>
      <c r="M25" s="6">
        <f t="shared" si="8"/>
        <v>132.35850987847817</v>
      </c>
      <c r="N25" s="8">
        <f t="shared" si="9"/>
        <v>94.163027030105255</v>
      </c>
      <c r="O25" s="8">
        <f t="shared" si="10"/>
        <v>86.3397637874167</v>
      </c>
    </row>
    <row r="26" spans="1:15" x14ac:dyDescent="0.25">
      <c r="A26">
        <v>1970</v>
      </c>
      <c r="B26" s="2">
        <v>66.284999999999997</v>
      </c>
      <c r="C26" s="2">
        <v>79.451999999999998</v>
      </c>
      <c r="D26" s="2">
        <v>66.284999999999997</v>
      </c>
      <c r="E26" s="2">
        <v>79.451999999999998</v>
      </c>
      <c r="F26" s="5">
        <f t="shared" si="2"/>
        <v>82.702217120612858</v>
      </c>
      <c r="G26" s="5">
        <f t="shared" si="3"/>
        <v>87.658597939054246</v>
      </c>
      <c r="H26" s="5">
        <f t="shared" si="4"/>
        <v>83.427729950158579</v>
      </c>
      <c r="I26" s="6">
        <f>EXP(Regressions!$B$8+Regressions!$B$9*LN(F26))</f>
        <v>85.894068062133414</v>
      </c>
      <c r="J26" s="7">
        <f t="shared" si="5"/>
        <v>0.97987043007295593</v>
      </c>
      <c r="K26" s="6">
        <f t="shared" si="6"/>
        <v>143.26316244488632</v>
      </c>
      <c r="L26" s="6">
        <f t="shared" si="7"/>
        <v>137.19436386241193</v>
      </c>
      <c r="M26" s="6">
        <f t="shared" si="8"/>
        <v>134.43270032144719</v>
      </c>
      <c r="N26" s="8">
        <f t="shared" si="9"/>
        <v>94.038156587834223</v>
      </c>
      <c r="O26" s="8">
        <f t="shared" si="10"/>
        <v>85.984845407799781</v>
      </c>
    </row>
    <row r="27" spans="1:15" x14ac:dyDescent="0.25">
      <c r="A27">
        <v>1971</v>
      </c>
      <c r="B27" s="2">
        <v>69.015000000000001</v>
      </c>
      <c r="C27" s="2">
        <v>80.887</v>
      </c>
      <c r="D27" s="2">
        <v>69.015000000000001</v>
      </c>
      <c r="E27" s="2">
        <v>80.887</v>
      </c>
      <c r="F27" s="5">
        <f t="shared" si="2"/>
        <v>86.108373154998816</v>
      </c>
      <c r="G27" s="5">
        <f t="shared" si="3"/>
        <v>89.241819104569814</v>
      </c>
      <c r="H27" s="5">
        <f t="shared" si="4"/>
        <v>85.322734184726841</v>
      </c>
      <c r="I27" s="6">
        <f>EXP(Regressions!$B$8+Regressions!$B$9*LN(F27))</f>
        <v>88.678938046269536</v>
      </c>
      <c r="J27" s="7">
        <f t="shared" si="5"/>
        <v>0.99369263128040097</v>
      </c>
      <c r="K27" s="6">
        <f t="shared" si="6"/>
        <v>149.1635687732342</v>
      </c>
      <c r="L27" s="6">
        <f t="shared" si="7"/>
        <v>139.67226136206659</v>
      </c>
      <c r="M27" s="6">
        <f t="shared" si="8"/>
        <v>138.79129690975583</v>
      </c>
      <c r="N27" s="8">
        <f t="shared" si="9"/>
        <v>91.949584220250188</v>
      </c>
      <c r="O27" s="8">
        <f t="shared" si="10"/>
        <v>85.261112432408339</v>
      </c>
    </row>
    <row r="28" spans="1:15" x14ac:dyDescent="0.25">
      <c r="A28">
        <v>1972</v>
      </c>
      <c r="B28" s="2">
        <v>71.242999999999995</v>
      </c>
      <c r="C28" s="2">
        <v>83.328000000000003</v>
      </c>
      <c r="D28" s="2">
        <v>71.242999999999995</v>
      </c>
      <c r="E28" s="2">
        <v>83.328000000000003</v>
      </c>
      <c r="F28" s="5">
        <f t="shared" si="2"/>
        <v>88.888195735442721</v>
      </c>
      <c r="G28" s="5">
        <f t="shared" si="3"/>
        <v>91.934950020962518</v>
      </c>
      <c r="H28" s="5">
        <f t="shared" si="4"/>
        <v>85.497071812595991</v>
      </c>
      <c r="I28" s="6">
        <f>EXP(Regressions!$B$8+Regressions!$B$9*LN(F28))</f>
        <v>90.934637749143207</v>
      </c>
      <c r="J28" s="7">
        <f t="shared" si="5"/>
        <v>0.98911934719504147</v>
      </c>
      <c r="K28" s="6">
        <f t="shared" si="6"/>
        <v>153.97899195988583</v>
      </c>
      <c r="L28" s="6">
        <f t="shared" si="7"/>
        <v>143.88727724823872</v>
      </c>
      <c r="M28" s="6">
        <f t="shared" si="8"/>
        <v>142.32168974144983</v>
      </c>
      <c r="N28" s="8">
        <f t="shared" si="9"/>
        <v>91.762089232917177</v>
      </c>
      <c r="O28" s="8">
        <f t="shared" si="10"/>
        <v>84.695657803413312</v>
      </c>
    </row>
    <row r="29" spans="1:15" x14ac:dyDescent="0.25">
      <c r="A29">
        <v>1973</v>
      </c>
      <c r="B29" s="2">
        <v>73.41</v>
      </c>
      <c r="C29" s="2">
        <v>85.063000000000002</v>
      </c>
      <c r="D29" s="2">
        <v>73.41</v>
      </c>
      <c r="E29" s="2">
        <v>85.063000000000002</v>
      </c>
      <c r="F29" s="5">
        <f t="shared" si="2"/>
        <v>91.591910067499285</v>
      </c>
      <c r="G29" s="5">
        <f t="shared" si="3"/>
        <v>93.849158189721763</v>
      </c>
      <c r="H29" s="5">
        <f t="shared" si="4"/>
        <v>86.300741803134144</v>
      </c>
      <c r="I29" s="6">
        <f>EXP(Regressions!$B$8+Regressions!$B$9*LN(F29))</f>
        <v>93.114445477147996</v>
      </c>
      <c r="J29" s="7">
        <f t="shared" si="5"/>
        <v>0.99217134466897938</v>
      </c>
      <c r="K29" s="6">
        <f t="shared" si="6"/>
        <v>158.66257456557449</v>
      </c>
      <c r="L29" s="6">
        <f t="shared" si="7"/>
        <v>146.88320209973756</v>
      </c>
      <c r="M29" s="6">
        <f t="shared" si="8"/>
        <v>145.73330413658206</v>
      </c>
      <c r="N29" s="8">
        <f t="shared" si="9"/>
        <v>90.907560803094327</v>
      </c>
      <c r="O29" s="8">
        <f t="shared" si="10"/>
        <v>84.165835815354114</v>
      </c>
    </row>
    <row r="30" spans="1:15" x14ac:dyDescent="0.25">
      <c r="A30">
        <v>1974</v>
      </c>
      <c r="B30" s="2">
        <v>72.257000000000005</v>
      </c>
      <c r="C30" s="2">
        <v>83.989000000000004</v>
      </c>
      <c r="D30" s="2">
        <v>72.257000000000005</v>
      </c>
      <c r="E30" s="2">
        <v>83.989000000000004</v>
      </c>
      <c r="F30" s="5">
        <f t="shared" si="2"/>
        <v>90.153339405357528</v>
      </c>
      <c r="G30" s="5">
        <f t="shared" si="3"/>
        <v>92.664224718109395</v>
      </c>
      <c r="H30" s="5">
        <f t="shared" si="4"/>
        <v>86.031504125540252</v>
      </c>
      <c r="I30" s="6">
        <f>EXP(Regressions!$B$8+Regressions!$B$9*LN(F30))</f>
        <v>91.956334264083466</v>
      </c>
      <c r="J30" s="7">
        <f t="shared" si="5"/>
        <v>0.99236069307028274</v>
      </c>
      <c r="K30" s="6">
        <f t="shared" si="6"/>
        <v>156.17057145327226</v>
      </c>
      <c r="L30" s="6">
        <f t="shared" si="7"/>
        <v>145.02866418013539</v>
      </c>
      <c r="M30" s="6">
        <f t="shared" si="8"/>
        <v>143.92074570085646</v>
      </c>
      <c r="N30" s="8">
        <f t="shared" si="9"/>
        <v>91.192058218257898</v>
      </c>
      <c r="O30" s="8">
        <f t="shared" si="10"/>
        <v>84.445347520014906</v>
      </c>
    </row>
    <row r="31" spans="1:15" x14ac:dyDescent="0.25">
      <c r="A31">
        <v>1975</v>
      </c>
      <c r="B31" s="2">
        <v>74.793000000000006</v>
      </c>
      <c r="C31" s="2">
        <v>84.843999999999994</v>
      </c>
      <c r="D31" s="2">
        <v>74.793000000000006</v>
      </c>
      <c r="E31" s="2">
        <v>84.843999999999994</v>
      </c>
      <c r="F31" s="5">
        <f t="shared" si="2"/>
        <v>93.317446256347566</v>
      </c>
      <c r="G31" s="5">
        <f t="shared" si="3"/>
        <v>93.607537677353861</v>
      </c>
      <c r="H31" s="5">
        <f t="shared" si="4"/>
        <v>88.153552402055553</v>
      </c>
      <c r="I31" s="6">
        <f>EXP(Regressions!$B$8+Regressions!$B$9*LN(F31))</f>
        <v>94.498565481485826</v>
      </c>
      <c r="J31" s="7">
        <f t="shared" si="5"/>
        <v>1.0095187612690246</v>
      </c>
      <c r="K31" s="6">
        <f t="shared" si="6"/>
        <v>161.65168150773755</v>
      </c>
      <c r="L31" s="6">
        <f t="shared" si="7"/>
        <v>146.50504213289128</v>
      </c>
      <c r="M31" s="6">
        <f t="shared" si="8"/>
        <v>147.89958865366268</v>
      </c>
      <c r="N31" s="8">
        <f t="shared" si="9"/>
        <v>88.996866479513798</v>
      </c>
      <c r="O31" s="8">
        <f t="shared" si="10"/>
        <v>83.837489659234706</v>
      </c>
    </row>
    <row r="32" spans="1:15" x14ac:dyDescent="0.25">
      <c r="A32">
        <v>1976</v>
      </c>
      <c r="B32" s="2">
        <v>77.144999999999996</v>
      </c>
      <c r="C32" s="2">
        <v>87.149000000000001</v>
      </c>
      <c r="D32" s="2">
        <v>77.144999999999996</v>
      </c>
      <c r="E32" s="2">
        <v>87.149000000000001</v>
      </c>
      <c r="F32" s="5">
        <f t="shared" si="2"/>
        <v>96.25198068597237</v>
      </c>
      <c r="G32" s="5">
        <f t="shared" si="3"/>
        <v>96.150621152276074</v>
      </c>
      <c r="H32" s="5">
        <f t="shared" si="4"/>
        <v>88.520809188860454</v>
      </c>
      <c r="I32" s="6">
        <f>EXP(Regressions!$B$8+Regressions!$B$9*LN(F32))</f>
        <v>96.840247255913596</v>
      </c>
      <c r="J32" s="7">
        <f t="shared" si="5"/>
        <v>1.0071723520386346</v>
      </c>
      <c r="K32" s="6">
        <f t="shared" si="6"/>
        <v>166.73510849831416</v>
      </c>
      <c r="L32" s="6">
        <f t="shared" si="7"/>
        <v>150.48521895289403</v>
      </c>
      <c r="M32" s="6">
        <f t="shared" si="8"/>
        <v>151.5645519198352</v>
      </c>
      <c r="N32" s="8">
        <f t="shared" si="9"/>
        <v>88.627634617328283</v>
      </c>
      <c r="O32" s="8">
        <f t="shared" si="10"/>
        <v>83.295609351264829</v>
      </c>
    </row>
    <row r="33" spans="1:15" x14ac:dyDescent="0.25">
      <c r="A33">
        <v>1977</v>
      </c>
      <c r="B33" s="2">
        <v>78.454999999999998</v>
      </c>
      <c r="C33" s="2">
        <v>88.334999999999994</v>
      </c>
      <c r="D33" s="2">
        <v>78.454999999999998</v>
      </c>
      <c r="E33" s="2">
        <v>88.334999999999994</v>
      </c>
      <c r="F33" s="5">
        <f t="shared" si="2"/>
        <v>97.886436511996408</v>
      </c>
      <c r="G33" s="5">
        <f t="shared" si="3"/>
        <v>97.459123105099394</v>
      </c>
      <c r="H33" s="5">
        <f t="shared" si="4"/>
        <v>88.815305371596764</v>
      </c>
      <c r="I33" s="6">
        <f>EXP(Regressions!$B$8+Regressions!$B$9*LN(F33))</f>
        <v>98.13800191444335</v>
      </c>
      <c r="J33" s="7">
        <f t="shared" si="5"/>
        <v>1.0069657799876965</v>
      </c>
      <c r="K33" s="6">
        <f t="shared" si="6"/>
        <v>169.56643900752138</v>
      </c>
      <c r="L33" s="6">
        <f t="shared" si="7"/>
        <v>152.53315375051801</v>
      </c>
      <c r="M33" s="6">
        <f t="shared" si="8"/>
        <v>153.59566614037359</v>
      </c>
      <c r="N33" s="8">
        <f t="shared" si="9"/>
        <v>88.333760718335881</v>
      </c>
      <c r="O33" s="8">
        <f t="shared" si="10"/>
        <v>83.002388160645481</v>
      </c>
    </row>
    <row r="34" spans="1:15" x14ac:dyDescent="0.25">
      <c r="A34">
        <v>1978</v>
      </c>
      <c r="B34" s="2">
        <v>79.319999999999993</v>
      </c>
      <c r="C34" s="2">
        <v>89.736000000000004</v>
      </c>
      <c r="D34" s="2">
        <v>79.319999999999993</v>
      </c>
      <c r="E34" s="2">
        <v>89.736000000000004</v>
      </c>
      <c r="F34" s="5">
        <f t="shared" si="2"/>
        <v>98.965676427653477</v>
      </c>
      <c r="G34" s="5">
        <f t="shared" si="3"/>
        <v>99.00483241024736</v>
      </c>
      <c r="H34" s="5">
        <f t="shared" si="4"/>
        <v>88.392618347151625</v>
      </c>
      <c r="I34" s="6">
        <f>EXP(Regressions!$B$8+Regressions!$B$9*LN(F34))</f>
        <v>98.992427209428044</v>
      </c>
      <c r="J34" s="7">
        <f t="shared" si="5"/>
        <v>0.99987470105733922</v>
      </c>
      <c r="K34" s="6">
        <f t="shared" si="6"/>
        <v>171.43598167199789</v>
      </c>
      <c r="L34" s="6">
        <f t="shared" si="7"/>
        <v>154.95234148363036</v>
      </c>
      <c r="M34" s="6">
        <f t="shared" si="8"/>
        <v>154.93292611907964</v>
      </c>
      <c r="N34" s="8">
        <f t="shared" si="9"/>
        <v>88.756166289912514</v>
      </c>
      <c r="O34" s="8">
        <f t="shared" si="10"/>
        <v>82.811999486468821</v>
      </c>
    </row>
    <row r="35" spans="1:15" x14ac:dyDescent="0.25">
      <c r="A35">
        <v>1979</v>
      </c>
      <c r="B35" s="2">
        <v>79.305000000000007</v>
      </c>
      <c r="C35" s="2">
        <v>89.864000000000004</v>
      </c>
      <c r="D35" s="2">
        <v>79.305000000000007</v>
      </c>
      <c r="E35" s="2">
        <v>89.864000000000004</v>
      </c>
      <c r="F35" s="5">
        <f t="shared" si="2"/>
        <v>98.946961284607426</v>
      </c>
      <c r="G35" s="5">
        <f t="shared" si="3"/>
        <v>99.14605353163131</v>
      </c>
      <c r="H35" s="5">
        <f t="shared" si="4"/>
        <v>88.250022255853295</v>
      </c>
      <c r="I35" s="6">
        <f>EXP(Regressions!$B$8+Regressions!$B$9*LN(F35))</f>
        <v>98.977627267667984</v>
      </c>
      <c r="J35" s="7">
        <f t="shared" si="5"/>
        <v>0.99830123078061206</v>
      </c>
      <c r="K35" s="6">
        <f t="shared" si="6"/>
        <v>171.40356185700702</v>
      </c>
      <c r="L35" s="6">
        <f t="shared" si="7"/>
        <v>155.17336648708385</v>
      </c>
      <c r="M35" s="6">
        <f t="shared" si="8"/>
        <v>154.9097627484268</v>
      </c>
      <c r="N35" s="8">
        <f t="shared" si="9"/>
        <v>88.899580218521763</v>
      </c>
      <c r="O35" s="8">
        <f t="shared" si="10"/>
        <v>82.815279595738787</v>
      </c>
    </row>
    <row r="36" spans="1:15" x14ac:dyDescent="0.25">
      <c r="A36">
        <v>1980</v>
      </c>
      <c r="B36" s="2">
        <v>79.150999999999996</v>
      </c>
      <c r="C36" s="2">
        <v>89.593000000000004</v>
      </c>
      <c r="D36" s="2">
        <v>79.150999999999996</v>
      </c>
      <c r="E36" s="2">
        <v>89.593000000000004</v>
      </c>
      <c r="F36" s="5">
        <f t="shared" si="2"/>
        <v>98.754819149334352</v>
      </c>
      <c r="G36" s="5">
        <f t="shared" si="3"/>
        <v>98.847061938701216</v>
      </c>
      <c r="H36" s="5">
        <f t="shared" si="4"/>
        <v>88.345071601576009</v>
      </c>
      <c r="I36" s="6">
        <f>EXP(Regressions!$B$8+Regressions!$B$9*LN(F36))</f>
        <v>98.825647267816535</v>
      </c>
      <c r="J36" s="7">
        <f t="shared" si="5"/>
        <v>0.99978335551442121</v>
      </c>
      <c r="K36" s="6">
        <f t="shared" si="6"/>
        <v>171.07071842310017</v>
      </c>
      <c r="L36" s="6">
        <f t="shared" si="7"/>
        <v>154.70541511258463</v>
      </c>
      <c r="M36" s="6">
        <f t="shared" si="8"/>
        <v>154.67189903751131</v>
      </c>
      <c r="N36" s="8">
        <f t="shared" si="9"/>
        <v>88.803934283987914</v>
      </c>
      <c r="O36" s="8">
        <f t="shared" si="10"/>
        <v>82.848998841778482</v>
      </c>
    </row>
    <row r="37" spans="1:15" x14ac:dyDescent="0.25">
      <c r="A37">
        <v>1981</v>
      </c>
      <c r="B37" s="2">
        <v>80.778999999999996</v>
      </c>
      <c r="C37" s="2">
        <v>89.644999999999996</v>
      </c>
      <c r="D37" s="2">
        <v>80.778999999999996</v>
      </c>
      <c r="E37" s="2">
        <v>89.644999999999996</v>
      </c>
      <c r="F37" s="5">
        <f t="shared" si="2"/>
        <v>100.78603600793521</v>
      </c>
      <c r="G37" s="5">
        <f t="shared" si="3"/>
        <v>98.904433019263436</v>
      </c>
      <c r="H37" s="5">
        <f t="shared" si="4"/>
        <v>90.109877851525468</v>
      </c>
      <c r="I37" s="6">
        <f>EXP(Regressions!$B$8+Regressions!$B$9*LN(F37))</f>
        <v>100.42918740847756</v>
      </c>
      <c r="J37" s="7">
        <f t="shared" si="5"/>
        <v>1.01541644133299</v>
      </c>
      <c r="K37" s="6">
        <f t="shared" si="6"/>
        <v>174.58934901011497</v>
      </c>
      <c r="L37" s="6">
        <f t="shared" si="7"/>
        <v>154.7952065202376</v>
      </c>
      <c r="M37" s="6">
        <f t="shared" si="8"/>
        <v>157.18159774018491</v>
      </c>
      <c r="N37" s="8">
        <f t="shared" si="9"/>
        <v>87.064705001015028</v>
      </c>
      <c r="O37" s="8">
        <f t="shared" si="10"/>
        <v>82.496491651032514</v>
      </c>
    </row>
    <row r="38" spans="1:15" x14ac:dyDescent="0.25">
      <c r="A38">
        <v>1982</v>
      </c>
      <c r="B38" s="2">
        <v>80.149000000000001</v>
      </c>
      <c r="C38" s="2">
        <v>90.638000000000005</v>
      </c>
      <c r="D38" s="2">
        <v>80.149000000000001</v>
      </c>
      <c r="E38" s="2">
        <v>90.638000000000005</v>
      </c>
      <c r="F38" s="5">
        <f t="shared" si="2"/>
        <v>100</v>
      </c>
      <c r="G38" s="5">
        <f t="shared" si="3"/>
        <v>100</v>
      </c>
      <c r="H38" s="5">
        <f t="shared" si="4"/>
        <v>88.427591076590389</v>
      </c>
      <c r="I38" s="6">
        <f>EXP(Regressions!$B$8+Regressions!$B$9*LN(F38))</f>
        <v>99.809463064396354</v>
      </c>
      <c r="J38" s="7">
        <f t="shared" si="5"/>
        <v>0.99809463064396353</v>
      </c>
      <c r="K38" s="6">
        <f t="shared" si="6"/>
        <v>173.22771678049625</v>
      </c>
      <c r="L38" s="6">
        <f t="shared" si="7"/>
        <v>156.50987705484184</v>
      </c>
      <c r="M38" s="6">
        <f t="shared" si="8"/>
        <v>156.21166793118451</v>
      </c>
      <c r="N38" s="8">
        <f t="shared" si="9"/>
        <v>88.721063610399383</v>
      </c>
      <c r="O38" s="8">
        <f t="shared" si="10"/>
        <v>82.631876344046404</v>
      </c>
    </row>
    <row r="39" spans="1:15" x14ac:dyDescent="0.25">
      <c r="A39">
        <v>1983</v>
      </c>
      <c r="B39" s="2">
        <v>83.001999999999995</v>
      </c>
      <c r="C39" s="2">
        <v>90.591999999999999</v>
      </c>
      <c r="D39" s="2">
        <v>83.001999999999995</v>
      </c>
      <c r="E39" s="2">
        <v>90.591999999999999</v>
      </c>
      <c r="F39" s="5">
        <f t="shared" si="2"/>
        <v>103.55962020736376</v>
      </c>
      <c r="G39" s="5">
        <f t="shared" si="3"/>
        <v>99.949248659502643</v>
      </c>
      <c r="H39" s="5">
        <f t="shared" si="4"/>
        <v>91.62177675732957</v>
      </c>
      <c r="I39" s="6">
        <f>EXP(Regressions!$B$8+Regressions!$B$9*LN(F39))</f>
        <v>102.60791144324099</v>
      </c>
      <c r="J39" s="7">
        <f t="shared" si="5"/>
        <v>1.0266001277587951</v>
      </c>
      <c r="K39" s="6">
        <f t="shared" si="6"/>
        <v>179.39396559176967</v>
      </c>
      <c r="L39" s="6">
        <f t="shared" si="7"/>
        <v>156.43044619422574</v>
      </c>
      <c r="M39" s="6">
        <f t="shared" si="8"/>
        <v>160.59151604835745</v>
      </c>
      <c r="N39" s="8">
        <f t="shared" si="9"/>
        <v>85.628004722064588</v>
      </c>
      <c r="O39" s="8">
        <f t="shared" si="10"/>
        <v>82.028787846947878</v>
      </c>
    </row>
    <row r="40" spans="1:15" x14ac:dyDescent="0.25">
      <c r="A40">
        <v>1984</v>
      </c>
      <c r="B40" s="2">
        <v>85.215000000000003</v>
      </c>
      <c r="C40" s="2">
        <v>90.769000000000005</v>
      </c>
      <c r="D40" s="2">
        <v>85.215000000000003</v>
      </c>
      <c r="E40" s="2">
        <v>90.769000000000005</v>
      </c>
      <c r="F40" s="5">
        <f t="shared" si="2"/>
        <v>106.32072764476163</v>
      </c>
      <c r="G40" s="5">
        <f t="shared" si="3"/>
        <v>100.14453099141642</v>
      </c>
      <c r="H40" s="5">
        <f t="shared" si="4"/>
        <v>93.881170884332761</v>
      </c>
      <c r="I40" s="6">
        <f>EXP(Regressions!$B$8+Regressions!$B$9*LN(F40))</f>
        <v>104.76472826284571</v>
      </c>
      <c r="J40" s="7">
        <f t="shared" si="5"/>
        <v>1.0461352929180456</v>
      </c>
      <c r="K40" s="6">
        <f t="shared" si="6"/>
        <v>184.17696896343045</v>
      </c>
      <c r="L40" s="6">
        <f t="shared" si="7"/>
        <v>156.7360823318138</v>
      </c>
      <c r="M40" s="6">
        <f t="shared" si="8"/>
        <v>163.96714740101896</v>
      </c>
      <c r="N40" s="8">
        <f t="shared" si="9"/>
        <v>83.567235675900903</v>
      </c>
      <c r="O40" s="8">
        <f t="shared" si="10"/>
        <v>81.577998524121782</v>
      </c>
    </row>
    <row r="41" spans="1:15" x14ac:dyDescent="0.25">
      <c r="A41">
        <v>1985</v>
      </c>
      <c r="B41" s="2">
        <v>87.131</v>
      </c>
      <c r="C41" s="2">
        <v>91.965999999999994</v>
      </c>
      <c r="D41" s="2">
        <v>87.131</v>
      </c>
      <c r="E41" s="2">
        <v>91.965999999999994</v>
      </c>
      <c r="F41" s="5">
        <f t="shared" si="2"/>
        <v>108.71127524984716</v>
      </c>
      <c r="G41" s="5">
        <f t="shared" si="3"/>
        <v>101.46516913435863</v>
      </c>
      <c r="H41" s="5">
        <f t="shared" si="4"/>
        <v>94.742622273448887</v>
      </c>
      <c r="I41" s="6">
        <f>EXP(Regressions!$B$8+Regressions!$B$9*LN(F41))</f>
        <v>106.62262204134038</v>
      </c>
      <c r="J41" s="7">
        <f t="shared" si="5"/>
        <v>1.0508297867236818</v>
      </c>
      <c r="K41" s="6">
        <f t="shared" si="6"/>
        <v>188.31805999827097</v>
      </c>
      <c r="L41" s="6">
        <f t="shared" si="7"/>
        <v>158.80301146567203</v>
      </c>
      <c r="M41" s="6">
        <f t="shared" si="8"/>
        <v>166.87493466955053</v>
      </c>
      <c r="N41" s="8">
        <f t="shared" si="9"/>
        <v>82.807396972578701</v>
      </c>
      <c r="O41" s="8">
        <f t="shared" si="10"/>
        <v>81.198996743082063</v>
      </c>
    </row>
    <row r="42" spans="1:15" x14ac:dyDescent="0.25">
      <c r="A42">
        <v>1986</v>
      </c>
      <c r="B42" s="2">
        <v>89.673000000000002</v>
      </c>
      <c r="C42" s="2">
        <v>94.926000000000002</v>
      </c>
      <c r="D42" s="2">
        <v>89.673000000000002</v>
      </c>
      <c r="E42" s="2">
        <v>94.926000000000002</v>
      </c>
      <c r="F42" s="5">
        <f t="shared" si="2"/>
        <v>111.88286815805562</v>
      </c>
      <c r="G42" s="5">
        <f t="shared" si="3"/>
        <v>104.73090756636289</v>
      </c>
      <c r="H42" s="5">
        <f t="shared" si="4"/>
        <v>94.466215789141017</v>
      </c>
      <c r="I42" s="6">
        <f>EXP(Regressions!$B$8+Regressions!$B$9*LN(F42))</f>
        <v>109.07439185959325</v>
      </c>
      <c r="J42" s="7">
        <f t="shared" si="5"/>
        <v>1.0414728029591276</v>
      </c>
      <c r="K42" s="6">
        <f t="shared" si="6"/>
        <v>193.81213797873258</v>
      </c>
      <c r="L42" s="6">
        <f t="shared" si="7"/>
        <v>163.91421467053462</v>
      </c>
      <c r="M42" s="6">
        <f t="shared" si="8"/>
        <v>170.71219659776585</v>
      </c>
      <c r="N42" s="8">
        <f t="shared" si="9"/>
        <v>83.049689958284489</v>
      </c>
      <c r="O42" s="8">
        <f t="shared" si="10"/>
        <v>80.711441599752391</v>
      </c>
    </row>
    <row r="43" spans="1:15" x14ac:dyDescent="0.25">
      <c r="A43">
        <v>1987</v>
      </c>
      <c r="B43" s="2">
        <v>90.132999999999996</v>
      </c>
      <c r="C43" s="2">
        <v>95.207999999999998</v>
      </c>
      <c r="D43" s="2">
        <v>90.132999999999996</v>
      </c>
      <c r="E43" s="2">
        <v>95.207999999999998</v>
      </c>
      <c r="F43" s="5">
        <f t="shared" si="2"/>
        <v>112.45679921146863</v>
      </c>
      <c r="G43" s="5">
        <f t="shared" si="3"/>
        <v>105.04203534941193</v>
      </c>
      <c r="H43" s="5">
        <f t="shared" si="4"/>
        <v>94.669565582724132</v>
      </c>
      <c r="I43" s="6">
        <f>EXP(Regressions!$B$8+Regressions!$B$9*LN(F43))</f>
        <v>109.51649840576265</v>
      </c>
      <c r="J43" s="7">
        <f t="shared" si="5"/>
        <v>1.0425968807769848</v>
      </c>
      <c r="K43" s="6">
        <f t="shared" si="6"/>
        <v>194.80634563845422</v>
      </c>
      <c r="L43" s="6">
        <f t="shared" si="7"/>
        <v>164.40116038126811</v>
      </c>
      <c r="M43" s="6">
        <f t="shared" si="8"/>
        <v>171.40413700962694</v>
      </c>
      <c r="N43" s="8">
        <f t="shared" si="9"/>
        <v>82.871299604360203</v>
      </c>
      <c r="O43" s="8">
        <f t="shared" si="10"/>
        <v>80.62499979007822</v>
      </c>
    </row>
    <row r="44" spans="1:15" x14ac:dyDescent="0.25">
      <c r="A44">
        <v>1988</v>
      </c>
      <c r="B44" s="2">
        <v>91.507000000000005</v>
      </c>
      <c r="C44" s="2">
        <v>96.528000000000006</v>
      </c>
      <c r="D44" s="2">
        <v>91.507000000000005</v>
      </c>
      <c r="E44" s="2">
        <v>96.528000000000006</v>
      </c>
      <c r="F44" s="5">
        <f t="shared" si="2"/>
        <v>114.17110631448926</v>
      </c>
      <c r="G44" s="5">
        <f t="shared" si="3"/>
        <v>106.49837816368411</v>
      </c>
      <c r="H44" s="5">
        <f t="shared" si="4"/>
        <v>94.798400464114039</v>
      </c>
      <c r="I44" s="6">
        <f>EXP(Regressions!$B$8+Regressions!$B$9*LN(F44))</f>
        <v>110.83425062511415</v>
      </c>
      <c r="J44" s="7">
        <f t="shared" si="5"/>
        <v>1.040713037477115</v>
      </c>
      <c r="K44" s="6">
        <f t="shared" si="6"/>
        <v>197.77600069162273</v>
      </c>
      <c r="L44" s="6">
        <f t="shared" si="7"/>
        <v>166.68048072938251</v>
      </c>
      <c r="M44" s="6">
        <f t="shared" si="8"/>
        <v>173.46654938802141</v>
      </c>
      <c r="N44" s="8">
        <f t="shared" si="9"/>
        <v>82.758674138077211</v>
      </c>
      <c r="O44" s="8">
        <f t="shared" si="10"/>
        <v>80.369945742255382</v>
      </c>
    </row>
    <row r="45" spans="1:15" x14ac:dyDescent="0.25">
      <c r="A45">
        <v>1989</v>
      </c>
      <c r="B45" s="2">
        <v>92.409000000000006</v>
      </c>
      <c r="C45" s="2">
        <v>95.006</v>
      </c>
      <c r="D45" s="2">
        <v>92.409000000000006</v>
      </c>
      <c r="E45" s="2">
        <v>95.006</v>
      </c>
      <c r="F45" s="5">
        <f t="shared" si="2"/>
        <v>115.29651024966003</v>
      </c>
      <c r="G45" s="5">
        <f t="shared" si="3"/>
        <v>104.81917076722787</v>
      </c>
      <c r="H45" s="5">
        <f t="shared" si="4"/>
        <v>97.266488432309544</v>
      </c>
      <c r="I45" s="6">
        <f>EXP(Regressions!$B$8+Regressions!$B$9*LN(F45))</f>
        <v>111.69707093006897</v>
      </c>
      <c r="J45" s="7">
        <f t="shared" si="5"/>
        <v>1.0656168152495202</v>
      </c>
      <c r="K45" s="6">
        <f t="shared" si="6"/>
        <v>199.72551223307687</v>
      </c>
      <c r="L45" s="6">
        <f t="shared" si="7"/>
        <v>164.05235529769305</v>
      </c>
      <c r="M45" s="6">
        <f t="shared" si="8"/>
        <v>174.81694838651043</v>
      </c>
      <c r="N45" s="8">
        <f t="shared" si="9"/>
        <v>80.658714622769438</v>
      </c>
      <c r="O45" s="8">
        <f t="shared" si="10"/>
        <v>80.205013716144109</v>
      </c>
    </row>
    <row r="46" spans="1:15" x14ac:dyDescent="0.25">
      <c r="A46">
        <v>1990</v>
      </c>
      <c r="B46" s="2">
        <v>94.381</v>
      </c>
      <c r="C46" s="2">
        <v>96.215000000000003</v>
      </c>
      <c r="D46" s="2">
        <v>94.381</v>
      </c>
      <c r="E46" s="2">
        <v>96.215000000000003</v>
      </c>
      <c r="F46" s="5">
        <f t="shared" si="2"/>
        <v>117.75692772211755</v>
      </c>
      <c r="G46" s="5">
        <f t="shared" si="3"/>
        <v>106.15304839029987</v>
      </c>
      <c r="H46" s="5">
        <f t="shared" si="4"/>
        <v>98.093852309930881</v>
      </c>
      <c r="I46" s="6">
        <f>EXP(Regressions!$B$8+Regressions!$B$9*LN(F46))</f>
        <v>113.57730541932024</v>
      </c>
      <c r="J46" s="7">
        <f t="shared" si="5"/>
        <v>1.0699391787763184</v>
      </c>
      <c r="K46" s="6">
        <f t="shared" si="6"/>
        <v>203.98763724388346</v>
      </c>
      <c r="L46" s="6">
        <f t="shared" si="7"/>
        <v>166.14000552562507</v>
      </c>
      <c r="M46" s="6">
        <f t="shared" si="8"/>
        <v>177.7597010739803</v>
      </c>
      <c r="N46" s="8">
        <f t="shared" si="9"/>
        <v>79.978405864139006</v>
      </c>
      <c r="O46" s="8">
        <f t="shared" si="10"/>
        <v>79.851115929478581</v>
      </c>
    </row>
    <row r="47" spans="1:15" x14ac:dyDescent="0.25">
      <c r="A47">
        <v>1991</v>
      </c>
      <c r="B47" s="2">
        <v>95.902000000000001</v>
      </c>
      <c r="C47" s="2">
        <v>97.463999999999999</v>
      </c>
      <c r="D47" s="2">
        <v>95.902000000000001</v>
      </c>
      <c r="E47" s="2">
        <v>97.463999999999999</v>
      </c>
      <c r="F47" s="5">
        <f t="shared" si="2"/>
        <v>119.65464322698973</v>
      </c>
      <c r="G47" s="5">
        <f t="shared" si="3"/>
        <v>107.53105761380435</v>
      </c>
      <c r="H47" s="5">
        <f t="shared" si="4"/>
        <v>98.397356972830991</v>
      </c>
      <c r="I47" s="6">
        <f>EXP(Regressions!$B$8+Regressions!$B$9*LN(F47))</f>
        <v>115.02190772384793</v>
      </c>
      <c r="J47" s="7">
        <f t="shared" si="5"/>
        <v>1.0696622006355301</v>
      </c>
      <c r="K47" s="6">
        <f t="shared" si="6"/>
        <v>207.27500648396301</v>
      </c>
      <c r="L47" s="6">
        <f t="shared" si="7"/>
        <v>168.29672606713632</v>
      </c>
      <c r="M47" s="6">
        <f t="shared" si="8"/>
        <v>180.02064636472801</v>
      </c>
      <c r="N47" s="8">
        <f t="shared" si="9"/>
        <v>79.73171408442191</v>
      </c>
      <c r="O47" s="8">
        <f t="shared" si="10"/>
        <v>79.584209251948693</v>
      </c>
    </row>
    <row r="48" spans="1:15" x14ac:dyDescent="0.25">
      <c r="A48">
        <v>1992</v>
      </c>
      <c r="B48" s="2">
        <v>100</v>
      </c>
      <c r="C48" s="2">
        <v>100</v>
      </c>
      <c r="D48" s="2">
        <v>100</v>
      </c>
      <c r="E48" s="2">
        <v>100</v>
      </c>
      <c r="F48" s="5">
        <f t="shared" si="2"/>
        <v>124.76762030717788</v>
      </c>
      <c r="G48" s="5">
        <f t="shared" si="3"/>
        <v>110.32900108122421</v>
      </c>
      <c r="H48" s="5">
        <f t="shared" si="4"/>
        <v>100</v>
      </c>
      <c r="I48" s="6">
        <f>EXP(Regressions!$B$8+Regressions!$B$9*LN(F48))</f>
        <v>118.89048207175</v>
      </c>
      <c r="J48" s="7">
        <f t="shared" si="5"/>
        <v>1.0775995514019276</v>
      </c>
      <c r="K48" s="6">
        <f t="shared" si="6"/>
        <v>216.132099939483</v>
      </c>
      <c r="L48" s="6">
        <f t="shared" si="7"/>
        <v>172.67578394805915</v>
      </c>
      <c r="M48" s="6">
        <f t="shared" si="8"/>
        <v>186.07534732040472</v>
      </c>
      <c r="N48" s="8">
        <f t="shared" si="9"/>
        <v>78.453899328205608</v>
      </c>
      <c r="O48" s="8">
        <f t="shared" si="10"/>
        <v>78.889842933357301</v>
      </c>
    </row>
    <row r="49" spans="1:15" x14ac:dyDescent="0.25">
      <c r="A49">
        <v>1993</v>
      </c>
      <c r="B49" s="2">
        <v>100.39</v>
      </c>
      <c r="C49" s="2">
        <v>99.763000000000005</v>
      </c>
      <c r="D49" s="2">
        <v>100.39</v>
      </c>
      <c r="E49" s="2">
        <v>99.763000000000005</v>
      </c>
      <c r="F49" s="5">
        <f t="shared" si="2"/>
        <v>125.25421402637588</v>
      </c>
      <c r="G49" s="5">
        <f t="shared" si="3"/>
        <v>110.06752134866171</v>
      </c>
      <c r="H49" s="5">
        <f t="shared" si="4"/>
        <v>100.62848952016279</v>
      </c>
      <c r="I49" s="6">
        <f>EXP(Regressions!$B$8+Regressions!$B$9*LN(F49))</f>
        <v>119.25689893833008</v>
      </c>
      <c r="J49" s="7">
        <f t="shared" si="5"/>
        <v>1.0834885484570795</v>
      </c>
      <c r="K49" s="6">
        <f t="shared" si="6"/>
        <v>216.97501512924703</v>
      </c>
      <c r="L49" s="6">
        <f t="shared" si="7"/>
        <v>172.26654234010226</v>
      </c>
      <c r="M49" s="6">
        <f t="shared" si="8"/>
        <v>186.64882590779743</v>
      </c>
      <c r="N49" s="8">
        <f t="shared" si="9"/>
        <v>77.963904359794554</v>
      </c>
      <c r="O49" s="8">
        <f t="shared" si="10"/>
        <v>78.825559359547782</v>
      </c>
    </row>
    <row r="50" spans="1:15" x14ac:dyDescent="0.25">
      <c r="A50">
        <v>1994</v>
      </c>
      <c r="B50" s="2">
        <v>101.36</v>
      </c>
      <c r="C50" s="2">
        <v>99.036000000000001</v>
      </c>
      <c r="D50" s="2">
        <v>101.36</v>
      </c>
      <c r="E50" s="2">
        <v>99.036000000000001</v>
      </c>
      <c r="F50" s="5">
        <f t="shared" si="2"/>
        <v>126.46445994335549</v>
      </c>
      <c r="G50" s="5">
        <f t="shared" si="3"/>
        <v>109.26542951080121</v>
      </c>
      <c r="H50" s="5">
        <f t="shared" si="4"/>
        <v>102.3466214305909</v>
      </c>
      <c r="I50" s="6">
        <f>EXP(Regressions!$B$8+Regressions!$B$9*LN(F50))</f>
        <v>120.16695414941864</v>
      </c>
      <c r="J50" s="7">
        <f t="shared" si="5"/>
        <v>1.0997710317657223</v>
      </c>
      <c r="K50" s="6">
        <f t="shared" si="6"/>
        <v>219.07149649865997</v>
      </c>
      <c r="L50" s="6">
        <f t="shared" si="7"/>
        <v>171.01118939079984</v>
      </c>
      <c r="M50" s="6">
        <f t="shared" si="8"/>
        <v>188.0731521998033</v>
      </c>
      <c r="N50" s="8">
        <f t="shared" si="9"/>
        <v>76.655094454105878</v>
      </c>
      <c r="O50" s="8">
        <f t="shared" si="10"/>
        <v>78.666975792078901</v>
      </c>
    </row>
    <row r="51" spans="1:15" x14ac:dyDescent="0.25">
      <c r="A51">
        <v>1995</v>
      </c>
      <c r="B51" s="2">
        <v>101.495</v>
      </c>
      <c r="C51" s="2">
        <v>98.69</v>
      </c>
      <c r="D51" s="2">
        <v>101.495</v>
      </c>
      <c r="E51" s="2">
        <v>98.69</v>
      </c>
      <c r="F51" s="5">
        <f t="shared" si="2"/>
        <v>126.63289623077019</v>
      </c>
      <c r="G51" s="5">
        <f t="shared" si="3"/>
        <v>108.88369116706016</v>
      </c>
      <c r="H51" s="5">
        <f t="shared" si="4"/>
        <v>102.84223325564901</v>
      </c>
      <c r="I51" s="6">
        <f>EXP(Regressions!$B$8+Regressions!$B$9*LN(F51))</f>
        <v>120.29346639295773</v>
      </c>
      <c r="J51" s="7">
        <f t="shared" si="5"/>
        <v>1.1047886520341375</v>
      </c>
      <c r="K51" s="6">
        <f t="shared" si="6"/>
        <v>219.36327483357829</v>
      </c>
      <c r="L51" s="6">
        <f t="shared" si="7"/>
        <v>170.41373117833956</v>
      </c>
      <c r="M51" s="6">
        <f t="shared" si="8"/>
        <v>188.27115635662562</v>
      </c>
      <c r="N51" s="8">
        <f t="shared" si="9"/>
        <v>76.285682296670885</v>
      </c>
      <c r="O51" s="8">
        <f t="shared" si="10"/>
        <v>78.645050425814574</v>
      </c>
    </row>
    <row r="52" spans="1:15" x14ac:dyDescent="0.25">
      <c r="A52">
        <v>1996</v>
      </c>
      <c r="B52" s="2">
        <v>104.494</v>
      </c>
      <c r="C52" s="2">
        <v>99.48</v>
      </c>
      <c r="D52" s="2">
        <v>104.494</v>
      </c>
      <c r="E52" s="2">
        <v>99.48</v>
      </c>
      <c r="F52" s="5">
        <f t="shared" si="2"/>
        <v>130.37467716378245</v>
      </c>
      <c r="G52" s="5">
        <f t="shared" si="3"/>
        <v>109.75529027560184</v>
      </c>
      <c r="H52" s="5">
        <f t="shared" si="4"/>
        <v>105.04020908725371</v>
      </c>
      <c r="I52" s="6">
        <f>EXP(Regressions!$B$8+Regressions!$B$9*LN(F52))</f>
        <v>123.09492809204478</v>
      </c>
      <c r="J52" s="7">
        <f t="shared" si="5"/>
        <v>1.1215398162853594</v>
      </c>
      <c r="K52" s="6">
        <f t="shared" si="6"/>
        <v>225.84507651076339</v>
      </c>
      <c r="L52" s="6">
        <f t="shared" si="7"/>
        <v>171.77786987152922</v>
      </c>
      <c r="M52" s="6">
        <f t="shared" si="8"/>
        <v>192.65572061760525</v>
      </c>
      <c r="N52" s="8">
        <f t="shared" si="9"/>
        <v>74.689397526842626</v>
      </c>
      <c r="O52" s="8">
        <f t="shared" si="10"/>
        <v>78.16688550316006</v>
      </c>
    </row>
    <row r="53" spans="1:15" x14ac:dyDescent="0.25">
      <c r="A53">
        <v>1997</v>
      </c>
      <c r="B53" s="2">
        <v>106.47799999999999</v>
      </c>
      <c r="C53" s="2">
        <v>100.512</v>
      </c>
      <c r="D53" s="2">
        <v>106.47799999999999</v>
      </c>
      <c r="E53" s="2">
        <v>100.512</v>
      </c>
      <c r="F53" s="5">
        <f t="shared" si="2"/>
        <v>132.85006675067686</v>
      </c>
      <c r="G53" s="5">
        <f t="shared" si="3"/>
        <v>110.89388556676008</v>
      </c>
      <c r="H53" s="5">
        <f t="shared" si="4"/>
        <v>105.93560967844635</v>
      </c>
      <c r="I53" s="6">
        <f>EXP(Regressions!$B$8+Regressions!$B$9*LN(F53))</f>
        <v>124.93898189363348</v>
      </c>
      <c r="J53" s="7">
        <f t="shared" si="5"/>
        <v>1.1266534782787281</v>
      </c>
      <c r="K53" s="6">
        <f t="shared" si="6"/>
        <v>230.1331373735627</v>
      </c>
      <c r="L53" s="6">
        <f t="shared" si="7"/>
        <v>173.5598839618732</v>
      </c>
      <c r="M53" s="6">
        <f t="shared" si="8"/>
        <v>195.54184695529688</v>
      </c>
      <c r="N53" s="8">
        <f t="shared" si="9"/>
        <v>74.05809960063678</v>
      </c>
      <c r="O53" s="8">
        <f t="shared" si="10"/>
        <v>77.859584349332451</v>
      </c>
    </row>
    <row r="54" spans="1:15" x14ac:dyDescent="0.25">
      <c r="A54">
        <v>1998</v>
      </c>
      <c r="B54" s="2">
        <v>109.477</v>
      </c>
      <c r="C54" s="2">
        <v>105.17700000000001</v>
      </c>
      <c r="D54" s="2">
        <v>109.477</v>
      </c>
      <c r="E54" s="2">
        <v>105.17700000000001</v>
      </c>
      <c r="F54" s="5">
        <f t="shared" si="2"/>
        <v>136.59184768368914</v>
      </c>
      <c r="G54" s="5">
        <f t="shared" si="3"/>
        <v>116.04073346719919</v>
      </c>
      <c r="H54" s="5">
        <f t="shared" si="4"/>
        <v>104.08834631145592</v>
      </c>
      <c r="I54" s="6">
        <f>EXP(Regressions!$B$8+Regressions!$B$9*LN(F54))</f>
        <v>127.7128577217032</v>
      </c>
      <c r="J54" s="7">
        <f t="shared" si="5"/>
        <v>1.100586439828074</v>
      </c>
      <c r="K54" s="6">
        <f t="shared" si="6"/>
        <v>236.61493905074784</v>
      </c>
      <c r="L54" s="6">
        <f t="shared" si="7"/>
        <v>181.61520928305015</v>
      </c>
      <c r="M54" s="6">
        <f t="shared" si="8"/>
        <v>199.88323660346273</v>
      </c>
      <c r="N54" s="8">
        <f t="shared" si="9"/>
        <v>75.372414019772933</v>
      </c>
      <c r="O54" s="8">
        <f t="shared" si="10"/>
        <v>77.407980682713074</v>
      </c>
    </row>
    <row r="55" spans="1:15" x14ac:dyDescent="0.25">
      <c r="A55">
        <v>1999</v>
      </c>
      <c r="B55" s="2">
        <v>112.84099999999999</v>
      </c>
      <c r="C55" s="2">
        <v>108.102</v>
      </c>
      <c r="D55" s="2">
        <v>112.84099999999999</v>
      </c>
      <c r="E55" s="2">
        <v>108.102</v>
      </c>
      <c r="F55" s="5">
        <f t="shared" si="2"/>
        <v>140.78903043082258</v>
      </c>
      <c r="G55" s="5">
        <f t="shared" si="3"/>
        <v>119.267856748825</v>
      </c>
      <c r="H55" s="5">
        <f t="shared" si="4"/>
        <v>104.38382268598174</v>
      </c>
      <c r="I55" s="6">
        <f>EXP(Regressions!$B$8+Regressions!$B$9*LN(F55))</f>
        <v>130.80547383527659</v>
      </c>
      <c r="J55" s="7">
        <f t="shared" si="5"/>
        <v>1.0967370203587168</v>
      </c>
      <c r="K55" s="6">
        <f t="shared" si="6"/>
        <v>243.88562289271201</v>
      </c>
      <c r="L55" s="6">
        <f t="shared" si="7"/>
        <v>186.66597596353088</v>
      </c>
      <c r="M55" s="6">
        <f t="shared" si="8"/>
        <v>204.7234862805947</v>
      </c>
      <c r="N55" s="8">
        <f t="shared" si="9"/>
        <v>75.159059430328369</v>
      </c>
      <c r="O55" s="8">
        <f t="shared" si="10"/>
        <v>76.918887715793588</v>
      </c>
    </row>
    <row r="56" spans="1:15" x14ac:dyDescent="0.25">
      <c r="A56">
        <v>2000</v>
      </c>
      <c r="B56" s="2">
        <v>117.24</v>
      </c>
      <c r="C56" s="2">
        <v>111.928</v>
      </c>
      <c r="D56" s="2">
        <v>117.24</v>
      </c>
      <c r="E56" s="2">
        <v>111.928</v>
      </c>
      <c r="F56" s="5">
        <f t="shared" si="2"/>
        <v>146.27755804813535</v>
      </c>
      <c r="G56" s="5">
        <f t="shared" si="3"/>
        <v>123.48904433019261</v>
      </c>
      <c r="H56" s="5">
        <f t="shared" si="4"/>
        <v>104.74590808376814</v>
      </c>
      <c r="I56" s="6">
        <f>EXP(Regressions!$B$8+Regressions!$B$9*LN(F56))</f>
        <v>134.82065104954123</v>
      </c>
      <c r="J56" s="7">
        <f t="shared" si="5"/>
        <v>1.0917620407608748</v>
      </c>
      <c r="K56" s="6">
        <f t="shared" si="6"/>
        <v>253.39327396904989</v>
      </c>
      <c r="L56" s="6">
        <f t="shared" si="7"/>
        <v>193.2725514573836</v>
      </c>
      <c r="M56" s="6">
        <f t="shared" si="8"/>
        <v>211.0076352021743</v>
      </c>
      <c r="N56" s="8">
        <f t="shared" si="9"/>
        <v>74.899249778295768</v>
      </c>
      <c r="O56" s="8">
        <f t="shared" si="10"/>
        <v>76.30528409610686</v>
      </c>
    </row>
    <row r="57" spans="1:15" x14ac:dyDescent="0.25">
      <c r="A57">
        <v>2001</v>
      </c>
      <c r="B57" s="2">
        <v>120.739</v>
      </c>
      <c r="C57" s="2">
        <v>113.976</v>
      </c>
      <c r="D57" s="2">
        <v>120.739</v>
      </c>
      <c r="E57" s="2">
        <v>113.976</v>
      </c>
      <c r="F57" s="5">
        <f t="shared" si="2"/>
        <v>150.64317708268351</v>
      </c>
      <c r="G57" s="5">
        <f t="shared" si="3"/>
        <v>125.74858227233611</v>
      </c>
      <c r="H57" s="5">
        <f t="shared" si="4"/>
        <v>105.93370534147539</v>
      </c>
      <c r="I57" s="6">
        <f>EXP(Regressions!$B$8+Regressions!$B$9*LN(F57))</f>
        <v>137.99184040176786</v>
      </c>
      <c r="J57" s="7">
        <f t="shared" si="5"/>
        <v>1.0973629913609386</v>
      </c>
      <c r="K57" s="6">
        <f t="shared" si="6"/>
        <v>260.95573614593241</v>
      </c>
      <c r="L57" s="6">
        <f t="shared" si="7"/>
        <v>196.80895151263988</v>
      </c>
      <c r="M57" s="6">
        <f t="shared" si="8"/>
        <v>215.97085975852042</v>
      </c>
      <c r="N57" s="8">
        <f t="shared" si="9"/>
        <v>74.059430919848296</v>
      </c>
      <c r="O57" s="8">
        <f t="shared" si="10"/>
        <v>75.836771436032564</v>
      </c>
    </row>
    <row r="58" spans="1:15" x14ac:dyDescent="0.25">
      <c r="A58">
        <v>2002</v>
      </c>
      <c r="B58" s="2">
        <v>126.172</v>
      </c>
      <c r="C58" s="2">
        <v>115.63200000000001</v>
      </c>
      <c r="D58" s="2">
        <v>126.172</v>
      </c>
      <c r="E58" s="2">
        <v>115.63200000000001</v>
      </c>
      <c r="F58" s="5">
        <f t="shared" si="2"/>
        <v>157.42180189397246</v>
      </c>
      <c r="G58" s="5">
        <f t="shared" si="3"/>
        <v>127.57563053024118</v>
      </c>
      <c r="H58" s="5">
        <f t="shared" si="4"/>
        <v>109.11512384115123</v>
      </c>
      <c r="I58" s="6">
        <f>EXP(Regressions!$B$8+Regressions!$B$9*LN(F58))</f>
        <v>142.87804457140524</v>
      </c>
      <c r="J58" s="7">
        <f t="shared" si="5"/>
        <v>1.1199477829548072</v>
      </c>
      <c r="K58" s="6">
        <f t="shared" si="6"/>
        <v>272.69819313564449</v>
      </c>
      <c r="L58" s="6">
        <f t="shared" si="7"/>
        <v>199.66846249481972</v>
      </c>
      <c r="M58" s="6">
        <f t="shared" si="8"/>
        <v>223.61825189706843</v>
      </c>
      <c r="N58" s="8">
        <f t="shared" si="9"/>
        <v>71.900114820396539</v>
      </c>
      <c r="O58" s="8">
        <f t="shared" si="10"/>
        <v>75.140921006963694</v>
      </c>
    </row>
    <row r="59" spans="1:15" x14ac:dyDescent="0.25">
      <c r="A59">
        <v>2003</v>
      </c>
      <c r="B59" s="2">
        <v>131.01599999999999</v>
      </c>
      <c r="C59" s="2">
        <v>118.55</v>
      </c>
      <c r="D59" s="2">
        <v>131.01599999999999</v>
      </c>
      <c r="E59" s="2">
        <v>118.55</v>
      </c>
      <c r="F59" s="5">
        <f t="shared" si="2"/>
        <v>163.46554542165217</v>
      </c>
      <c r="G59" s="5">
        <f t="shared" si="3"/>
        <v>130.7950307817913</v>
      </c>
      <c r="H59" s="5">
        <f t="shared" si="4"/>
        <v>110.5153943483762</v>
      </c>
      <c r="I59" s="6">
        <f>EXP(Regressions!$B$8+Regressions!$B$9*LN(F59))</f>
        <v>147.19745649815295</v>
      </c>
      <c r="J59" s="7">
        <f t="shared" si="5"/>
        <v>1.1254055725077678</v>
      </c>
      <c r="K59" s="6">
        <f t="shared" si="6"/>
        <v>283.16763205671305</v>
      </c>
      <c r="L59" s="6">
        <f t="shared" si="7"/>
        <v>204.7071418704241</v>
      </c>
      <c r="M59" s="6">
        <f t="shared" si="8"/>
        <v>230.37855819311349</v>
      </c>
      <c r="N59" s="8">
        <f t="shared" si="9"/>
        <v>70.989114042245035</v>
      </c>
      <c r="O59" s="8">
        <f t="shared" si="10"/>
        <v>74.550399146596234</v>
      </c>
    </row>
    <row r="60" spans="1:15" x14ac:dyDescent="0.25">
      <c r="A60">
        <v>2004</v>
      </c>
      <c r="B60" s="2">
        <v>134.86500000000001</v>
      </c>
      <c r="C60" s="2">
        <v>119.477</v>
      </c>
      <c r="D60" s="2">
        <v>134.86500000000001</v>
      </c>
      <c r="E60" s="2">
        <v>119.477</v>
      </c>
      <c r="F60" s="5">
        <f t="shared" si="2"/>
        <v>168.26785112727543</v>
      </c>
      <c r="G60" s="5">
        <f t="shared" si="3"/>
        <v>131.81778062181425</v>
      </c>
      <c r="H60" s="5">
        <f t="shared" si="4"/>
        <v>112.879466340802</v>
      </c>
      <c r="I60" s="6">
        <f>EXP(Regressions!$B$8+Regressions!$B$9*LN(F60))</f>
        <v>150.60579165672232</v>
      </c>
      <c r="J60" s="7">
        <f t="shared" si="5"/>
        <v>1.1425301726844495</v>
      </c>
      <c r="K60" s="6">
        <f t="shared" si="6"/>
        <v>291.48655658338373</v>
      </c>
      <c r="L60" s="6">
        <f t="shared" si="7"/>
        <v>206.30784638762262</v>
      </c>
      <c r="M60" s="6">
        <f t="shared" si="8"/>
        <v>235.71293935940733</v>
      </c>
      <c r="N60" s="8">
        <f t="shared" si="9"/>
        <v>69.502365551003024</v>
      </c>
      <c r="O60" s="8">
        <f t="shared" si="10"/>
        <v>74.099694926295697</v>
      </c>
    </row>
    <row r="61" spans="1:15" x14ac:dyDescent="0.25">
      <c r="A61">
        <v>2005</v>
      </c>
      <c r="B61" s="2">
        <v>137.154</v>
      </c>
      <c r="C61" s="2">
        <v>120.182</v>
      </c>
      <c r="D61" s="2">
        <v>137.154</v>
      </c>
      <c r="E61" s="2">
        <v>120.182</v>
      </c>
      <c r="F61" s="5">
        <f t="shared" si="2"/>
        <v>171.12378195610674</v>
      </c>
      <c r="G61" s="5">
        <f t="shared" si="3"/>
        <v>132.59560007943688</v>
      </c>
      <c r="H61" s="5">
        <f t="shared" si="4"/>
        <v>114.12191509543858</v>
      </c>
      <c r="I61" s="6">
        <f>EXP(Regressions!$B$8+Regressions!$B$9*LN(F61))</f>
        <v>152.62305122954371</v>
      </c>
      <c r="J61" s="7">
        <f t="shared" si="5"/>
        <v>1.1510415966903016</v>
      </c>
      <c r="K61" s="6">
        <f t="shared" si="6"/>
        <v>296.43382035099847</v>
      </c>
      <c r="L61" s="6">
        <f t="shared" si="7"/>
        <v>207.52521066445644</v>
      </c>
      <c r="M61" s="6">
        <f t="shared" si="8"/>
        <v>238.87014983670716</v>
      </c>
      <c r="N61" s="8">
        <f t="shared" si="9"/>
        <v>68.745691187004439</v>
      </c>
      <c r="O61" s="8">
        <f t="shared" si="10"/>
        <v>73.838974605370581</v>
      </c>
    </row>
    <row r="62" spans="1:15" x14ac:dyDescent="0.25">
      <c r="A62">
        <v>2006</v>
      </c>
      <c r="B62" s="2">
        <v>138.50399999999999</v>
      </c>
      <c r="C62" s="2">
        <v>120.84</v>
      </c>
      <c r="D62" s="2">
        <v>138.50399999999999</v>
      </c>
      <c r="E62" s="2">
        <v>120.84</v>
      </c>
      <c r="F62" s="5">
        <f t="shared" si="2"/>
        <v>172.80814483025364</v>
      </c>
      <c r="G62" s="5">
        <f t="shared" si="3"/>
        <v>133.32156490655132</v>
      </c>
      <c r="H62" s="5">
        <f t="shared" si="4"/>
        <v>114.61767626613704</v>
      </c>
      <c r="I62" s="6">
        <f>EXP(Regressions!$B$8+Regressions!$B$9*LN(F62))</f>
        <v>153.80947601794401</v>
      </c>
      <c r="J62" s="7">
        <f t="shared" si="5"/>
        <v>1.1536728969972203</v>
      </c>
      <c r="K62" s="6">
        <f t="shared" si="6"/>
        <v>299.3516037001815</v>
      </c>
      <c r="L62" s="6">
        <f t="shared" si="7"/>
        <v>208.66141732283464</v>
      </c>
      <c r="M62" s="6">
        <f t="shared" si="8"/>
        <v>240.72702181438061</v>
      </c>
      <c r="N62" s="8">
        <f t="shared" si="9"/>
        <v>68.448342248746371</v>
      </c>
      <c r="O62" s="8">
        <f t="shared" si="10"/>
        <v>73.687662473873488</v>
      </c>
    </row>
    <row r="63" spans="1:15" x14ac:dyDescent="0.25">
      <c r="A63">
        <v>2007</v>
      </c>
      <c r="B63" s="2">
        <v>140.97800000000001</v>
      </c>
      <c r="C63" s="2">
        <v>122.43300000000001</v>
      </c>
      <c r="D63" s="2">
        <v>140.97800000000001</v>
      </c>
      <c r="E63" s="2">
        <v>122.43300000000001</v>
      </c>
      <c r="F63" s="5">
        <f t="shared" si="2"/>
        <v>175.89489575665326</v>
      </c>
      <c r="G63" s="5">
        <f t="shared" si="3"/>
        <v>135.07910589377525</v>
      </c>
      <c r="H63" s="5">
        <f t="shared" si="4"/>
        <v>115.14706002466654</v>
      </c>
      <c r="I63" s="6">
        <f>EXP(Regressions!$B$8+Regressions!$B$9*LN(F63))</f>
        <v>155.97745002747715</v>
      </c>
      <c r="J63" s="7">
        <f t="shared" si="5"/>
        <v>1.154711892675216</v>
      </c>
      <c r="K63" s="6">
        <f t="shared" si="6"/>
        <v>304.69871185268437</v>
      </c>
      <c r="L63" s="6">
        <f t="shared" si="7"/>
        <v>211.41214256112727</v>
      </c>
      <c r="M63" s="6">
        <f t="shared" si="8"/>
        <v>244.12011527128186</v>
      </c>
      <c r="N63" s="8">
        <f t="shared" si="9"/>
        <v>68.133653878266088</v>
      </c>
      <c r="O63" s="8">
        <f t="shared" si="10"/>
        <v>73.414944420946284</v>
      </c>
    </row>
    <row r="64" spans="1:15" x14ac:dyDescent="0.25">
      <c r="A64">
        <v>2008</v>
      </c>
      <c r="B64" s="2">
        <v>143.952</v>
      </c>
      <c r="C64" s="2">
        <v>121.402</v>
      </c>
      <c r="D64" s="2">
        <v>143.952</v>
      </c>
      <c r="E64" s="2">
        <v>121.402</v>
      </c>
      <c r="F64" s="5">
        <f t="shared" si="2"/>
        <v>179.6054847845887</v>
      </c>
      <c r="G64" s="5">
        <f t="shared" si="3"/>
        <v>133.94161389262783</v>
      </c>
      <c r="H64" s="5">
        <f t="shared" si="4"/>
        <v>118.57465280637879</v>
      </c>
      <c r="I64" s="6">
        <f>EXP(Regressions!$B$8+Regressions!$B$9*LN(F64))</f>
        <v>158.57306325111023</v>
      </c>
      <c r="J64" s="7">
        <f t="shared" si="5"/>
        <v>1.1838969133090169</v>
      </c>
      <c r="K64" s="6">
        <f t="shared" si="6"/>
        <v>311.12648050488457</v>
      </c>
      <c r="L64" s="6">
        <f t="shared" si="7"/>
        <v>209.63185522862275</v>
      </c>
      <c r="M64" s="6">
        <f t="shared" si="8"/>
        <v>248.18250633640918</v>
      </c>
      <c r="N64" s="8">
        <f t="shared" si="9"/>
        <v>66.164140034475508</v>
      </c>
      <c r="O64" s="8">
        <f t="shared" si="10"/>
        <v>73.094671062455859</v>
      </c>
    </row>
    <row r="65" spans="1:15" x14ac:dyDescent="0.25">
      <c r="A65">
        <v>2009</v>
      </c>
      <c r="B65" s="2">
        <v>149.375</v>
      </c>
      <c r="C65" s="2">
        <v>124.00700000000001</v>
      </c>
      <c r="D65" s="2">
        <v>149.375</v>
      </c>
      <c r="E65" s="2">
        <v>124.00700000000001</v>
      </c>
      <c r="F65" s="5">
        <f t="shared" si="2"/>
        <v>186.37163283384695</v>
      </c>
      <c r="G65" s="5">
        <f t="shared" si="3"/>
        <v>136.81568437079372</v>
      </c>
      <c r="H65" s="5">
        <f t="shared" si="4"/>
        <v>120.45690969058198</v>
      </c>
      <c r="I65" s="6">
        <f>EXP(Regressions!$B$8+Regressions!$B$9*LN(F65))</f>
        <v>163.27743008489986</v>
      </c>
      <c r="J65" s="7">
        <f t="shared" si="5"/>
        <v>1.1934116387006501</v>
      </c>
      <c r="K65" s="6">
        <f t="shared" si="6"/>
        <v>322.84732428460273</v>
      </c>
      <c r="L65" s="6">
        <f t="shared" si="7"/>
        <v>214.13005940046969</v>
      </c>
      <c r="M65" s="6">
        <f t="shared" si="8"/>
        <v>255.54530508418208</v>
      </c>
      <c r="N65" s="8">
        <f t="shared" si="9"/>
        <v>65.130260712922464</v>
      </c>
      <c r="O65" s="8">
        <f t="shared" si="10"/>
        <v>72.530762185891703</v>
      </c>
    </row>
    <row r="66" spans="1:15" x14ac:dyDescent="0.25">
      <c r="A66">
        <v>2010</v>
      </c>
      <c r="B66" s="1"/>
      <c r="C66" s="1"/>
      <c r="D66" s="2">
        <f>109.484*100/73.056</f>
        <v>149.86311870346037</v>
      </c>
      <c r="E66" s="2">
        <f>103.298*100/83.348</f>
        <v>123.93578730143494</v>
      </c>
      <c r="F66" s="5">
        <f t="shared" si="2"/>
        <v>186.9806469244287</v>
      </c>
      <c r="G66" s="5">
        <f t="shared" si="3"/>
        <v>136.73711611182389</v>
      </c>
      <c r="H66" s="5">
        <f t="shared" si="4"/>
        <v>120.9199715163509</v>
      </c>
      <c r="I66" s="6">
        <f>EXP(Regressions!$B$8+Regressions!$B$9*LN(F66))</f>
        <v>163.69909370163433</v>
      </c>
      <c r="J66" s="7">
        <f t="shared" si="5"/>
        <v>1.1971811191904973</v>
      </c>
      <c r="K66" s="6">
        <f t="shared" si="6"/>
        <v>323.90230548858898</v>
      </c>
      <c r="L66" s="6">
        <f t="shared" si="7"/>
        <v>214.0070923149519</v>
      </c>
      <c r="M66" s="6">
        <f t="shared" si="8"/>
        <v>256.20525029231817</v>
      </c>
      <c r="N66" s="8">
        <f t="shared" si="9"/>
        <v>64.880845028645254</v>
      </c>
      <c r="O66" s="8">
        <f t="shared" si="10"/>
        <v>72.481222914092612</v>
      </c>
    </row>
    <row r="67" spans="1:15" x14ac:dyDescent="0.25">
      <c r="A67">
        <v>2011</v>
      </c>
      <c r="B67" s="1"/>
      <c r="C67" s="1"/>
      <c r="D67" s="2">
        <f>110.554*100/73.056</f>
        <v>151.32774857643452</v>
      </c>
      <c r="E67" s="2">
        <f>102.668*100/83.348</f>
        <v>123.17992033402123</v>
      </c>
      <c r="F67" s="5">
        <f t="shared" si="2"/>
        <v>188.80803076324659</v>
      </c>
      <c r="G67" s="5">
        <f t="shared" si="3"/>
        <v>135.9031756371734</v>
      </c>
      <c r="H67" s="5">
        <f t="shared" si="4"/>
        <v>122.85098753602546</v>
      </c>
      <c r="I67" s="6">
        <f>EXP(Regressions!$B$8+Regressions!$B$9*LN(F67))</f>
        <v>164.96259979480652</v>
      </c>
      <c r="J67" s="7">
        <f t="shared" si="5"/>
        <v>1.213824467466561</v>
      </c>
      <c r="K67" s="6">
        <f t="shared" si="6"/>
        <v>327.06784078938904</v>
      </c>
      <c r="L67" s="6">
        <f t="shared" si="7"/>
        <v>212.70189310336588</v>
      </c>
      <c r="M67" s="6">
        <f t="shared" si="8"/>
        <v>258.18276212532248</v>
      </c>
      <c r="N67" s="8">
        <f t="shared" si="9"/>
        <v>63.861024564576162</v>
      </c>
      <c r="O67" s="8">
        <f t="shared" si="10"/>
        <v>72.333740709641546</v>
      </c>
    </row>
    <row r="68" spans="1:15" x14ac:dyDescent="0.25">
      <c r="A68">
        <v>2012</v>
      </c>
      <c r="B68" s="1"/>
      <c r="C68" s="1"/>
      <c r="D68" s="2">
        <f>109.852*100/73.056</f>
        <v>150.36684187472625</v>
      </c>
      <c r="E68" s="2">
        <f>102.457*100/83.348</f>
        <v>122.92676488937946</v>
      </c>
      <c r="F68" s="5">
        <f t="shared" ref="F68" si="11">D68*100/$D$38</f>
        <v>187.60913033815299</v>
      </c>
      <c r="G68" s="5">
        <f t="shared" ref="G68" si="12">E68*100/$E$38</f>
        <v>135.62387176391738</v>
      </c>
      <c r="H68" s="5">
        <f t="shared" ref="H68" si="13">(D68/E68)*100</f>
        <v>122.32229653976484</v>
      </c>
      <c r="I68" s="6">
        <f>EXP(Regressions!$B$8+Regressions!$B$9*LN(F68))</f>
        <v>164.13393585619221</v>
      </c>
      <c r="J68" s="7">
        <f t="shared" ref="J68" si="14">I68/G68</f>
        <v>1.2102142028646901</v>
      </c>
      <c r="K68" s="6">
        <f t="shared" ref="K68" si="15">F68*100/$F$14</f>
        <v>324.99101295652775</v>
      </c>
      <c r="L68" s="6">
        <f t="shared" ref="L68" si="16">G68*100/$G$14</f>
        <v>212.26475495472343</v>
      </c>
      <c r="M68" s="6">
        <f t="shared" ref="M68" si="17">L68*J68</f>
        <v>256.88582121379937</v>
      </c>
      <c r="N68" s="8">
        <f t="shared" ref="N68" si="18">(G68/F68)*100/($G$3/$F$3)</f>
        <v>64.137039237733418</v>
      </c>
      <c r="O68" s="8">
        <f t="shared" ref="O68" si="19">(I68/F68)*100/($I$3/$F$3)</f>
        <v>72.430304128027515</v>
      </c>
    </row>
    <row r="138" spans="4:15" x14ac:dyDescent="0.25">
      <c r="D138" s="2"/>
      <c r="E138" s="2"/>
      <c r="F138" s="2"/>
      <c r="G138" s="2"/>
      <c r="H138" s="2"/>
      <c r="I138" s="2"/>
      <c r="J138" s="2"/>
      <c r="K138" s="2"/>
      <c r="L138" s="2"/>
      <c r="M138" s="2"/>
      <c r="N138" s="2"/>
      <c r="O138" s="2"/>
    </row>
    <row r="139" spans="4:15" x14ac:dyDescent="0.25">
      <c r="D139" s="2"/>
      <c r="E139" s="2"/>
      <c r="F139" s="2"/>
      <c r="G139" s="2"/>
      <c r="H139" s="2"/>
      <c r="I139" s="2"/>
      <c r="J139" s="2"/>
      <c r="K139" s="2"/>
      <c r="L139" s="2"/>
      <c r="M139" s="2"/>
      <c r="N139" s="2"/>
      <c r="O139" s="2"/>
    </row>
    <row r="140" spans="4:15" x14ac:dyDescent="0.25">
      <c r="D140" s="2"/>
      <c r="E140" s="2"/>
      <c r="F140" s="2"/>
      <c r="G140" s="2"/>
      <c r="H140" s="2"/>
      <c r="I140" s="2"/>
      <c r="J140" s="2"/>
      <c r="K140" s="2"/>
      <c r="L140" s="2"/>
      <c r="M140" s="2"/>
      <c r="N140" s="2"/>
      <c r="O140" s="2"/>
    </row>
    <row r="141" spans="4:15" x14ac:dyDescent="0.25">
      <c r="D141" s="2"/>
      <c r="E141" s="2"/>
      <c r="F141" s="2"/>
      <c r="G141" s="2"/>
      <c r="H141" s="2"/>
      <c r="I141" s="2"/>
      <c r="J141" s="2"/>
      <c r="K141" s="2"/>
      <c r="L141" s="2"/>
      <c r="M141" s="2"/>
      <c r="N141" s="2"/>
      <c r="O141" s="2"/>
    </row>
    <row r="142" spans="4:15" x14ac:dyDescent="0.25">
      <c r="D142" s="2"/>
      <c r="E142" s="2"/>
      <c r="F142" s="2"/>
      <c r="G142" s="2"/>
      <c r="H142" s="2"/>
      <c r="I142" s="2"/>
      <c r="J142" s="2"/>
      <c r="K142" s="2"/>
      <c r="L142" s="2"/>
      <c r="M142" s="2"/>
      <c r="N142" s="2"/>
      <c r="O142" s="2"/>
    </row>
    <row r="143" spans="4:15" x14ac:dyDescent="0.25">
      <c r="D143" s="2"/>
      <c r="E143" s="2"/>
      <c r="F143" s="2"/>
      <c r="G143" s="2"/>
      <c r="H143" s="2"/>
      <c r="I143" s="2"/>
      <c r="J143" s="2"/>
      <c r="K143" s="2"/>
      <c r="L143" s="2"/>
      <c r="M143" s="2"/>
      <c r="N143" s="2"/>
      <c r="O143" s="2"/>
    </row>
    <row r="144" spans="4:15" x14ac:dyDescent="0.25">
      <c r="D144" s="2"/>
      <c r="E144" s="2"/>
      <c r="F144" s="2"/>
      <c r="G144" s="2"/>
      <c r="H144" s="2"/>
      <c r="I144" s="2"/>
      <c r="J144" s="2"/>
      <c r="K144" s="2"/>
      <c r="L144" s="2"/>
      <c r="M144" s="2"/>
      <c r="N144" s="2"/>
      <c r="O144" s="2"/>
    </row>
    <row r="145" spans="4:15" x14ac:dyDescent="0.25">
      <c r="D145" s="2"/>
      <c r="E145" s="2"/>
      <c r="F145" s="2"/>
      <c r="G145" s="2"/>
      <c r="H145" s="2"/>
      <c r="I145" s="2"/>
      <c r="J145" s="2"/>
      <c r="K145" s="2"/>
      <c r="L145" s="2"/>
      <c r="M145" s="2"/>
      <c r="N145" s="2"/>
      <c r="O145" s="2"/>
    </row>
    <row r="146" spans="4:15" x14ac:dyDescent="0.25">
      <c r="D146" s="2"/>
      <c r="E146" s="2"/>
      <c r="F146" s="2"/>
      <c r="G146" s="2"/>
      <c r="H146" s="2"/>
      <c r="I146" s="2"/>
      <c r="J146" s="2"/>
      <c r="K146" s="2"/>
      <c r="L146" s="2"/>
      <c r="M146" s="2"/>
      <c r="N146" s="2"/>
      <c r="O146" s="2"/>
    </row>
    <row r="147" spans="4:15" x14ac:dyDescent="0.25">
      <c r="D147" s="2"/>
      <c r="E147" s="2"/>
      <c r="F147" s="2"/>
      <c r="G147" s="2"/>
      <c r="H147" s="2"/>
      <c r="I147" s="2"/>
      <c r="J147" s="2"/>
      <c r="K147" s="2"/>
      <c r="L147" s="2"/>
      <c r="M147" s="2"/>
      <c r="N147" s="2"/>
      <c r="O147" s="2"/>
    </row>
    <row r="148" spans="4:15" x14ac:dyDescent="0.25">
      <c r="D148" s="2"/>
      <c r="E148" s="2"/>
      <c r="F148" s="2"/>
      <c r="G148" s="2"/>
      <c r="H148" s="2"/>
      <c r="I148" s="2"/>
      <c r="J148" s="2"/>
      <c r="K148" s="2"/>
      <c r="L148" s="2"/>
      <c r="M148" s="2"/>
      <c r="N148" s="2"/>
      <c r="O148" s="2"/>
    </row>
    <row r="149" spans="4:15" x14ac:dyDescent="0.25">
      <c r="D149" s="2"/>
      <c r="E149" s="2"/>
      <c r="F149" s="2"/>
      <c r="G149" s="2"/>
      <c r="H149" s="2"/>
      <c r="I149" s="2"/>
      <c r="J149" s="2"/>
      <c r="K149" s="2"/>
      <c r="L149" s="2"/>
      <c r="M149" s="2"/>
      <c r="N149" s="2"/>
      <c r="O149" s="2"/>
    </row>
    <row r="150" spans="4:15" x14ac:dyDescent="0.25">
      <c r="D150" s="2"/>
      <c r="E150" s="2"/>
      <c r="F150" s="2"/>
      <c r="G150" s="2"/>
      <c r="H150" s="2"/>
      <c r="I150" s="2"/>
      <c r="J150" s="2"/>
      <c r="K150" s="2"/>
      <c r="L150" s="2"/>
      <c r="M150" s="2"/>
      <c r="N150" s="2"/>
      <c r="O150" s="2"/>
    </row>
    <row r="151" spans="4:15" x14ac:dyDescent="0.25">
      <c r="D151" s="2"/>
      <c r="E151" s="2"/>
      <c r="F151" s="2"/>
      <c r="G151" s="2"/>
      <c r="H151" s="2"/>
      <c r="I151" s="2"/>
      <c r="J151" s="2"/>
      <c r="K151" s="2"/>
      <c r="L151" s="2"/>
      <c r="M151" s="2"/>
      <c r="N151" s="2"/>
      <c r="O151" s="2"/>
    </row>
    <row r="152" spans="4:15" x14ac:dyDescent="0.25">
      <c r="D152" s="2"/>
      <c r="E152" s="2"/>
      <c r="F152" s="2"/>
      <c r="G152" s="2"/>
      <c r="H152" s="2"/>
      <c r="I152" s="2"/>
      <c r="J152" s="2"/>
      <c r="K152" s="2"/>
      <c r="L152" s="2"/>
      <c r="M152" s="2"/>
      <c r="N152" s="2"/>
      <c r="O152" s="2"/>
    </row>
    <row r="153" spans="4:15" x14ac:dyDescent="0.25">
      <c r="D153" s="2"/>
      <c r="E153" s="2"/>
      <c r="F153" s="2"/>
      <c r="G153" s="2"/>
      <c r="H153" s="2"/>
      <c r="I153" s="2"/>
      <c r="J153" s="2"/>
      <c r="K153" s="2"/>
      <c r="L153" s="2"/>
      <c r="M153" s="2"/>
      <c r="N153" s="2"/>
      <c r="O153" s="2"/>
    </row>
    <row r="154" spans="4:15" x14ac:dyDescent="0.25">
      <c r="D154" s="2"/>
      <c r="E154" s="2"/>
      <c r="F154" s="2"/>
      <c r="G154" s="2"/>
      <c r="H154" s="2"/>
      <c r="I154" s="2"/>
      <c r="J154" s="2"/>
      <c r="K154" s="2"/>
      <c r="L154" s="2"/>
      <c r="M154" s="2"/>
      <c r="N154" s="2"/>
      <c r="O154" s="2"/>
    </row>
    <row r="155" spans="4:15" x14ac:dyDescent="0.25">
      <c r="D155" s="2"/>
      <c r="E155" s="2"/>
      <c r="F155" s="2"/>
      <c r="G155" s="2"/>
      <c r="H155" s="2"/>
      <c r="I155" s="2"/>
      <c r="J155" s="2"/>
      <c r="K155" s="2"/>
      <c r="L155" s="2"/>
      <c r="M155" s="2"/>
      <c r="N155" s="2"/>
      <c r="O155" s="2"/>
    </row>
    <row r="156" spans="4:15" x14ac:dyDescent="0.25">
      <c r="D156" s="2"/>
      <c r="E156" s="2"/>
      <c r="F156" s="2"/>
      <c r="G156" s="2"/>
      <c r="H156" s="2"/>
      <c r="I156" s="2"/>
      <c r="J156" s="2"/>
      <c r="K156" s="2"/>
      <c r="L156" s="2"/>
      <c r="M156" s="2"/>
      <c r="N156" s="2"/>
      <c r="O156" s="2"/>
    </row>
    <row r="157" spans="4:15" x14ac:dyDescent="0.25">
      <c r="D157" s="2"/>
      <c r="E157" s="2"/>
      <c r="F157" s="2"/>
      <c r="G157" s="2"/>
      <c r="H157" s="2"/>
      <c r="I157" s="2"/>
      <c r="J157" s="2"/>
      <c r="K157" s="2"/>
      <c r="L157" s="2"/>
      <c r="M157" s="2"/>
      <c r="N157" s="2"/>
      <c r="O157" s="2"/>
    </row>
    <row r="158" spans="4:15" x14ac:dyDescent="0.25">
      <c r="D158" s="2"/>
      <c r="E158" s="2"/>
      <c r="F158" s="2"/>
      <c r="G158" s="2"/>
      <c r="H158" s="2"/>
      <c r="I158" s="2"/>
      <c r="J158" s="2"/>
      <c r="K158" s="2"/>
      <c r="L158" s="2"/>
      <c r="M158" s="2"/>
      <c r="N158" s="2"/>
      <c r="O158" s="2"/>
    </row>
    <row r="159" spans="4:15" x14ac:dyDescent="0.25">
      <c r="D159" s="2"/>
      <c r="E159" s="2"/>
      <c r="F159" s="2"/>
      <c r="G159" s="2"/>
      <c r="H159" s="2"/>
      <c r="I159" s="2"/>
      <c r="J159" s="2"/>
      <c r="K159" s="2"/>
      <c r="L159" s="2"/>
      <c r="M159" s="2"/>
      <c r="N159" s="2"/>
      <c r="O159" s="2"/>
    </row>
    <row r="160" spans="4:15" x14ac:dyDescent="0.25">
      <c r="D160" s="2"/>
      <c r="E160" s="2"/>
      <c r="F160" s="2"/>
      <c r="G160" s="2"/>
      <c r="H160" s="2"/>
      <c r="I160" s="2"/>
      <c r="J160" s="2"/>
      <c r="K160" s="2"/>
      <c r="L160" s="2"/>
      <c r="M160" s="2"/>
      <c r="N160" s="2"/>
      <c r="O160" s="2"/>
    </row>
    <row r="161" spans="4:15" x14ac:dyDescent="0.25">
      <c r="D161" s="2"/>
      <c r="E161" s="2"/>
      <c r="F161" s="2"/>
      <c r="G161" s="2"/>
      <c r="H161" s="2"/>
      <c r="I161" s="2"/>
      <c r="J161" s="2"/>
      <c r="K161" s="2"/>
      <c r="L161" s="2"/>
      <c r="M161" s="2"/>
      <c r="N161" s="2"/>
      <c r="O161" s="2"/>
    </row>
    <row r="162" spans="4:15" x14ac:dyDescent="0.25">
      <c r="D162" s="2"/>
      <c r="E162" s="2"/>
      <c r="F162" s="2"/>
      <c r="G162" s="2"/>
      <c r="H162" s="2"/>
      <c r="I162" s="2"/>
      <c r="J162" s="2"/>
      <c r="K162" s="2"/>
      <c r="L162" s="2"/>
      <c r="M162" s="2"/>
      <c r="N162" s="2"/>
      <c r="O162" s="2"/>
    </row>
    <row r="163" spans="4:15" x14ac:dyDescent="0.25">
      <c r="D163" s="2"/>
      <c r="E163" s="2"/>
      <c r="F163" s="2"/>
      <c r="G163" s="2"/>
      <c r="H163" s="2"/>
      <c r="I163" s="2"/>
      <c r="J163" s="2"/>
      <c r="K163" s="2"/>
      <c r="L163" s="2"/>
      <c r="M163" s="2"/>
      <c r="N163" s="2"/>
      <c r="O163" s="2"/>
    </row>
    <row r="164" spans="4:15" x14ac:dyDescent="0.25">
      <c r="D164" s="2"/>
      <c r="E164" s="2"/>
      <c r="F164" s="2"/>
      <c r="G164" s="2"/>
      <c r="H164" s="2"/>
      <c r="I164" s="2"/>
      <c r="J164" s="2"/>
      <c r="K164" s="2"/>
      <c r="L164" s="2"/>
      <c r="M164" s="2"/>
      <c r="N164" s="2"/>
      <c r="O164" s="2"/>
    </row>
    <row r="165" spans="4:15" x14ac:dyDescent="0.25">
      <c r="D165" s="2"/>
      <c r="E165" s="2"/>
      <c r="F165" s="2"/>
      <c r="G165" s="2"/>
      <c r="H165" s="2"/>
      <c r="I165" s="2"/>
      <c r="J165" s="2"/>
      <c r="K165" s="2"/>
      <c r="L165" s="2"/>
      <c r="M165" s="2"/>
      <c r="N165" s="2"/>
      <c r="O165" s="2"/>
    </row>
    <row r="166" spans="4:15" x14ac:dyDescent="0.25">
      <c r="D166" s="2"/>
      <c r="E166" s="2"/>
      <c r="F166" s="2"/>
      <c r="G166" s="2"/>
      <c r="H166" s="2"/>
      <c r="I166" s="2"/>
      <c r="J166" s="2"/>
      <c r="K166" s="2"/>
      <c r="L166" s="2"/>
      <c r="M166" s="2"/>
      <c r="N166" s="2"/>
      <c r="O166" s="2"/>
    </row>
    <row r="167" spans="4:15" x14ac:dyDescent="0.25">
      <c r="D167" s="2"/>
      <c r="E167" s="2"/>
      <c r="F167" s="2"/>
      <c r="G167" s="2"/>
      <c r="H167" s="2"/>
      <c r="I167" s="2"/>
      <c r="J167" s="2"/>
      <c r="K167" s="2"/>
      <c r="L167" s="2"/>
      <c r="M167" s="2"/>
      <c r="N167" s="2"/>
      <c r="O167" s="2"/>
    </row>
    <row r="168" spans="4:15" x14ac:dyDescent="0.25">
      <c r="D168" s="2"/>
      <c r="E168" s="2"/>
      <c r="F168" s="2"/>
      <c r="G168" s="2"/>
      <c r="H168" s="2"/>
      <c r="I168" s="2"/>
      <c r="J168" s="2"/>
      <c r="K168" s="2"/>
      <c r="L168" s="2"/>
      <c r="M168" s="2"/>
      <c r="N168" s="2"/>
      <c r="O168" s="2"/>
    </row>
    <row r="169" spans="4:15" x14ac:dyDescent="0.25">
      <c r="D169" s="2"/>
      <c r="E169" s="2"/>
      <c r="F169" s="2"/>
      <c r="G169" s="2"/>
      <c r="H169" s="2"/>
      <c r="I169" s="2"/>
      <c r="J169" s="2"/>
      <c r="K169" s="2"/>
      <c r="L169" s="2"/>
      <c r="M169" s="2"/>
      <c r="N169" s="2"/>
      <c r="O169" s="2"/>
    </row>
    <row r="170" spans="4:15" x14ac:dyDescent="0.25">
      <c r="D170" s="2"/>
      <c r="E170" s="2"/>
      <c r="F170" s="2"/>
      <c r="G170" s="2"/>
      <c r="H170" s="2"/>
      <c r="I170" s="2"/>
      <c r="J170" s="2"/>
      <c r="K170" s="2"/>
      <c r="L170" s="2"/>
      <c r="M170" s="2"/>
      <c r="N170" s="2"/>
      <c r="O170" s="2"/>
    </row>
    <row r="171" spans="4:15" x14ac:dyDescent="0.25">
      <c r="D171" s="2"/>
      <c r="E171" s="2"/>
      <c r="F171" s="2"/>
      <c r="G171" s="2"/>
      <c r="H171" s="2"/>
      <c r="I171" s="2"/>
      <c r="J171" s="2"/>
      <c r="K171" s="2"/>
      <c r="L171" s="2"/>
      <c r="M171" s="2"/>
      <c r="N171" s="2"/>
      <c r="O171" s="2"/>
    </row>
    <row r="172" spans="4:15" x14ac:dyDescent="0.25">
      <c r="D172" s="2"/>
      <c r="E172" s="2"/>
      <c r="F172" s="2"/>
      <c r="G172" s="2"/>
      <c r="H172" s="2"/>
      <c r="I172" s="2"/>
      <c r="J172" s="2"/>
      <c r="K172" s="2"/>
      <c r="L172" s="2"/>
      <c r="M172" s="2"/>
      <c r="N172" s="2"/>
      <c r="O172" s="2"/>
    </row>
    <row r="173" spans="4:15" x14ac:dyDescent="0.25">
      <c r="D173" s="2"/>
      <c r="E173" s="2"/>
      <c r="F173" s="2"/>
      <c r="G173" s="2"/>
      <c r="H173" s="2"/>
      <c r="I173" s="2"/>
      <c r="J173" s="2"/>
      <c r="K173" s="2"/>
      <c r="L173" s="2"/>
      <c r="M173" s="2"/>
      <c r="N173" s="2"/>
      <c r="O173" s="2"/>
    </row>
    <row r="174" spans="4:15" x14ac:dyDescent="0.25">
      <c r="D174" s="2"/>
      <c r="E174" s="2"/>
      <c r="F174" s="2"/>
      <c r="G174" s="2"/>
      <c r="H174" s="2"/>
      <c r="I174" s="2"/>
      <c r="J174" s="2"/>
      <c r="K174" s="2"/>
      <c r="L174" s="2"/>
      <c r="M174" s="2"/>
      <c r="N174" s="2"/>
      <c r="O174" s="2"/>
    </row>
    <row r="175" spans="4:15" x14ac:dyDescent="0.25">
      <c r="D175" s="2"/>
      <c r="E175" s="2"/>
      <c r="F175" s="2"/>
      <c r="G175" s="2"/>
      <c r="H175" s="2"/>
      <c r="I175" s="2"/>
      <c r="J175" s="2"/>
      <c r="K175" s="2"/>
      <c r="L175" s="2"/>
      <c r="M175" s="2"/>
      <c r="N175" s="2"/>
      <c r="O175" s="2"/>
    </row>
    <row r="176" spans="4:15" x14ac:dyDescent="0.25">
      <c r="D176" s="2"/>
      <c r="E176" s="2"/>
      <c r="F176" s="2"/>
      <c r="G176" s="2"/>
      <c r="H176" s="2"/>
      <c r="I176" s="2"/>
      <c r="J176" s="2"/>
      <c r="K176" s="2"/>
      <c r="L176" s="2"/>
      <c r="M176" s="2"/>
      <c r="N176" s="2"/>
      <c r="O176" s="2"/>
    </row>
    <row r="177" spans="4:15" x14ac:dyDescent="0.25">
      <c r="D177" s="2"/>
      <c r="E177" s="2"/>
      <c r="F177" s="2"/>
      <c r="G177" s="2"/>
      <c r="H177" s="2"/>
      <c r="I177" s="2"/>
      <c r="J177" s="2"/>
      <c r="K177" s="2"/>
      <c r="L177" s="2"/>
      <c r="M177" s="2"/>
      <c r="N177" s="2"/>
      <c r="O177" s="2"/>
    </row>
    <row r="178" spans="4:15" x14ac:dyDescent="0.25">
      <c r="D178" s="2"/>
      <c r="E178" s="2"/>
      <c r="F178" s="2"/>
      <c r="G178" s="2"/>
      <c r="H178" s="2"/>
      <c r="I178" s="2"/>
      <c r="J178" s="2"/>
      <c r="K178" s="2"/>
      <c r="L178" s="2"/>
      <c r="M178" s="2"/>
      <c r="N178" s="2"/>
      <c r="O178" s="2"/>
    </row>
    <row r="179" spans="4:15" x14ac:dyDescent="0.25">
      <c r="D179" s="2"/>
      <c r="E179" s="2"/>
      <c r="F179" s="2"/>
      <c r="G179" s="2"/>
      <c r="H179" s="2"/>
      <c r="I179" s="2"/>
      <c r="J179" s="2"/>
      <c r="K179" s="2"/>
      <c r="L179" s="2"/>
      <c r="M179" s="2"/>
      <c r="N179" s="2"/>
      <c r="O179" s="2"/>
    </row>
    <row r="180" spans="4:15" x14ac:dyDescent="0.25">
      <c r="D180" s="2"/>
      <c r="E180" s="2"/>
      <c r="F180" s="2"/>
      <c r="G180" s="2"/>
      <c r="H180" s="2"/>
      <c r="I180" s="2"/>
      <c r="J180" s="2"/>
      <c r="K180" s="2"/>
      <c r="L180" s="2"/>
      <c r="M180" s="2"/>
      <c r="N180" s="2"/>
      <c r="O180" s="2"/>
    </row>
    <row r="181" spans="4:15" x14ac:dyDescent="0.25">
      <c r="D181" s="2"/>
      <c r="E181" s="2"/>
      <c r="F181" s="2"/>
      <c r="G181" s="2"/>
      <c r="H181" s="2"/>
      <c r="I181" s="2"/>
      <c r="J181" s="2"/>
      <c r="K181" s="2"/>
      <c r="L181" s="2"/>
      <c r="M181" s="2"/>
      <c r="N181" s="2"/>
      <c r="O181" s="2"/>
    </row>
    <row r="182" spans="4:15" x14ac:dyDescent="0.25">
      <c r="D182" s="2"/>
      <c r="E182" s="2"/>
      <c r="F182" s="2"/>
      <c r="G182" s="2"/>
      <c r="H182" s="2"/>
      <c r="I182" s="2"/>
      <c r="J182" s="2"/>
      <c r="K182" s="2"/>
      <c r="L182" s="2"/>
      <c r="M182" s="2"/>
      <c r="N182" s="2"/>
      <c r="O182" s="2"/>
    </row>
    <row r="183" spans="4:15" x14ac:dyDescent="0.25">
      <c r="D183" s="2"/>
      <c r="E183" s="2"/>
      <c r="F183" s="2"/>
      <c r="G183" s="2"/>
      <c r="H183" s="2"/>
      <c r="I183" s="2"/>
      <c r="J183" s="2"/>
      <c r="K183" s="2"/>
      <c r="L183" s="2"/>
      <c r="M183" s="2"/>
      <c r="N183" s="2"/>
      <c r="O183" s="2"/>
    </row>
    <row r="184" spans="4:15" x14ac:dyDescent="0.25">
      <c r="D184" s="2"/>
      <c r="E184" s="2"/>
      <c r="F184" s="2"/>
      <c r="G184" s="2"/>
      <c r="H184" s="2"/>
      <c r="I184" s="2"/>
      <c r="J184" s="2"/>
      <c r="K184" s="2"/>
      <c r="L184" s="2"/>
      <c r="M184" s="2"/>
      <c r="N184" s="2"/>
      <c r="O184" s="2"/>
    </row>
    <row r="185" spans="4:15" x14ac:dyDescent="0.25">
      <c r="D185" s="2"/>
      <c r="E185" s="2"/>
      <c r="F185" s="2"/>
      <c r="G185" s="2"/>
      <c r="H185" s="2"/>
      <c r="I185" s="2"/>
      <c r="J185" s="2"/>
      <c r="K185" s="2"/>
      <c r="L185" s="2"/>
      <c r="M185" s="2"/>
      <c r="N185" s="2"/>
      <c r="O185" s="2"/>
    </row>
    <row r="186" spans="4:15" x14ac:dyDescent="0.25">
      <c r="D186" s="2"/>
      <c r="E186" s="2"/>
      <c r="F186" s="2"/>
      <c r="G186" s="2"/>
      <c r="H186" s="2"/>
      <c r="I186" s="2"/>
      <c r="J186" s="2"/>
      <c r="K186" s="2"/>
      <c r="L186" s="2"/>
      <c r="M186" s="2"/>
      <c r="N186" s="2"/>
      <c r="O186" s="2"/>
    </row>
    <row r="187" spans="4:15" x14ac:dyDescent="0.25">
      <c r="D187" s="2"/>
      <c r="E187" s="2"/>
      <c r="F187" s="2"/>
      <c r="G187" s="2"/>
      <c r="H187" s="2"/>
      <c r="I187" s="2"/>
      <c r="J187" s="2"/>
      <c r="K187" s="2"/>
      <c r="L187" s="2"/>
      <c r="M187" s="2"/>
      <c r="N187" s="2"/>
      <c r="O187" s="2"/>
    </row>
    <row r="188" spans="4:15" x14ac:dyDescent="0.25">
      <c r="D188" s="2"/>
      <c r="E188" s="2"/>
      <c r="F188" s="2"/>
      <c r="G188" s="2"/>
      <c r="H188" s="2"/>
      <c r="I188" s="2"/>
      <c r="J188" s="2"/>
      <c r="K188" s="2"/>
      <c r="L188" s="2"/>
      <c r="M188" s="2"/>
      <c r="N188" s="2"/>
      <c r="O188" s="2"/>
    </row>
    <row r="189" spans="4:15" x14ac:dyDescent="0.25">
      <c r="D189" s="2"/>
      <c r="E189" s="2"/>
      <c r="F189" s="2"/>
      <c r="G189" s="2"/>
      <c r="H189" s="2"/>
      <c r="I189" s="2"/>
      <c r="J189" s="2"/>
      <c r="K189" s="2"/>
      <c r="L189" s="2"/>
      <c r="M189" s="2"/>
      <c r="N189" s="2"/>
      <c r="O189" s="2"/>
    </row>
    <row r="190" spans="4:15" x14ac:dyDescent="0.25">
      <c r="D190" s="2"/>
      <c r="E190" s="2"/>
      <c r="F190" s="2"/>
      <c r="G190" s="2"/>
      <c r="H190" s="2"/>
      <c r="I190" s="2"/>
      <c r="J190" s="2"/>
      <c r="K190" s="2"/>
      <c r="L190" s="2"/>
      <c r="M190" s="2"/>
      <c r="N190" s="2"/>
      <c r="O190" s="2"/>
    </row>
    <row r="191" spans="4:15" x14ac:dyDescent="0.25">
      <c r="D191" s="2"/>
      <c r="E191" s="2"/>
      <c r="F191" s="2"/>
      <c r="G191" s="2"/>
      <c r="H191" s="2"/>
      <c r="I191" s="2"/>
      <c r="J191" s="2"/>
      <c r="K191" s="2"/>
      <c r="L191" s="2"/>
      <c r="M191" s="2"/>
      <c r="N191" s="2"/>
      <c r="O191" s="2"/>
    </row>
    <row r="192" spans="4:15" x14ac:dyDescent="0.25">
      <c r="D192" s="2"/>
      <c r="E192" s="2"/>
      <c r="F192" s="2"/>
      <c r="G192" s="2"/>
      <c r="H192" s="2"/>
      <c r="I192" s="2"/>
      <c r="J192" s="2"/>
      <c r="K192" s="2"/>
      <c r="L192" s="2"/>
      <c r="M192" s="2"/>
      <c r="N192" s="2"/>
      <c r="O192" s="2"/>
    </row>
    <row r="193" spans="4:15" x14ac:dyDescent="0.25">
      <c r="D193" s="2"/>
      <c r="E193" s="2"/>
      <c r="F193" s="2"/>
      <c r="G193" s="2"/>
      <c r="H193" s="2"/>
      <c r="I193" s="2"/>
      <c r="J193" s="2"/>
      <c r="K193" s="2"/>
      <c r="L193" s="2"/>
      <c r="M193" s="2"/>
      <c r="N193" s="2"/>
      <c r="O193" s="2"/>
    </row>
    <row r="194" spans="4:15" x14ac:dyDescent="0.25">
      <c r="D194" s="2"/>
      <c r="E194" s="2"/>
      <c r="F194" s="2"/>
      <c r="G194" s="2"/>
      <c r="H194" s="2"/>
      <c r="I194" s="2"/>
      <c r="J194" s="2"/>
      <c r="K194" s="2"/>
      <c r="L194" s="2"/>
      <c r="M194" s="2"/>
      <c r="N194" s="2"/>
      <c r="O194" s="2"/>
    </row>
    <row r="195" spans="4:15" x14ac:dyDescent="0.25">
      <c r="D195" s="2"/>
      <c r="E195" s="2"/>
      <c r="F195" s="2"/>
      <c r="G195" s="2"/>
      <c r="H195" s="2"/>
      <c r="I195" s="2"/>
      <c r="J195" s="2"/>
      <c r="K195" s="2"/>
      <c r="L195" s="2"/>
      <c r="M195" s="2"/>
      <c r="N195" s="2"/>
      <c r="O195" s="2"/>
    </row>
    <row r="196" spans="4:15" x14ac:dyDescent="0.25">
      <c r="D196" s="2"/>
      <c r="E196" s="2"/>
      <c r="F196" s="2"/>
      <c r="G196" s="2"/>
      <c r="H196" s="2"/>
      <c r="I196" s="2"/>
      <c r="J196" s="2"/>
      <c r="K196" s="2"/>
      <c r="L196" s="2"/>
      <c r="M196" s="2"/>
      <c r="N196" s="2"/>
      <c r="O196" s="2"/>
    </row>
    <row r="197" spans="4:15" x14ac:dyDescent="0.25">
      <c r="D197" s="2"/>
      <c r="E197" s="2"/>
      <c r="F197" s="2"/>
      <c r="G197" s="2"/>
      <c r="H197" s="2"/>
      <c r="I197" s="2"/>
      <c r="J197" s="2"/>
      <c r="K197" s="2"/>
      <c r="L197" s="2"/>
      <c r="M197" s="2"/>
      <c r="N197" s="2"/>
      <c r="O197" s="2"/>
    </row>
    <row r="198" spans="4:15" x14ac:dyDescent="0.25">
      <c r="D198" s="2"/>
      <c r="E198" s="2"/>
      <c r="F198" s="2"/>
      <c r="G198" s="2"/>
      <c r="H198" s="2"/>
      <c r="I198" s="2"/>
      <c r="J198" s="2"/>
      <c r="K198" s="2"/>
      <c r="L198" s="2"/>
      <c r="M198" s="2"/>
      <c r="N198" s="2"/>
      <c r="O198" s="2"/>
    </row>
    <row r="199" spans="4:15" x14ac:dyDescent="0.25">
      <c r="D199" s="2"/>
      <c r="E199" s="2"/>
      <c r="F199" s="2"/>
      <c r="G199" s="2"/>
      <c r="H199" s="2"/>
      <c r="I199" s="2"/>
      <c r="J199" s="2"/>
      <c r="K199" s="2"/>
      <c r="L199" s="2"/>
      <c r="M199" s="2"/>
      <c r="N199" s="2"/>
      <c r="O199" s="2"/>
    </row>
    <row r="200" spans="4:15" x14ac:dyDescent="0.25">
      <c r="D200" s="2"/>
      <c r="E200" s="2"/>
      <c r="F200" s="2"/>
      <c r="G200" s="2"/>
      <c r="H200" s="2"/>
      <c r="I200" s="2"/>
      <c r="J200" s="2"/>
      <c r="K200" s="2"/>
      <c r="L200" s="2"/>
      <c r="M200" s="2"/>
      <c r="N200" s="2"/>
      <c r="O200" s="2"/>
    </row>
    <row r="201" spans="4:15" x14ac:dyDescent="0.25">
      <c r="D201" s="2"/>
      <c r="E201" s="2"/>
      <c r="F201" s="2"/>
      <c r="G201" s="2"/>
      <c r="H201" s="2"/>
      <c r="I201" s="2"/>
      <c r="J201" s="2"/>
      <c r="K201" s="2"/>
      <c r="L201" s="2"/>
      <c r="M201" s="2"/>
      <c r="N201" s="2"/>
      <c r="O201" s="2"/>
    </row>
    <row r="202" spans="4:15" x14ac:dyDescent="0.25">
      <c r="D202" s="2"/>
      <c r="E202" s="2"/>
      <c r="F202" s="2"/>
      <c r="G202" s="2"/>
      <c r="H202" s="2"/>
      <c r="I202" s="2"/>
      <c r="J202" s="2"/>
      <c r="K202" s="2"/>
      <c r="L202" s="2"/>
      <c r="M202" s="2"/>
      <c r="N202" s="2"/>
      <c r="O202" s="2"/>
    </row>
    <row r="203" spans="4:15" x14ac:dyDescent="0.25">
      <c r="D203" s="2"/>
      <c r="E203" s="2"/>
      <c r="F203" s="2"/>
      <c r="G203" s="2"/>
      <c r="H203" s="2"/>
      <c r="I203" s="2"/>
      <c r="J203" s="2"/>
      <c r="K203" s="2"/>
      <c r="L203" s="2"/>
      <c r="M203" s="2"/>
      <c r="N203" s="2"/>
      <c r="O203" s="2"/>
    </row>
    <row r="204" spans="4:15" x14ac:dyDescent="0.25">
      <c r="D204" s="2"/>
      <c r="E204" s="2"/>
      <c r="F204" s="2"/>
      <c r="G204" s="2"/>
      <c r="H204" s="2"/>
      <c r="I204" s="2"/>
      <c r="J204" s="2"/>
      <c r="K204" s="2"/>
      <c r="L204" s="2"/>
      <c r="M204" s="2"/>
      <c r="N204" s="2"/>
      <c r="O204" s="2"/>
    </row>
    <row r="205" spans="4:15" x14ac:dyDescent="0.25">
      <c r="D205" s="2"/>
      <c r="E205" s="2"/>
      <c r="F205" s="2"/>
      <c r="G205" s="2"/>
      <c r="H205" s="2"/>
      <c r="I205" s="2"/>
      <c r="J205" s="2"/>
      <c r="K205" s="2"/>
      <c r="L205" s="2"/>
      <c r="M205" s="2"/>
      <c r="N205" s="2"/>
      <c r="O205" s="2"/>
    </row>
    <row r="206" spans="4:15" x14ac:dyDescent="0.25">
      <c r="D206" s="2"/>
      <c r="E206" s="2"/>
      <c r="F206" s="2"/>
      <c r="G206" s="2"/>
      <c r="H206" s="2"/>
      <c r="I206" s="2"/>
      <c r="J206" s="2"/>
      <c r="K206" s="2"/>
      <c r="L206" s="2"/>
      <c r="M206" s="2"/>
      <c r="N206" s="2"/>
      <c r="O206" s="2"/>
    </row>
    <row r="207" spans="4:15" x14ac:dyDescent="0.25">
      <c r="D207" s="2"/>
      <c r="E207" s="2"/>
      <c r="F207" s="2"/>
      <c r="G207" s="2"/>
      <c r="H207" s="2"/>
      <c r="I207" s="2"/>
      <c r="J207" s="2"/>
      <c r="K207" s="2"/>
      <c r="L207" s="2"/>
      <c r="M207" s="2"/>
      <c r="N207" s="2"/>
      <c r="O207" s="2"/>
    </row>
  </sheetData>
  <pageMargins left="0.7" right="0.7" top="0.75" bottom="0.75" header="0.3" footer="0.3"/>
  <headerFooter>
    <oddHeader>&amp;L&amp;"Calibri"&amp;11&amp;K000000 PERSONAL/NONWORK // EXTERNAL&amp;1#_x000D_</oddHead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68B1D-B6E2-4BDF-BF55-CC0AD8C0C826}">
  <dimension ref="A1:E13"/>
  <sheetViews>
    <sheetView workbookViewId="0">
      <selection activeCell="A4" sqref="A4"/>
    </sheetView>
  </sheetViews>
  <sheetFormatPr defaultRowHeight="15" x14ac:dyDescent="0.25"/>
  <sheetData>
    <row r="1" spans="1:5" x14ac:dyDescent="0.25">
      <c r="A1" t="s">
        <v>36</v>
      </c>
    </row>
    <row r="2" spans="1:5" x14ac:dyDescent="0.25">
      <c r="A2" s="3" t="s">
        <v>14</v>
      </c>
    </row>
    <row r="3" spans="1:5" x14ac:dyDescent="0.25">
      <c r="A3" t="s">
        <v>15</v>
      </c>
      <c r="B3" s="4"/>
    </row>
    <row r="4" spans="1:5" x14ac:dyDescent="0.25">
      <c r="A4" t="s">
        <v>16</v>
      </c>
    </row>
    <row r="5" spans="1:5" x14ac:dyDescent="0.25">
      <c r="A5" t="s">
        <v>17</v>
      </c>
    </row>
    <row r="6" spans="1:5" x14ac:dyDescent="0.25">
      <c r="A6" t="s">
        <v>18</v>
      </c>
    </row>
    <row r="7" spans="1:5" x14ac:dyDescent="0.25">
      <c r="A7" t="s">
        <v>19</v>
      </c>
      <c r="B7" t="s">
        <v>20</v>
      </c>
      <c r="C7" t="s">
        <v>21</v>
      </c>
      <c r="D7" t="s">
        <v>22</v>
      </c>
      <c r="E7" t="s">
        <v>23</v>
      </c>
    </row>
    <row r="8" spans="1:5" x14ac:dyDescent="0.25">
      <c r="A8" t="s">
        <v>24</v>
      </c>
      <c r="B8">
        <v>0.96254899999999999</v>
      </c>
      <c r="C8">
        <v>6.1502000000000001E-2</v>
      </c>
      <c r="D8">
        <v>15.650679999999999</v>
      </c>
      <c r="E8" s="1">
        <v>0</v>
      </c>
    </row>
    <row r="9" spans="1:5" x14ac:dyDescent="0.25">
      <c r="A9" t="s">
        <v>25</v>
      </c>
      <c r="B9">
        <v>0.79057100000000002</v>
      </c>
      <c r="C9">
        <v>1.3916E-2</v>
      </c>
      <c r="D9">
        <v>56.808259999999997</v>
      </c>
      <c r="E9" s="1">
        <v>0</v>
      </c>
    </row>
    <row r="10" spans="1:5" x14ac:dyDescent="0.25">
      <c r="A10" t="s">
        <v>26</v>
      </c>
      <c r="B10">
        <v>0.99384099999999997</v>
      </c>
    </row>
    <row r="11" spans="1:5" x14ac:dyDescent="0.25">
      <c r="A11" t="s">
        <v>28</v>
      </c>
      <c r="B11">
        <v>0.993533</v>
      </c>
    </row>
    <row r="12" spans="1:5" x14ac:dyDescent="0.25">
      <c r="A12" t="s">
        <v>27</v>
      </c>
      <c r="B12">
        <v>-6.2657910000000001</v>
      </c>
    </row>
    <row r="13" spans="1:5" x14ac:dyDescent="0.25">
      <c r="A13" t="s">
        <v>29</v>
      </c>
      <c r="B13">
        <v>-6.1666049999999997</v>
      </c>
    </row>
  </sheetData>
  <pageMargins left="0.7" right="0.7" top="0.75" bottom="0.75" header="0.3" footer="0.3"/>
</worksheet>
</file>

<file path=docMetadata/LabelInfo.xml><?xml version="1.0" encoding="utf-8"?>
<clbl:labelList xmlns:clbl="http://schemas.microsoft.com/office/2020/mipLabelMetadata">
  <clbl:label id="{d7ea93e3-e39d-47c1-8196-dda37fa8a38c}" enabled="1" method="Privileged" siteId="{b397c653-5b19-463f-b9fc-af658ded91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Regressions</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Nicholas C</dc:creator>
  <cp:lastModifiedBy>Anderson, Nicholas C</cp:lastModifiedBy>
  <dcterms:created xsi:type="dcterms:W3CDTF">2025-10-01T17:58:38Z</dcterms:created>
  <dcterms:modified xsi:type="dcterms:W3CDTF">2025-10-02T20:32:44Z</dcterms:modified>
</cp:coreProperties>
</file>
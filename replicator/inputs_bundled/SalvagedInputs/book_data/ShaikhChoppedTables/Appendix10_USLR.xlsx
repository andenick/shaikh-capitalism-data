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rbprod1-my.sharepoint.com/personal/nicholas_anderson_ny_frb_org/Documents/Desktop/ShaikhChopped/"/>
    </mc:Choice>
  </mc:AlternateContent>
  <xr:revisionPtr revIDLastSave="49" documentId="8_{60BB6258-91C5-4A3C-BA73-CC4F89838FDB}" xr6:coauthVersionLast="47" xr6:coauthVersionMax="47" xr10:uidLastSave="{8F2369BE-AB00-46BA-9B08-45AABBAC2A4B}"/>
  <bookViews>
    <workbookView xWindow="-28920" yWindow="-300" windowWidth="29040" windowHeight="15720" xr2:uid="{BEF1B8DC-F1B7-4077-A342-8ADE1CD238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1" i="1" l="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80" i="1"/>
  <c r="A230" i="1"/>
  <c r="A231" i="1" s="1"/>
  <c r="A232" i="1" s="1"/>
  <c r="A233" i="1" s="1"/>
  <c r="A234" i="1" s="1"/>
  <c r="A22" i="1"/>
  <c r="A21" i="1" s="1"/>
  <c r="A20" i="1" s="1"/>
  <c r="A19" i="1" s="1"/>
  <c r="A18" i="1" s="1"/>
  <c r="A17" i="1" s="1"/>
  <c r="A16" i="1" s="1"/>
  <c r="A15" i="1" s="1"/>
  <c r="A14" i="1" s="1"/>
  <c r="A13" i="1" s="1"/>
  <c r="C5" i="1" l="1"/>
  <c r="C15" i="1"/>
  <c r="C12" i="1"/>
  <c r="C22" i="1"/>
  <c r="C16" i="1"/>
  <c r="C14" i="1"/>
  <c r="C19" i="1"/>
  <c r="C9" i="1"/>
  <c r="C21" i="1"/>
  <c r="C13" i="1"/>
  <c r="C11" i="1"/>
  <c r="C17" i="1"/>
  <c r="C4" i="1"/>
  <c r="C7" i="1"/>
  <c r="C18" i="1"/>
  <c r="C10" i="1"/>
  <c r="C8" i="1"/>
  <c r="C6" i="1"/>
  <c r="C20" i="1"/>
  <c r="C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Nicholas C Anderson</author>
    <author>Anwar Shaikh</author>
    <author>Fujitsu</author>
  </authors>
  <commentList>
    <comment ref="D1" authorId="0" shapeId="0" xr:uid="{2825FEFE-B479-4146-A3B7-BA475F76A329}">
      <text>
        <r>
          <rPr>
            <b/>
            <sz val="9"/>
            <color indexed="81"/>
            <rFont val="Tahoma"/>
            <family val="2"/>
          </rPr>
          <t>shaikh:</t>
        </r>
        <r>
          <rPr>
            <sz val="9"/>
            <color indexed="81"/>
            <rFont val="Tahoma"/>
            <family val="2"/>
          </rPr>
          <t xml:space="preserve">
avg ratio of icorpaaa/ibrailann for overlap 1919-1937 = 1.095 -- spliced at 1937, using 1.095*ibrail</t>
        </r>
      </text>
    </comment>
    <comment ref="C2" authorId="0" shapeId="0" xr:uid="{C55ECDCA-233C-472D-BD76-6A931F2FE721}">
      <text>
        <r>
          <rPr>
            <b/>
            <sz val="9"/>
            <color indexed="81"/>
            <rFont val="Tahoma"/>
            <family val="2"/>
          </rPr>
          <t xml:space="preserve">shaikh:
</t>
        </r>
        <r>
          <rPr>
            <sz val="9"/>
            <color indexed="81"/>
            <rFont val="Tahoma"/>
            <family val="2"/>
          </rPr>
          <t xml:space="preserve">1800-1976, Jastram, Roy (1977), The Golden Constant: The English and American Experience, 1560-1976, John Wiley and Sons, Inc., New York: Table 7, pp. 145-46. Note that 
WPI corresponds to all commodities, not just finished goods. BLS does not seem to produce "All commodities" any more? See BLS site, methods, ch 14.
</t>
        </r>
      </text>
    </comment>
    <comment ref="D2" authorId="0" shapeId="0" xr:uid="{392827DA-E652-430F-A86D-B18129C1E025}">
      <text>
        <r>
          <rPr>
            <b/>
            <sz val="9"/>
            <color indexed="81"/>
            <rFont val="Tahoma"/>
            <family val="2"/>
          </rPr>
          <t xml:space="preserve">Anwar Shaikh:
</t>
        </r>
        <r>
          <rPr>
            <sz val="9"/>
            <color indexed="81"/>
            <rFont val="Tahoma"/>
            <family val="2"/>
          </rPr>
          <t>the long bond yield was created by splicing together two long series: the railroad bond yield from 1857-1937 was annualized monthly data on American bond yields taken from Macaulay {Macaulay, 1938 #2933@`, Appendix Table 10, pp. A142-A161} and made available in the NBER historical database at http://www.nber.org/databases/macrohistory/rectdata/13/m13019.dat , the corporate bond Aaa yield for 1936-2002 was from the Mini Historical Statistics No. HS-39, supplemented for 2003-2011 from the previously cited interest data from the Economic Report of the President, and the composite long bond rate was created by splicing the railroad bond rate to the corporate rate using the 1919-1937 average ratio of the latter to the former to rescale the railroad rate.</t>
        </r>
      </text>
    </comment>
    <comment ref="A3" authorId="1" shapeId="0" xr:uid="{0CB2C6F2-8F6C-4C52-9231-0E74F45E550C}">
      <text>
        <r>
          <rPr>
            <b/>
            <sz val="8"/>
            <color indexed="81"/>
            <rFont val="Tahoma"/>
            <family val="2"/>
          </rPr>
          <t>Anwar Shaikh:</t>
        </r>
        <r>
          <rPr>
            <sz val="8"/>
            <color indexed="81"/>
            <rFont val="Tahoma"/>
            <family val="2"/>
          </rPr>
          <t xml:space="preserve">
KONDRATIEFF'S FAMOUS PRICE CHART BEGINS IN 1780, SO I HAVE USED THE SAME STARTING POINT (KONDRATIEFF, LONG WAVE CYCLE, 1984, CHART 1, p. 39)</t>
        </r>
      </text>
    </comment>
    <comment ref="C164" authorId="2" shapeId="0" xr:uid="{02B2833A-AF7B-42E9-8ED3-7E6B7A1BD891}">
      <text>
        <r>
          <rPr>
            <b/>
            <sz val="8"/>
            <color indexed="81"/>
            <rFont val="Tahoma"/>
            <family val="2"/>
          </rPr>
          <t>Fujitsu:</t>
        </r>
        <r>
          <rPr>
            <sz val="8"/>
            <color indexed="81"/>
            <rFont val="Tahoma"/>
            <family val="2"/>
          </rPr>
          <t xml:space="preserve">
US enters WWII Dec 1941</t>
        </r>
      </text>
    </comment>
    <comment ref="C231" authorId="2" shapeId="0" xr:uid="{862BF730-D96C-4D61-B43E-819379B227C2}">
      <text>
        <r>
          <rPr>
            <b/>
            <sz val="8"/>
            <color indexed="81"/>
            <rFont val="Tahoma"/>
            <family val="2"/>
          </rPr>
          <t>Fujitsu:</t>
        </r>
        <r>
          <rPr>
            <sz val="8"/>
            <color indexed="81"/>
            <rFont val="Tahoma"/>
            <family val="2"/>
          </rPr>
          <t xml:space="preserve">
BLS PPI, All ommodiities,
used 2008/2007 to update: http://data.bls.gov/cgi-bin/surveymost</t>
        </r>
      </text>
    </comment>
  </commentList>
</comments>
</file>

<file path=xl/sharedStrings.xml><?xml version="1.0" encoding="utf-8"?>
<sst xmlns="http://schemas.openxmlformats.org/spreadsheetml/2006/main" count="19" uniqueCount="18">
  <si>
    <t>Year</t>
  </si>
  <si>
    <t>USCPI 1930=100</t>
  </si>
  <si>
    <t>USWPI</t>
  </si>
  <si>
    <t>Jastram 1977</t>
  </si>
  <si>
    <t>Data USLR</t>
  </si>
  <si>
    <t>iblongindex</t>
  </si>
  <si>
    <t>iblong</t>
  </si>
  <si>
    <t>Long Bond Index Constructed Data from Macaulay 1938 and Economic Report of the President</t>
  </si>
  <si>
    <t>iblongreal</t>
  </si>
  <si>
    <t>iblongrealHP3</t>
  </si>
  <si>
    <t>ys</t>
  </si>
  <si>
    <t>ib10yr Gov</t>
  </si>
  <si>
    <t>wpi1947</t>
  </si>
  <si>
    <t>ib/p</t>
  </si>
  <si>
    <t>1947=100</t>
  </si>
  <si>
    <t>Dividend Yield</t>
  </si>
  <si>
    <t>Shiller 10 yr govt bond</t>
  </si>
  <si>
    <t>=ib(1947) since wpi =100 in 1947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</si>
</sst>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theme="1"/>
      <name val="Aptos Narrow"/>
      <family val="2"/>
      <scheme val="minor"/>
    </font>
    <font>
      <b/>
      <sz val="8"/>
      <color indexed="81"/>
      <name val="Tahoma"/>
      <family val="2"/>
    </font>
    <font>
      <sz val="8"/>
      <color indexed="81"/>
      <name val="Tahoma"/>
      <family val="2"/>
    </font>
    <font>
      <sz val="11"/>
      <name val="Aptos Narrow"/>
      <family val="2"/>
      <scheme val="minor"/>
    </font>
    <font>
      <sz val="10"/>
      <name val="Arial"/>
      <family val="2"/>
    </font>
    <font>
      <sz val="9"/>
      <color indexed="81"/>
      <name val="Tahoma"/>
      <family val="2"/>
    </font>
    <font>
      <b/>
      <sz val="9"/>
      <color indexed="81"/>
      <name val="Tahoma"/>
      <family val="2"/>
    </font>
    <font>
      <sz val="11"/>
      <color rgb="FF0070C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9" fontId="5" fillId="0" borderId="0" applyFont="0" applyFill="0" applyBorder="0" applyAlignment="0" applyProtection="0"/>
  </cellStyleXfs>
  <cellXfs count="9">
    <xf numFmtId="0" fontId="0" fillId="0" borderId="0" xfId="0"/>
    <xf numFmtId="0" fontId="1" fillId="0" borderId="0" xfId="0" applyFont="1" applyAlignment="1">
      <alignment wrapText="1"/>
    </xf>
    <xf numFmtId="0" fontId="1" fillId="0" borderId="0" xfId="0" applyFont="1"/>
    <xf numFmtId="4" fontId="4" fillId="0" borderId="0" xfId="1" applyNumberFormat="1" applyFont="1"/>
    <xf numFmtId="4" fontId="4" fillId="0" borderId="0" xfId="0" applyNumberFormat="1" applyFont="1" applyAlignment="1">
      <alignment wrapText="1"/>
    </xf>
    <xf numFmtId="4" fontId="8" fillId="0" borderId="0" xfId="1" applyNumberFormat="1" applyFont="1" applyAlignment="1">
      <alignment wrapText="1"/>
    </xf>
    <xf numFmtId="4" fontId="0" fillId="0" borderId="0" xfId="0" applyNumberFormat="1"/>
    <xf numFmtId="0" fontId="0" fillId="0" borderId="0" xfId="0" quotePrefix="1"/>
    <xf numFmtId="2" fontId="8" fillId="0" borderId="0" xfId="1" applyNumberFormat="1" applyFont="1"/>
  </cellXfs>
  <cellStyles count="3">
    <cellStyle name="Normal" xfId="0" builtinId="0"/>
    <cellStyle name="Normal 5" xfId="1" xr:uid="{062DFBB6-D1E1-4E83-830B-FA4854536A80}"/>
    <cellStyle name="Percent 2" xfId="2" xr:uid="{013B1739-B95F-41E8-A5D3-785E6CDAE7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62713-33B0-45AE-88FA-2EECCC86634A}">
  <dimension ref="A1:K234"/>
  <sheetViews>
    <sheetView tabSelected="1" workbookViewId="0">
      <pane xSplit="1" ySplit="2" topLeftCell="B3" activePane="bottomRight" state="frozen"/>
      <selection pane="topRight" activeCell="B1" sqref="B1"/>
      <selection pane="bottomLeft" activeCell="A3" sqref="A3"/>
      <selection pane="bottomRight" activeCell="B3" sqref="B3"/>
    </sheetView>
  </sheetViews>
  <sheetFormatPr defaultRowHeight="15" x14ac:dyDescent="0.25"/>
  <sheetData>
    <row r="1" spans="1:11" x14ac:dyDescent="0.25">
      <c r="A1" t="s">
        <v>4</v>
      </c>
      <c r="C1" t="s">
        <v>3</v>
      </c>
      <c r="D1" t="s">
        <v>7</v>
      </c>
      <c r="E1" t="s">
        <v>14</v>
      </c>
      <c r="H1" t="s">
        <v>15</v>
      </c>
      <c r="I1" t="s">
        <v>16</v>
      </c>
      <c r="J1" t="s">
        <v>14</v>
      </c>
      <c r="K1" s="7" t="s">
        <v>17</v>
      </c>
    </row>
    <row r="2" spans="1:11" x14ac:dyDescent="0.25">
      <c r="A2" t="s">
        <v>0</v>
      </c>
      <c r="B2" t="s">
        <v>1</v>
      </c>
      <c r="C2" t="s">
        <v>2</v>
      </c>
      <c r="D2" t="s">
        <v>6</v>
      </c>
      <c r="E2" t="s">
        <v>5</v>
      </c>
      <c r="F2" t="s">
        <v>8</v>
      </c>
      <c r="G2" t="s">
        <v>9</v>
      </c>
      <c r="H2" t="s">
        <v>10</v>
      </c>
      <c r="I2" t="s">
        <v>11</v>
      </c>
      <c r="J2" t="s">
        <v>12</v>
      </c>
      <c r="K2" t="s">
        <v>13</v>
      </c>
    </row>
    <row r="3" spans="1:11" x14ac:dyDescent="0.25">
      <c r="A3" s="1">
        <v>1780</v>
      </c>
      <c r="B3" s="4">
        <v>82.035928143712582</v>
      </c>
      <c r="C3" s="5">
        <f>B3*(($C$23/$B$23))</f>
        <v>115.04847986852918</v>
      </c>
      <c r="D3" s="6"/>
      <c r="E3" s="6"/>
      <c r="F3" s="6"/>
      <c r="G3" s="6"/>
      <c r="H3" s="6"/>
      <c r="I3" s="6"/>
      <c r="J3" s="6"/>
      <c r="K3" s="6"/>
    </row>
    <row r="4" spans="1:11" x14ac:dyDescent="0.25">
      <c r="A4" s="1">
        <v>1781</v>
      </c>
      <c r="B4" s="4">
        <v>66.467065868263475</v>
      </c>
      <c r="C4" s="5">
        <f t="shared" ref="C4:C22" si="0">B4*(($C$23/$B$23))</f>
        <v>93.214461791290063</v>
      </c>
      <c r="D4" s="6"/>
      <c r="E4" s="6"/>
      <c r="F4" s="6"/>
      <c r="G4" s="6"/>
      <c r="H4" s="6"/>
      <c r="I4" s="6"/>
      <c r="J4" s="6"/>
      <c r="K4" s="6"/>
    </row>
    <row r="5" spans="1:11" x14ac:dyDescent="0.25">
      <c r="A5" s="1">
        <v>1782</v>
      </c>
      <c r="B5" s="4">
        <v>72.455089820359291</v>
      </c>
      <c r="C5" s="5">
        <f t="shared" si="0"/>
        <v>101.61216105176666</v>
      </c>
      <c r="D5" s="6"/>
      <c r="E5" s="6"/>
      <c r="F5" s="6"/>
      <c r="G5" s="6"/>
      <c r="H5" s="6"/>
      <c r="I5" s="6"/>
      <c r="J5" s="6"/>
      <c r="K5" s="6"/>
    </row>
    <row r="6" spans="1:11" x14ac:dyDescent="0.25">
      <c r="A6" s="1">
        <v>1783</v>
      </c>
      <c r="B6" s="4">
        <v>63.473053892215574</v>
      </c>
      <c r="C6" s="5">
        <f t="shared" si="0"/>
        <v>89.015612161051777</v>
      </c>
      <c r="D6" s="6"/>
      <c r="E6" s="6"/>
      <c r="F6" s="6"/>
      <c r="G6" s="6"/>
      <c r="H6" s="6"/>
      <c r="I6" s="6"/>
      <c r="J6" s="6"/>
      <c r="K6" s="6"/>
    </row>
    <row r="7" spans="1:11" x14ac:dyDescent="0.25">
      <c r="A7" s="1">
        <v>1784</v>
      </c>
      <c r="B7" s="4">
        <v>61.077844311377241</v>
      </c>
      <c r="C7" s="5">
        <f t="shared" si="0"/>
        <v>85.656532456861129</v>
      </c>
      <c r="D7" s="6"/>
      <c r="E7" s="6"/>
      <c r="F7" s="6"/>
      <c r="G7" s="6"/>
      <c r="H7" s="6"/>
      <c r="I7" s="6"/>
      <c r="J7" s="6"/>
      <c r="K7" s="6"/>
    </row>
    <row r="8" spans="1:11" x14ac:dyDescent="0.25">
      <c r="A8" s="1">
        <v>1785</v>
      </c>
      <c r="B8" s="4">
        <v>58.083832335329348</v>
      </c>
      <c r="C8" s="5">
        <f t="shared" si="0"/>
        <v>81.457682826622857</v>
      </c>
      <c r="D8" s="6"/>
      <c r="E8" s="6"/>
      <c r="F8" s="6"/>
      <c r="G8" s="6"/>
      <c r="H8" s="6"/>
      <c r="I8" s="6"/>
      <c r="J8" s="6"/>
      <c r="K8" s="6"/>
    </row>
    <row r="9" spans="1:11" x14ac:dyDescent="0.25">
      <c r="A9" s="1">
        <v>1786</v>
      </c>
      <c r="B9" s="4">
        <v>55.029940119760482</v>
      </c>
      <c r="C9" s="5">
        <f t="shared" si="0"/>
        <v>77.174856203779797</v>
      </c>
      <c r="D9" s="6"/>
      <c r="E9" s="6"/>
      <c r="F9" s="6"/>
      <c r="G9" s="6"/>
      <c r="H9" s="6"/>
      <c r="I9" s="6"/>
      <c r="J9" s="6"/>
      <c r="K9" s="6"/>
    </row>
    <row r="10" spans="1:11" x14ac:dyDescent="0.25">
      <c r="A10" s="1">
        <v>1787</v>
      </c>
      <c r="B10" s="4">
        <v>54.011976047904191</v>
      </c>
      <c r="C10" s="5">
        <f t="shared" si="0"/>
        <v>75.747247329498776</v>
      </c>
      <c r="D10" s="6"/>
      <c r="E10" s="6"/>
      <c r="F10" s="6"/>
      <c r="G10" s="6"/>
      <c r="H10" s="6"/>
      <c r="I10" s="6"/>
      <c r="J10" s="6"/>
      <c r="K10" s="6"/>
    </row>
    <row r="11" spans="1:11" x14ac:dyDescent="0.25">
      <c r="A11" s="1">
        <v>1788</v>
      </c>
      <c r="B11" s="4">
        <v>51.616766467065865</v>
      </c>
      <c r="C11" s="5">
        <f t="shared" si="0"/>
        <v>72.388167625308142</v>
      </c>
      <c r="D11" s="6"/>
      <c r="E11" s="6"/>
      <c r="F11" s="6"/>
      <c r="G11" s="6"/>
      <c r="H11" s="6"/>
      <c r="I11" s="6"/>
      <c r="J11" s="6"/>
      <c r="K11" s="6"/>
    </row>
    <row r="12" spans="1:11" x14ac:dyDescent="0.25">
      <c r="A12" s="1">
        <v>1789</v>
      </c>
      <c r="B12" s="4">
        <v>51.137724550898199</v>
      </c>
      <c r="C12" s="5">
        <f t="shared" si="0"/>
        <v>71.716351684470013</v>
      </c>
      <c r="D12" s="6"/>
      <c r="E12" s="6"/>
      <c r="F12" s="6"/>
      <c r="G12" s="6"/>
      <c r="H12" s="6"/>
      <c r="I12" s="6"/>
      <c r="J12" s="6"/>
      <c r="K12" s="6"/>
    </row>
    <row r="13" spans="1:11" x14ac:dyDescent="0.25">
      <c r="A13" s="2">
        <f t="shared" ref="A13:A21" si="1">A14-1</f>
        <v>1790</v>
      </c>
      <c r="B13" s="4">
        <v>53.053892215568865</v>
      </c>
      <c r="C13" s="5">
        <f t="shared" si="0"/>
        <v>74.403615447822531</v>
      </c>
      <c r="D13" s="6"/>
      <c r="E13" s="6"/>
      <c r="F13" s="6"/>
      <c r="G13" s="6"/>
      <c r="H13" s="6"/>
      <c r="I13" s="6"/>
      <c r="J13" s="6"/>
      <c r="K13" s="6"/>
    </row>
    <row r="14" spans="1:11" x14ac:dyDescent="0.25">
      <c r="A14" s="2">
        <f t="shared" si="1"/>
        <v>1791</v>
      </c>
      <c r="B14" s="4">
        <v>54.491017964071858</v>
      </c>
      <c r="C14" s="5">
        <f t="shared" si="0"/>
        <v>76.419063270336906</v>
      </c>
      <c r="D14" s="6"/>
      <c r="E14" s="6"/>
      <c r="F14" s="6"/>
      <c r="G14" s="6"/>
      <c r="H14" s="6"/>
      <c r="I14" s="6"/>
      <c r="J14" s="6"/>
      <c r="K14" s="6"/>
    </row>
    <row r="15" spans="1:11" x14ac:dyDescent="0.25">
      <c r="A15" s="2">
        <f t="shared" si="1"/>
        <v>1792</v>
      </c>
      <c r="B15" s="4">
        <v>55.508982035928149</v>
      </c>
      <c r="C15" s="5">
        <f t="shared" si="0"/>
        <v>77.846672144617926</v>
      </c>
      <c r="D15" s="6"/>
      <c r="E15" s="6"/>
      <c r="F15" s="6"/>
      <c r="G15" s="6"/>
      <c r="H15" s="6"/>
      <c r="I15" s="6"/>
      <c r="J15" s="6"/>
      <c r="K15" s="6"/>
    </row>
    <row r="16" spans="1:11" x14ac:dyDescent="0.25">
      <c r="A16" s="2">
        <f t="shared" si="1"/>
        <v>1793</v>
      </c>
      <c r="B16" s="4">
        <v>57.425149700598801</v>
      </c>
      <c r="C16" s="5">
        <f t="shared" si="0"/>
        <v>80.533935907970431</v>
      </c>
      <c r="D16" s="6"/>
      <c r="E16" s="6"/>
      <c r="F16" s="6"/>
      <c r="G16" s="6"/>
      <c r="H16" s="6"/>
      <c r="I16" s="6"/>
      <c r="J16" s="6"/>
      <c r="K16" s="6"/>
    </row>
    <row r="17" spans="1:11" x14ac:dyDescent="0.25">
      <c r="A17" s="2">
        <f t="shared" si="1"/>
        <v>1794</v>
      </c>
      <c r="B17" s="4">
        <v>63.712574850299404</v>
      </c>
      <c r="C17" s="5">
        <f t="shared" si="0"/>
        <v>89.351520131470835</v>
      </c>
      <c r="D17" s="6"/>
      <c r="E17" s="6"/>
      <c r="F17" s="6"/>
      <c r="G17" s="6"/>
      <c r="H17" s="6"/>
      <c r="I17" s="6"/>
      <c r="J17" s="6"/>
      <c r="K17" s="6"/>
    </row>
    <row r="18" spans="1:11" x14ac:dyDescent="0.25">
      <c r="A18" s="2">
        <f t="shared" si="1"/>
        <v>1795</v>
      </c>
      <c r="B18" s="4">
        <v>72.874251497005986</v>
      </c>
      <c r="C18" s="5">
        <f t="shared" si="0"/>
        <v>102.2</v>
      </c>
      <c r="D18" s="6"/>
      <c r="E18" s="6"/>
      <c r="F18" s="6"/>
      <c r="G18" s="6"/>
      <c r="H18" s="6"/>
      <c r="I18" s="6"/>
      <c r="J18" s="6"/>
      <c r="K18" s="6"/>
    </row>
    <row r="19" spans="1:11" x14ac:dyDescent="0.25">
      <c r="A19" s="2">
        <f t="shared" si="1"/>
        <v>1796</v>
      </c>
      <c r="B19" s="4">
        <v>76.706586826347305</v>
      </c>
      <c r="C19" s="5">
        <f t="shared" si="0"/>
        <v>107.57452752670503</v>
      </c>
      <c r="D19" s="6"/>
      <c r="E19" s="6"/>
      <c r="F19" s="6"/>
      <c r="G19" s="6"/>
      <c r="H19" s="6"/>
      <c r="I19" s="6"/>
      <c r="J19" s="6"/>
      <c r="K19" s="6"/>
    </row>
    <row r="20" spans="1:11" x14ac:dyDescent="0.25">
      <c r="A20" s="2">
        <f t="shared" si="1"/>
        <v>1797</v>
      </c>
      <c r="B20" s="4">
        <v>73.832335329341319</v>
      </c>
      <c r="C20" s="5">
        <f t="shared" si="0"/>
        <v>103.54363188167626</v>
      </c>
      <c r="D20" s="6"/>
      <c r="E20" s="6"/>
      <c r="F20" s="6"/>
      <c r="G20" s="6"/>
      <c r="H20" s="6"/>
      <c r="I20" s="6"/>
      <c r="J20" s="6"/>
      <c r="K20" s="6"/>
    </row>
    <row r="21" spans="1:11" x14ac:dyDescent="0.25">
      <c r="A21" s="2">
        <f t="shared" si="1"/>
        <v>1798</v>
      </c>
      <c r="B21" s="4">
        <v>71.377245508982043</v>
      </c>
      <c r="C21" s="5">
        <f t="shared" si="0"/>
        <v>100.10057518488087</v>
      </c>
      <c r="D21" s="6"/>
      <c r="E21" s="6"/>
      <c r="F21" s="6"/>
      <c r="G21" s="6"/>
      <c r="H21" s="6"/>
      <c r="I21" s="6"/>
      <c r="J21" s="6"/>
      <c r="K21" s="6"/>
    </row>
    <row r="22" spans="1:11" x14ac:dyDescent="0.25">
      <c r="A22" s="2">
        <f>A23-1</f>
        <v>1799</v>
      </c>
      <c r="B22" s="4">
        <v>71.377245508982043</v>
      </c>
      <c r="C22" s="5">
        <f t="shared" si="0"/>
        <v>100.10057518488087</v>
      </c>
      <c r="D22" s="6"/>
      <c r="E22" s="6"/>
      <c r="F22" s="6"/>
      <c r="G22" s="6"/>
      <c r="H22" s="6"/>
      <c r="I22" s="6"/>
      <c r="J22" s="6"/>
      <c r="K22" s="6"/>
    </row>
    <row r="23" spans="1:11" x14ac:dyDescent="0.25">
      <c r="A23" s="2">
        <v>1800</v>
      </c>
      <c r="B23" s="4">
        <v>72.874251497005986</v>
      </c>
      <c r="C23" s="3">
        <v>102.2</v>
      </c>
      <c r="D23" s="6"/>
      <c r="E23" s="6"/>
      <c r="F23" s="6"/>
      <c r="G23" s="6"/>
      <c r="H23" s="6"/>
      <c r="I23" s="6"/>
      <c r="J23" s="6">
        <v>59.591836734693878</v>
      </c>
      <c r="K23" s="6"/>
    </row>
    <row r="24" spans="1:11" x14ac:dyDescent="0.25">
      <c r="A24" s="2">
        <v>1801</v>
      </c>
      <c r="B24" s="4">
        <v>73.832335329341319</v>
      </c>
      <c r="C24" s="3">
        <v>112.6</v>
      </c>
      <c r="D24" s="6"/>
      <c r="E24" s="6"/>
      <c r="F24" s="6"/>
      <c r="G24" s="6"/>
      <c r="H24" s="6"/>
      <c r="I24" s="6"/>
      <c r="J24" s="6">
        <v>65.655976676384839</v>
      </c>
      <c r="K24" s="6"/>
    </row>
    <row r="25" spans="1:11" x14ac:dyDescent="0.25">
      <c r="A25" s="2">
        <v>1802</v>
      </c>
      <c r="B25" s="4">
        <v>62.215568862275454</v>
      </c>
      <c r="C25" s="3">
        <v>92.8</v>
      </c>
      <c r="D25" s="6"/>
      <c r="E25" s="6"/>
      <c r="F25" s="6"/>
      <c r="G25" s="6"/>
      <c r="H25" s="6"/>
      <c r="I25" s="6"/>
      <c r="J25" s="6">
        <v>54.110787172011662</v>
      </c>
      <c r="K25" s="6"/>
    </row>
    <row r="26" spans="1:11" x14ac:dyDescent="0.25">
      <c r="A26" s="2">
        <v>1803</v>
      </c>
      <c r="B26" s="4">
        <v>65.628742514970057</v>
      </c>
      <c r="C26" s="3">
        <v>93.5</v>
      </c>
      <c r="D26" s="6"/>
      <c r="E26" s="6"/>
      <c r="F26" s="6"/>
      <c r="G26" s="6"/>
      <c r="H26" s="6"/>
      <c r="I26" s="6"/>
      <c r="J26" s="6">
        <v>54.518950437317784</v>
      </c>
      <c r="K26" s="6"/>
    </row>
    <row r="27" spans="1:11" x14ac:dyDescent="0.25">
      <c r="A27" s="2">
        <v>1804</v>
      </c>
      <c r="B27" s="4">
        <v>68.502994011976057</v>
      </c>
      <c r="C27" s="3">
        <v>100</v>
      </c>
      <c r="D27" s="6"/>
      <c r="E27" s="6"/>
      <c r="F27" s="6"/>
      <c r="G27" s="6"/>
      <c r="H27" s="6"/>
      <c r="I27" s="6"/>
      <c r="J27" s="6">
        <v>58.309037900874635</v>
      </c>
      <c r="K27" s="6"/>
    </row>
    <row r="28" spans="1:11" x14ac:dyDescent="0.25">
      <c r="A28" s="2">
        <v>1805</v>
      </c>
      <c r="B28" s="4">
        <v>68.023952095808383</v>
      </c>
      <c r="C28" s="3">
        <v>111.9</v>
      </c>
      <c r="D28" s="6"/>
      <c r="E28" s="6"/>
      <c r="F28" s="6"/>
      <c r="G28" s="6"/>
      <c r="H28" s="6"/>
      <c r="I28" s="6"/>
      <c r="J28" s="6">
        <v>65.247813411078724</v>
      </c>
      <c r="K28" s="6"/>
    </row>
    <row r="29" spans="1:11" x14ac:dyDescent="0.25">
      <c r="A29" s="2">
        <v>1806</v>
      </c>
      <c r="B29" s="4">
        <v>70.898203592814369</v>
      </c>
      <c r="C29" s="3">
        <v>106.3</v>
      </c>
      <c r="D29" s="6"/>
      <c r="E29" s="6"/>
      <c r="F29" s="6"/>
      <c r="G29" s="6"/>
      <c r="H29" s="6"/>
      <c r="I29" s="6"/>
      <c r="J29" s="6">
        <v>61.982507288629741</v>
      </c>
      <c r="K29" s="6"/>
    </row>
    <row r="30" spans="1:11" x14ac:dyDescent="0.25">
      <c r="A30" s="2">
        <v>1807</v>
      </c>
      <c r="B30" s="4">
        <v>67.06586826347305</v>
      </c>
      <c r="C30" s="3">
        <v>103.1</v>
      </c>
      <c r="D30" s="6"/>
      <c r="E30" s="6"/>
      <c r="F30" s="6"/>
      <c r="G30" s="6"/>
      <c r="H30" s="6"/>
      <c r="I30" s="6"/>
      <c r="J30" s="6">
        <v>60.116618075801746</v>
      </c>
      <c r="K30" s="6"/>
    </row>
    <row r="31" spans="1:11" x14ac:dyDescent="0.25">
      <c r="A31" s="2">
        <v>1808</v>
      </c>
      <c r="B31" s="4">
        <v>72.874251497005986</v>
      </c>
      <c r="C31" s="3">
        <v>91.3</v>
      </c>
      <c r="D31" s="6"/>
      <c r="E31" s="6"/>
      <c r="F31" s="6"/>
      <c r="G31" s="6"/>
      <c r="H31" s="6"/>
      <c r="I31" s="6"/>
      <c r="J31" s="6">
        <v>53.236151603498541</v>
      </c>
      <c r="K31" s="6"/>
    </row>
    <row r="32" spans="1:11" x14ac:dyDescent="0.25">
      <c r="A32" s="2">
        <v>1809</v>
      </c>
      <c r="B32" s="4">
        <v>71.377245508982043</v>
      </c>
      <c r="C32" s="3">
        <v>103.1</v>
      </c>
      <c r="D32" s="6"/>
      <c r="E32" s="6"/>
      <c r="F32" s="6"/>
      <c r="G32" s="6"/>
      <c r="H32" s="6"/>
      <c r="I32" s="6"/>
      <c r="J32" s="6">
        <v>60.116618075801746</v>
      </c>
      <c r="K32" s="6"/>
    </row>
    <row r="33" spans="1:11" x14ac:dyDescent="0.25">
      <c r="A33" s="2">
        <v>1810</v>
      </c>
      <c r="B33" s="4">
        <v>71.377245508982043</v>
      </c>
      <c r="C33" s="3">
        <v>103.8</v>
      </c>
      <c r="D33" s="6"/>
      <c r="E33" s="6"/>
      <c r="F33" s="6"/>
      <c r="G33" s="6"/>
      <c r="H33" s="6"/>
      <c r="I33" s="6"/>
      <c r="J33" s="6">
        <v>60.524781341107875</v>
      </c>
      <c r="K33" s="6"/>
    </row>
    <row r="34" spans="1:11" x14ac:dyDescent="0.25">
      <c r="A34" s="2">
        <v>1811</v>
      </c>
      <c r="B34" s="4">
        <v>76.227544910179645</v>
      </c>
      <c r="C34" s="3">
        <v>100</v>
      </c>
      <c r="D34" s="6"/>
      <c r="E34" s="6"/>
      <c r="F34" s="6"/>
      <c r="G34" s="6"/>
      <c r="H34" s="6"/>
      <c r="I34" s="6"/>
      <c r="J34" s="6">
        <v>58.309037900874635</v>
      </c>
      <c r="K34" s="6"/>
    </row>
    <row r="35" spans="1:11" x14ac:dyDescent="0.25">
      <c r="A35" s="2">
        <v>1812</v>
      </c>
      <c r="B35" s="4">
        <v>77.185628742514979</v>
      </c>
      <c r="C35" s="3">
        <v>103.8</v>
      </c>
      <c r="D35" s="6"/>
      <c r="E35" s="6"/>
      <c r="F35" s="6"/>
      <c r="G35" s="6"/>
      <c r="H35" s="6"/>
      <c r="I35" s="6"/>
      <c r="J35" s="6">
        <v>60.524781341107875</v>
      </c>
      <c r="K35" s="6"/>
    </row>
    <row r="36" spans="1:11" x14ac:dyDescent="0.25">
      <c r="A36" s="2">
        <v>1813</v>
      </c>
      <c r="B36" s="4">
        <v>92.634730538922156</v>
      </c>
      <c r="C36" s="3">
        <v>128.5</v>
      </c>
      <c r="D36" s="6"/>
      <c r="E36" s="6"/>
      <c r="F36" s="6"/>
      <c r="G36" s="6"/>
      <c r="H36" s="6"/>
      <c r="I36" s="6"/>
      <c r="J36" s="6">
        <v>74.927113702623913</v>
      </c>
      <c r="K36" s="6"/>
    </row>
    <row r="37" spans="1:11" x14ac:dyDescent="0.25">
      <c r="A37" s="2">
        <v>1814</v>
      </c>
      <c r="B37" s="4">
        <v>101.79640718562875</v>
      </c>
      <c r="C37" s="3">
        <v>144.4</v>
      </c>
      <c r="D37" s="6"/>
      <c r="E37" s="6"/>
      <c r="F37" s="6"/>
      <c r="G37" s="6"/>
      <c r="H37" s="6"/>
      <c r="I37" s="6"/>
      <c r="J37" s="6">
        <v>84.198250728862973</v>
      </c>
      <c r="K37" s="6"/>
    </row>
    <row r="38" spans="1:11" x14ac:dyDescent="0.25">
      <c r="A38" s="2">
        <v>1815</v>
      </c>
      <c r="B38" s="4">
        <v>89.281437125748511</v>
      </c>
      <c r="C38" s="3">
        <v>134.80000000000001</v>
      </c>
      <c r="D38" s="6"/>
      <c r="E38" s="6"/>
      <c r="F38" s="6"/>
      <c r="G38" s="6"/>
      <c r="H38" s="6"/>
      <c r="I38" s="6"/>
      <c r="J38" s="6">
        <v>78.600583090379018</v>
      </c>
      <c r="K38" s="6"/>
    </row>
    <row r="39" spans="1:11" x14ac:dyDescent="0.25">
      <c r="A39" s="2">
        <v>1816</v>
      </c>
      <c r="B39" s="4">
        <v>81.556886227544908</v>
      </c>
      <c r="C39" s="3">
        <v>119.7</v>
      </c>
      <c r="D39" s="6"/>
      <c r="E39" s="6"/>
      <c r="F39" s="6"/>
      <c r="G39" s="6"/>
      <c r="H39" s="6"/>
      <c r="I39" s="6"/>
      <c r="J39" s="6">
        <v>69.795918367346943</v>
      </c>
      <c r="K39" s="6"/>
    </row>
    <row r="40" spans="1:11" x14ac:dyDescent="0.25">
      <c r="A40" s="2">
        <v>1817</v>
      </c>
      <c r="B40" s="4">
        <v>77.185628742514979</v>
      </c>
      <c r="C40" s="3">
        <v>119.7</v>
      </c>
      <c r="D40" s="6"/>
      <c r="E40" s="6"/>
      <c r="F40" s="6"/>
      <c r="G40" s="6"/>
      <c r="H40" s="6"/>
      <c r="I40" s="6"/>
      <c r="J40" s="6">
        <v>69.795918367346943</v>
      </c>
      <c r="K40" s="6"/>
    </row>
    <row r="41" spans="1:11" x14ac:dyDescent="0.25">
      <c r="A41" s="2">
        <v>1818</v>
      </c>
      <c r="B41" s="4">
        <v>73.832335329341319</v>
      </c>
      <c r="C41" s="3">
        <v>116.6</v>
      </c>
      <c r="D41" s="6"/>
      <c r="E41" s="6"/>
      <c r="F41" s="6"/>
      <c r="G41" s="6"/>
      <c r="H41" s="6"/>
      <c r="I41" s="6"/>
      <c r="J41" s="6">
        <v>67.988338192419832</v>
      </c>
      <c r="K41" s="6"/>
    </row>
    <row r="42" spans="1:11" x14ac:dyDescent="0.25">
      <c r="A42" s="2">
        <v>1819</v>
      </c>
      <c r="B42" s="4">
        <v>73.832335329341319</v>
      </c>
      <c r="C42" s="3">
        <v>99.1</v>
      </c>
      <c r="D42" s="6"/>
      <c r="E42" s="6"/>
      <c r="F42" s="6"/>
      <c r="G42" s="6"/>
      <c r="H42" s="6"/>
      <c r="I42" s="6"/>
      <c r="J42" s="6">
        <v>57.784256559766767</v>
      </c>
      <c r="K42" s="6"/>
    </row>
    <row r="43" spans="1:11" x14ac:dyDescent="0.25">
      <c r="A43" s="2">
        <v>1820</v>
      </c>
      <c r="B43" s="4">
        <v>68.023952095808383</v>
      </c>
      <c r="C43" s="3">
        <v>84.1</v>
      </c>
      <c r="D43" s="6"/>
      <c r="E43" s="6"/>
      <c r="F43" s="6"/>
      <c r="G43" s="6"/>
      <c r="H43" s="6"/>
      <c r="I43" s="6"/>
      <c r="J43" s="6">
        <v>49.037900874635568</v>
      </c>
      <c r="K43" s="6"/>
    </row>
    <row r="44" spans="1:11" x14ac:dyDescent="0.25">
      <c r="A44" s="2">
        <v>1821</v>
      </c>
      <c r="B44" s="4">
        <v>65.628742514970057</v>
      </c>
      <c r="C44" s="3">
        <v>84.1</v>
      </c>
      <c r="D44" s="6"/>
      <c r="E44" s="6"/>
      <c r="F44" s="6"/>
      <c r="G44" s="6"/>
      <c r="H44" s="6"/>
      <c r="I44" s="6"/>
      <c r="J44" s="6">
        <v>49.037900874635568</v>
      </c>
      <c r="K44" s="6"/>
    </row>
    <row r="45" spans="1:11" x14ac:dyDescent="0.25">
      <c r="A45" s="2">
        <v>1822</v>
      </c>
      <c r="B45" s="4">
        <v>68.023952095808383</v>
      </c>
      <c r="C45" s="3">
        <v>84.1</v>
      </c>
      <c r="D45" s="6"/>
      <c r="E45" s="6"/>
      <c r="F45" s="6"/>
      <c r="G45" s="6"/>
      <c r="H45" s="6"/>
      <c r="I45" s="6"/>
      <c r="J45" s="6">
        <v>49.037900874635568</v>
      </c>
      <c r="K45" s="6"/>
    </row>
    <row r="46" spans="1:11" x14ac:dyDescent="0.25">
      <c r="A46" s="2">
        <v>1823</v>
      </c>
      <c r="B46" s="4">
        <v>60.778443113772461</v>
      </c>
      <c r="C46" s="3">
        <v>81.599999999999994</v>
      </c>
      <c r="D46" s="6"/>
      <c r="E46" s="6"/>
      <c r="F46" s="6"/>
      <c r="G46" s="6"/>
      <c r="H46" s="6"/>
      <c r="I46" s="6"/>
      <c r="J46" s="6">
        <v>47.580174927113696</v>
      </c>
      <c r="K46" s="6"/>
    </row>
    <row r="47" spans="1:11" x14ac:dyDescent="0.25">
      <c r="A47" s="2">
        <v>1824</v>
      </c>
      <c r="B47" s="4">
        <v>55.988023952095809</v>
      </c>
      <c r="C47" s="3">
        <v>77.8</v>
      </c>
      <c r="D47" s="6"/>
      <c r="E47" s="6"/>
      <c r="F47" s="6"/>
      <c r="G47" s="6"/>
      <c r="H47" s="6"/>
      <c r="I47" s="6"/>
      <c r="J47" s="6">
        <v>45.36443148688047</v>
      </c>
      <c r="K47" s="6"/>
    </row>
    <row r="48" spans="1:11" x14ac:dyDescent="0.25">
      <c r="A48" s="2">
        <v>1825</v>
      </c>
      <c r="B48" s="4">
        <v>57.425149700598801</v>
      </c>
      <c r="C48" s="3">
        <v>81.599999999999994</v>
      </c>
      <c r="D48" s="6"/>
      <c r="E48" s="6"/>
      <c r="F48" s="6"/>
      <c r="G48" s="6"/>
      <c r="H48" s="6"/>
      <c r="I48" s="6"/>
      <c r="J48" s="6">
        <v>47.580174927113696</v>
      </c>
      <c r="K48" s="6"/>
    </row>
    <row r="49" spans="1:11" x14ac:dyDescent="0.25">
      <c r="A49" s="2">
        <v>1826</v>
      </c>
      <c r="B49" s="4">
        <v>57.425149700598801</v>
      </c>
      <c r="C49" s="3">
        <v>78.5</v>
      </c>
      <c r="D49" s="6"/>
      <c r="E49" s="6"/>
      <c r="F49" s="6"/>
      <c r="G49" s="6"/>
      <c r="H49" s="6"/>
      <c r="I49" s="6"/>
      <c r="J49" s="6">
        <v>45.772594752186592</v>
      </c>
      <c r="K49" s="6"/>
    </row>
    <row r="50" spans="1:11" x14ac:dyDescent="0.25">
      <c r="A50" s="2">
        <v>1827</v>
      </c>
      <c r="B50" s="4">
        <v>57.904191616766468</v>
      </c>
      <c r="C50" s="3">
        <v>77.8</v>
      </c>
      <c r="D50" s="6"/>
      <c r="E50" s="6"/>
      <c r="F50" s="6"/>
      <c r="G50" s="6"/>
      <c r="H50" s="6"/>
      <c r="I50" s="6"/>
      <c r="J50" s="6">
        <v>45.36443148688047</v>
      </c>
      <c r="K50" s="6"/>
    </row>
    <row r="51" spans="1:11" x14ac:dyDescent="0.25">
      <c r="A51" s="2">
        <v>1828</v>
      </c>
      <c r="B51" s="4">
        <v>55.029940119760482</v>
      </c>
      <c r="C51" s="3">
        <v>76.900000000000006</v>
      </c>
      <c r="D51" s="6"/>
      <c r="E51" s="6"/>
      <c r="F51" s="6"/>
      <c r="G51" s="6"/>
      <c r="H51" s="6"/>
      <c r="I51" s="6"/>
      <c r="J51" s="6">
        <v>44.839650145772602</v>
      </c>
      <c r="K51" s="6"/>
    </row>
    <row r="52" spans="1:11" x14ac:dyDescent="0.25">
      <c r="A52" s="2">
        <v>1829</v>
      </c>
      <c r="B52" s="4">
        <v>54.011976047904191</v>
      </c>
      <c r="C52" s="3">
        <v>76.2</v>
      </c>
      <c r="D52" s="6"/>
      <c r="E52" s="6"/>
      <c r="F52" s="6"/>
      <c r="G52" s="6"/>
      <c r="H52" s="6"/>
      <c r="I52" s="6"/>
      <c r="J52" s="6">
        <v>44.431486880466473</v>
      </c>
      <c r="K52" s="6"/>
    </row>
    <row r="53" spans="1:11" x14ac:dyDescent="0.25">
      <c r="A53" s="2">
        <v>1830</v>
      </c>
      <c r="B53" s="4">
        <v>53.532934131736532</v>
      </c>
      <c r="C53" s="3">
        <v>72.2</v>
      </c>
      <c r="D53" s="6"/>
      <c r="E53" s="6"/>
      <c r="F53" s="6"/>
      <c r="G53" s="6"/>
      <c r="H53" s="6"/>
      <c r="I53" s="6"/>
      <c r="J53" s="6">
        <v>42.099125364431487</v>
      </c>
      <c r="K53" s="6"/>
    </row>
    <row r="54" spans="1:11" x14ac:dyDescent="0.25">
      <c r="A54" s="2">
        <v>1831</v>
      </c>
      <c r="B54" s="4">
        <v>50.179640718562887</v>
      </c>
      <c r="C54" s="3">
        <v>74.400000000000006</v>
      </c>
      <c r="D54" s="6"/>
      <c r="E54" s="6"/>
      <c r="F54" s="6"/>
      <c r="G54" s="6"/>
      <c r="H54" s="6"/>
      <c r="I54" s="6"/>
      <c r="J54" s="6">
        <v>43.381924198250736</v>
      </c>
      <c r="K54" s="6"/>
    </row>
    <row r="55" spans="1:11" x14ac:dyDescent="0.25">
      <c r="A55" s="2">
        <v>1832</v>
      </c>
      <c r="B55" s="4">
        <v>49.70059880239522</v>
      </c>
      <c r="C55" s="3">
        <v>75.3</v>
      </c>
      <c r="D55" s="6"/>
      <c r="E55" s="6"/>
      <c r="F55" s="6"/>
      <c r="G55" s="6"/>
      <c r="H55" s="6"/>
      <c r="I55" s="6"/>
      <c r="J55" s="6">
        <v>43.906705539358597</v>
      </c>
      <c r="K55" s="6"/>
    </row>
    <row r="56" spans="1:11" x14ac:dyDescent="0.25">
      <c r="A56" s="2">
        <v>1833</v>
      </c>
      <c r="B56" s="4">
        <v>48.742514970059879</v>
      </c>
      <c r="C56" s="3">
        <v>75.3</v>
      </c>
      <c r="D56" s="6"/>
      <c r="E56" s="6"/>
      <c r="F56" s="6"/>
      <c r="G56" s="6"/>
      <c r="H56" s="6"/>
      <c r="I56" s="6"/>
      <c r="J56" s="6">
        <v>43.906705539358597</v>
      </c>
      <c r="K56" s="6"/>
    </row>
    <row r="57" spans="1:11" x14ac:dyDescent="0.25">
      <c r="A57" s="2">
        <v>1834</v>
      </c>
      <c r="B57" s="4">
        <v>49.70059880239522</v>
      </c>
      <c r="C57" s="3">
        <v>71.3</v>
      </c>
      <c r="D57" s="6"/>
      <c r="E57" s="6"/>
      <c r="F57" s="6"/>
      <c r="G57" s="6"/>
      <c r="H57" s="6"/>
      <c r="I57" s="6"/>
      <c r="J57" s="6">
        <v>41.574344023323619</v>
      </c>
      <c r="K57" s="6"/>
    </row>
    <row r="58" spans="1:11" x14ac:dyDescent="0.25">
      <c r="A58" s="2">
        <v>1835</v>
      </c>
      <c r="B58" s="4">
        <v>51.137724550898199</v>
      </c>
      <c r="C58" s="3">
        <v>79.400000000000006</v>
      </c>
      <c r="D58" s="6"/>
      <c r="E58" s="6"/>
      <c r="F58" s="6"/>
      <c r="G58" s="6"/>
      <c r="H58" s="6"/>
      <c r="I58" s="6"/>
      <c r="J58" s="6">
        <v>46.297376093294467</v>
      </c>
      <c r="K58" s="6"/>
    </row>
    <row r="59" spans="1:11" x14ac:dyDescent="0.25">
      <c r="A59" s="2">
        <v>1836</v>
      </c>
      <c r="B59" s="4">
        <v>54.011976047904191</v>
      </c>
      <c r="C59" s="3">
        <v>90.4</v>
      </c>
      <c r="D59" s="6"/>
      <c r="E59" s="6"/>
      <c r="F59" s="6"/>
      <c r="G59" s="6"/>
      <c r="H59" s="6"/>
      <c r="I59" s="6"/>
      <c r="J59" s="6">
        <v>52.711370262390673</v>
      </c>
      <c r="K59" s="6"/>
    </row>
    <row r="60" spans="1:11" x14ac:dyDescent="0.25">
      <c r="A60" s="2">
        <v>1837</v>
      </c>
      <c r="B60" s="4">
        <v>55.508982035928149</v>
      </c>
      <c r="C60" s="3">
        <v>91.3</v>
      </c>
      <c r="D60" s="6"/>
      <c r="E60" s="6"/>
      <c r="F60" s="6"/>
      <c r="G60" s="6"/>
      <c r="H60" s="6"/>
      <c r="I60" s="6"/>
      <c r="J60" s="6">
        <v>53.236151603498541</v>
      </c>
      <c r="K60" s="6"/>
    </row>
    <row r="61" spans="1:11" x14ac:dyDescent="0.25">
      <c r="A61" s="2">
        <v>1838</v>
      </c>
      <c r="B61" s="4">
        <v>54.011976047904191</v>
      </c>
      <c r="C61" s="3">
        <v>87.2</v>
      </c>
      <c r="D61" s="6"/>
      <c r="E61" s="6"/>
      <c r="F61" s="6"/>
      <c r="G61" s="6"/>
      <c r="H61" s="6"/>
      <c r="I61" s="6"/>
      <c r="J61" s="6">
        <v>50.845481049562679</v>
      </c>
      <c r="K61" s="6"/>
    </row>
    <row r="62" spans="1:11" x14ac:dyDescent="0.25">
      <c r="A62" s="2">
        <v>1839</v>
      </c>
      <c r="B62" s="4">
        <v>54.011976047904191</v>
      </c>
      <c r="C62" s="3">
        <v>88.8</v>
      </c>
      <c r="D62" s="6"/>
      <c r="E62" s="6"/>
      <c r="F62" s="6"/>
      <c r="G62" s="6"/>
      <c r="H62" s="6"/>
      <c r="I62" s="6"/>
      <c r="J62" s="6">
        <v>51.778425655976676</v>
      </c>
      <c r="K62" s="6"/>
    </row>
    <row r="63" spans="1:11" x14ac:dyDescent="0.25">
      <c r="A63" s="2">
        <v>1840</v>
      </c>
      <c r="B63" s="4">
        <v>50.179640718562887</v>
      </c>
      <c r="C63" s="3">
        <v>75.3</v>
      </c>
      <c r="D63" s="6"/>
      <c r="E63" s="6"/>
      <c r="F63" s="6"/>
      <c r="G63" s="6"/>
      <c r="H63" s="6"/>
      <c r="I63" s="6"/>
      <c r="J63" s="6">
        <v>43.906705539358597</v>
      </c>
      <c r="K63" s="6"/>
    </row>
    <row r="64" spans="1:11" x14ac:dyDescent="0.25">
      <c r="A64" s="2">
        <v>1841</v>
      </c>
      <c r="B64" s="4">
        <v>50.658682634730546</v>
      </c>
      <c r="C64" s="3">
        <v>72.900000000000006</v>
      </c>
      <c r="D64" s="6"/>
      <c r="E64" s="6"/>
      <c r="F64" s="6"/>
      <c r="G64" s="6"/>
      <c r="H64" s="6"/>
      <c r="I64" s="6"/>
      <c r="J64" s="6">
        <v>42.507288629737616</v>
      </c>
      <c r="K64" s="6"/>
    </row>
    <row r="65" spans="1:11" x14ac:dyDescent="0.25">
      <c r="A65" s="2">
        <v>1842</v>
      </c>
      <c r="B65" s="4">
        <v>47.305389221556887</v>
      </c>
      <c r="C65" s="3">
        <v>65</v>
      </c>
      <c r="D65" s="6"/>
      <c r="E65" s="6"/>
      <c r="F65" s="6"/>
      <c r="G65" s="6"/>
      <c r="H65" s="6"/>
      <c r="I65" s="6"/>
      <c r="J65" s="6">
        <v>37.900874635568513</v>
      </c>
      <c r="K65" s="6"/>
    </row>
    <row r="66" spans="1:11" x14ac:dyDescent="0.25">
      <c r="A66" s="2">
        <v>1843</v>
      </c>
      <c r="B66" s="4">
        <v>42.93413173652695</v>
      </c>
      <c r="C66" s="3">
        <v>59.4</v>
      </c>
      <c r="D66" s="6"/>
      <c r="E66" s="6"/>
      <c r="F66" s="6"/>
      <c r="G66" s="6"/>
      <c r="H66" s="6"/>
      <c r="I66" s="6"/>
      <c r="J66" s="6">
        <v>34.63556851311953</v>
      </c>
      <c r="K66" s="6"/>
    </row>
    <row r="67" spans="1:11" x14ac:dyDescent="0.25">
      <c r="A67" s="2">
        <v>1844</v>
      </c>
      <c r="B67" s="4">
        <v>43.41317365269461</v>
      </c>
      <c r="C67" s="3">
        <v>61</v>
      </c>
      <c r="D67" s="6"/>
      <c r="E67" s="6"/>
      <c r="F67" s="6"/>
      <c r="G67" s="6"/>
      <c r="H67" s="6"/>
      <c r="I67" s="6"/>
      <c r="J67" s="6">
        <v>35.568513119533527</v>
      </c>
      <c r="K67" s="6"/>
    </row>
    <row r="68" spans="1:11" x14ac:dyDescent="0.25">
      <c r="A68" s="2">
        <v>1845</v>
      </c>
      <c r="B68" s="4">
        <v>43.892215568862277</v>
      </c>
      <c r="C68" s="3">
        <v>65.900000000000006</v>
      </c>
      <c r="D68" s="6"/>
      <c r="E68" s="6"/>
      <c r="F68" s="6"/>
      <c r="G68" s="6"/>
      <c r="H68" s="6"/>
      <c r="I68" s="6"/>
      <c r="J68" s="6">
        <v>38.425655976676389</v>
      </c>
      <c r="K68" s="6"/>
    </row>
    <row r="69" spans="1:11" x14ac:dyDescent="0.25">
      <c r="A69" s="2">
        <v>1846</v>
      </c>
      <c r="B69" s="4">
        <v>44.371257485029943</v>
      </c>
      <c r="C69" s="3">
        <v>65.900000000000006</v>
      </c>
      <c r="D69" s="6"/>
      <c r="E69" s="6"/>
      <c r="F69" s="6"/>
      <c r="G69" s="6"/>
      <c r="H69" s="6"/>
      <c r="I69" s="6"/>
      <c r="J69" s="6">
        <v>38.425655976676389</v>
      </c>
      <c r="K69" s="6"/>
    </row>
    <row r="70" spans="1:11" x14ac:dyDescent="0.25">
      <c r="A70" s="2">
        <v>1847</v>
      </c>
      <c r="B70" s="4">
        <v>47.784431137724553</v>
      </c>
      <c r="C70" s="3">
        <v>71.3</v>
      </c>
      <c r="D70" s="6"/>
      <c r="E70" s="6"/>
      <c r="F70" s="6"/>
      <c r="G70" s="6"/>
      <c r="H70" s="6"/>
      <c r="I70" s="6"/>
      <c r="J70" s="6">
        <v>41.574344023323619</v>
      </c>
      <c r="K70" s="6"/>
    </row>
    <row r="71" spans="1:11" x14ac:dyDescent="0.25">
      <c r="A71" s="2">
        <v>1848</v>
      </c>
      <c r="B71" s="4">
        <v>45.808383233532936</v>
      </c>
      <c r="C71" s="3">
        <v>65</v>
      </c>
      <c r="D71" s="6"/>
      <c r="E71" s="6"/>
      <c r="F71" s="6"/>
      <c r="G71" s="6"/>
      <c r="H71" s="6"/>
      <c r="I71" s="6"/>
      <c r="J71" s="6">
        <v>37.900874635568513</v>
      </c>
      <c r="K71" s="6"/>
    </row>
    <row r="72" spans="1:11" x14ac:dyDescent="0.25">
      <c r="A72" s="2">
        <v>1849</v>
      </c>
      <c r="B72" s="4">
        <v>44.371257485029943</v>
      </c>
      <c r="C72" s="3">
        <v>65</v>
      </c>
      <c r="D72" s="6"/>
      <c r="E72" s="6"/>
      <c r="F72" s="6"/>
      <c r="G72" s="6"/>
      <c r="H72" s="6"/>
      <c r="I72" s="6"/>
      <c r="J72" s="6">
        <v>37.900874635568513</v>
      </c>
      <c r="K72" s="6"/>
    </row>
    <row r="73" spans="1:11" x14ac:dyDescent="0.25">
      <c r="A73" s="2">
        <v>1850</v>
      </c>
      <c r="B73" s="4">
        <v>45.32934131736527</v>
      </c>
      <c r="C73" s="3">
        <v>66.599999999999994</v>
      </c>
      <c r="D73" s="6"/>
      <c r="E73" s="6"/>
      <c r="F73" s="6"/>
      <c r="G73" s="6"/>
      <c r="H73" s="6"/>
      <c r="I73" s="6"/>
      <c r="J73" s="6">
        <v>38.833819241982503</v>
      </c>
      <c r="K73" s="6"/>
    </row>
    <row r="74" spans="1:11" x14ac:dyDescent="0.25">
      <c r="A74" s="2">
        <v>1851</v>
      </c>
      <c r="B74" s="4">
        <v>44.371257485029943</v>
      </c>
      <c r="C74" s="3">
        <v>65.900000000000006</v>
      </c>
      <c r="D74" s="6"/>
      <c r="E74" s="6"/>
      <c r="F74" s="6"/>
      <c r="G74" s="6"/>
      <c r="H74" s="6"/>
      <c r="I74" s="6"/>
      <c r="J74" s="6">
        <v>38.425655976676389</v>
      </c>
      <c r="K74" s="6"/>
    </row>
    <row r="75" spans="1:11" x14ac:dyDescent="0.25">
      <c r="A75" s="2">
        <v>1852</v>
      </c>
      <c r="B75" s="4">
        <v>44.85029940119761</v>
      </c>
      <c r="C75" s="3">
        <v>69.7</v>
      </c>
      <c r="D75" s="6"/>
      <c r="E75" s="6"/>
      <c r="F75" s="6"/>
      <c r="G75" s="6"/>
      <c r="H75" s="6"/>
      <c r="I75" s="6"/>
      <c r="J75" s="6">
        <v>40.641399416909621</v>
      </c>
      <c r="K75" s="6"/>
    </row>
    <row r="76" spans="1:11" x14ac:dyDescent="0.25">
      <c r="A76" s="2">
        <v>1853</v>
      </c>
      <c r="B76" s="4">
        <v>44.85029940119761</v>
      </c>
      <c r="C76" s="3">
        <v>76.900000000000006</v>
      </c>
      <c r="D76" s="6"/>
      <c r="E76" s="6"/>
      <c r="F76" s="6"/>
      <c r="G76" s="6"/>
      <c r="H76" s="6"/>
      <c r="I76" s="6"/>
      <c r="J76" s="6">
        <v>44.839650145772602</v>
      </c>
      <c r="K76" s="6"/>
    </row>
    <row r="77" spans="1:11" x14ac:dyDescent="0.25">
      <c r="A77" s="2">
        <v>1854</v>
      </c>
      <c r="B77" s="4">
        <v>48.742514970059879</v>
      </c>
      <c r="C77" s="3">
        <v>85.7</v>
      </c>
      <c r="D77" s="6"/>
      <c r="E77" s="6"/>
      <c r="F77" s="6"/>
      <c r="G77" s="6"/>
      <c r="H77" s="6"/>
      <c r="I77" s="6"/>
      <c r="J77" s="6">
        <v>49.970845481049565</v>
      </c>
      <c r="K77" s="6"/>
    </row>
    <row r="78" spans="1:11" x14ac:dyDescent="0.25">
      <c r="A78" s="2">
        <v>1855</v>
      </c>
      <c r="B78" s="4">
        <v>50.179640718562887</v>
      </c>
      <c r="C78" s="3">
        <v>87.2</v>
      </c>
      <c r="D78" s="6"/>
      <c r="E78" s="6"/>
      <c r="F78" s="6"/>
      <c r="G78" s="6"/>
      <c r="H78" s="6"/>
      <c r="I78" s="6"/>
      <c r="J78" s="6">
        <v>50.845481049562679</v>
      </c>
      <c r="K78" s="6"/>
    </row>
    <row r="79" spans="1:11" x14ac:dyDescent="0.25">
      <c r="A79" s="2">
        <v>1856</v>
      </c>
      <c r="B79" s="4">
        <v>49.221556886227553</v>
      </c>
      <c r="C79" s="3">
        <v>83.2</v>
      </c>
      <c r="D79" s="6"/>
      <c r="E79" s="6"/>
      <c r="F79" s="6"/>
      <c r="G79" s="6"/>
      <c r="H79" s="6"/>
      <c r="I79" s="6"/>
      <c r="J79" s="6">
        <v>48.5131195335277</v>
      </c>
      <c r="K79" s="6"/>
    </row>
    <row r="80" spans="1:11" x14ac:dyDescent="0.25">
      <c r="A80" s="2">
        <v>1857</v>
      </c>
      <c r="B80" s="4">
        <v>50.658682634730546</v>
      </c>
      <c r="C80" s="3">
        <v>88.1</v>
      </c>
      <c r="D80" s="6">
        <v>7.7313387499999964</v>
      </c>
      <c r="E80" s="6">
        <v>296.21987547892707</v>
      </c>
      <c r="F80" s="6">
        <v>1.8419156730769264E-2</v>
      </c>
      <c r="G80" s="6">
        <v>7.4086132698704996E-2</v>
      </c>
      <c r="H80" s="6"/>
      <c r="I80" s="6"/>
      <c r="J80" s="6">
        <v>51.370262390670554</v>
      </c>
      <c r="K80" s="8">
        <f t="shared" ref="K80:K143" si="2">E80/J80</f>
        <v>5.7663687451346188</v>
      </c>
    </row>
    <row r="81" spans="1:11" x14ac:dyDescent="0.25">
      <c r="A81" s="2">
        <v>1858</v>
      </c>
      <c r="B81" s="4">
        <v>47.784431137724553</v>
      </c>
      <c r="C81" s="3">
        <v>73.8</v>
      </c>
      <c r="D81" s="6">
        <v>7.0948699999999967</v>
      </c>
      <c r="E81" s="6">
        <v>271.83409961685811</v>
      </c>
      <c r="F81" s="6">
        <v>0.23326425051078309</v>
      </c>
      <c r="G81" s="6">
        <v>5.6997248190728503E-2</v>
      </c>
      <c r="H81" s="6"/>
      <c r="I81" s="6"/>
      <c r="J81" s="6">
        <v>43.032069970845484</v>
      </c>
      <c r="K81" s="8">
        <f t="shared" si="2"/>
        <v>6.3170119355408083</v>
      </c>
    </row>
    <row r="82" spans="1:11" x14ac:dyDescent="0.25">
      <c r="A82" s="2">
        <v>1859</v>
      </c>
      <c r="B82" s="4">
        <v>48.26347305389222</v>
      </c>
      <c r="C82" s="3">
        <v>76.3</v>
      </c>
      <c r="D82" s="6">
        <v>6.809896249999996</v>
      </c>
      <c r="E82" s="6">
        <v>260.9155651340995</v>
      </c>
      <c r="F82" s="6">
        <v>3.422362374661244E-2</v>
      </c>
      <c r="G82" s="6">
        <v>3.9351702355764899E-2</v>
      </c>
      <c r="H82" s="6"/>
      <c r="I82" s="6"/>
      <c r="J82" s="6">
        <v>44.489795918367349</v>
      </c>
      <c r="K82" s="8">
        <f t="shared" si="2"/>
        <v>5.864615913564621</v>
      </c>
    </row>
    <row r="83" spans="1:11" x14ac:dyDescent="0.25">
      <c r="A83" s="2">
        <v>1860</v>
      </c>
      <c r="B83" s="4">
        <v>48.26347305389222</v>
      </c>
      <c r="C83" s="3">
        <v>73.8</v>
      </c>
      <c r="D83" s="6">
        <v>6.6141649999999963</v>
      </c>
      <c r="E83" s="6">
        <v>253.41628352490406</v>
      </c>
      <c r="F83" s="6">
        <v>9.8907049737876757E-2</v>
      </c>
      <c r="G83" s="6">
        <v>2.2355461384919999E-2</v>
      </c>
      <c r="H83" s="6"/>
      <c r="I83" s="6"/>
      <c r="J83" s="6">
        <v>43.032069970845484</v>
      </c>
      <c r="K83" s="8">
        <f t="shared" si="2"/>
        <v>5.889009840721009</v>
      </c>
    </row>
    <row r="84" spans="1:11" x14ac:dyDescent="0.25">
      <c r="A84" s="2">
        <v>1861</v>
      </c>
      <c r="B84" s="4">
        <v>51.137724550898199</v>
      </c>
      <c r="C84" s="3">
        <v>70.599999999999994</v>
      </c>
      <c r="D84" s="6">
        <v>6.9294337499999994</v>
      </c>
      <c r="E84" s="6">
        <v>265.49554597701149</v>
      </c>
      <c r="F84" s="6">
        <v>0.11265477110433618</v>
      </c>
      <c r="G84" s="6">
        <v>7.1631744457418397E-3</v>
      </c>
      <c r="H84" s="6"/>
      <c r="I84" s="6"/>
      <c r="J84" s="6">
        <v>41.166180758017489</v>
      </c>
      <c r="K84" s="8">
        <f t="shared" si="2"/>
        <v>6.4493606423594159</v>
      </c>
    </row>
    <row r="85" spans="1:11" x14ac:dyDescent="0.25">
      <c r="A85" s="2">
        <v>1862</v>
      </c>
      <c r="B85" s="4">
        <v>58.383233532934135</v>
      </c>
      <c r="C85" s="3">
        <v>82.5</v>
      </c>
      <c r="D85" s="6">
        <v>6.037282499999999</v>
      </c>
      <c r="E85" s="6">
        <v>231.31350574712641</v>
      </c>
      <c r="F85" s="6">
        <v>-0.10818241579320131</v>
      </c>
      <c r="G85" s="6">
        <v>-4.3049639080708999E-3</v>
      </c>
      <c r="H85" s="6"/>
      <c r="I85" s="6"/>
      <c r="J85" s="6">
        <v>48.104956268221578</v>
      </c>
      <c r="K85" s="8">
        <f t="shared" si="2"/>
        <v>4.8085171194705669</v>
      </c>
    </row>
    <row r="86" spans="1:11" x14ac:dyDescent="0.25">
      <c r="A86" s="2">
        <v>1863</v>
      </c>
      <c r="B86" s="4">
        <v>72.874251497005986</v>
      </c>
      <c r="C86" s="3">
        <v>105.4</v>
      </c>
      <c r="D86" s="6">
        <v>5.2131124999999958</v>
      </c>
      <c r="E86" s="6">
        <v>199.73611111111097</v>
      </c>
      <c r="F86" s="6">
        <v>-0.22544463257575753</v>
      </c>
      <c r="G86" s="6">
        <v>-9.0738908672767498E-3</v>
      </c>
      <c r="H86" s="6"/>
      <c r="I86" s="6"/>
      <c r="J86" s="6">
        <v>61.457725947521865</v>
      </c>
      <c r="K86" s="8">
        <f t="shared" si="2"/>
        <v>3.2499756219692157</v>
      </c>
    </row>
    <row r="87" spans="1:11" x14ac:dyDescent="0.25">
      <c r="A87" s="2">
        <v>1864</v>
      </c>
      <c r="B87" s="4">
        <v>91.197604790419163</v>
      </c>
      <c r="C87" s="3">
        <v>153.1</v>
      </c>
      <c r="D87" s="6">
        <v>5.2906750000000029</v>
      </c>
      <c r="E87" s="6">
        <v>202.70785440613039</v>
      </c>
      <c r="F87" s="6">
        <v>-0.39965491982922186</v>
      </c>
      <c r="G87" s="6">
        <v>-5.2072939835535702E-3</v>
      </c>
      <c r="H87" s="6"/>
      <c r="I87" s="6"/>
      <c r="J87" s="6">
        <v>89.27113702623906</v>
      </c>
      <c r="K87" s="8">
        <f t="shared" si="2"/>
        <v>2.2706986956663204</v>
      </c>
    </row>
    <row r="88" spans="1:11" x14ac:dyDescent="0.25">
      <c r="A88" s="2">
        <v>1865</v>
      </c>
      <c r="B88" s="4">
        <v>94.550898203592823</v>
      </c>
      <c r="C88" s="3">
        <v>146.6</v>
      </c>
      <c r="D88" s="6">
        <v>6.5960974999999955</v>
      </c>
      <c r="E88" s="6">
        <v>252.7240421455937</v>
      </c>
      <c r="F88" s="6">
        <v>0.10841688616917035</v>
      </c>
      <c r="G88" s="6">
        <v>7.0674781000934902E-3</v>
      </c>
      <c r="H88" s="6"/>
      <c r="I88" s="6"/>
      <c r="J88" s="6">
        <v>85.481049562682216</v>
      </c>
      <c r="K88" s="8">
        <f t="shared" si="2"/>
        <v>2.9564920346500219</v>
      </c>
    </row>
    <row r="89" spans="1:11" x14ac:dyDescent="0.25">
      <c r="A89" s="2">
        <v>1866</v>
      </c>
      <c r="B89" s="4">
        <v>92.155688622754496</v>
      </c>
      <c r="C89" s="3">
        <v>137.9</v>
      </c>
      <c r="D89" s="6">
        <v>6.9744199999999958</v>
      </c>
      <c r="E89" s="6">
        <v>267.21915708812247</v>
      </c>
      <c r="F89" s="6">
        <v>0.1290893568894951</v>
      </c>
      <c r="G89" s="6">
        <v>2.35786496804949E-2</v>
      </c>
      <c r="H89" s="6"/>
      <c r="I89" s="6"/>
      <c r="J89" s="6">
        <v>80.408163265306129</v>
      </c>
      <c r="K89" s="8">
        <f t="shared" si="2"/>
        <v>3.3232839333294417</v>
      </c>
    </row>
    <row r="90" spans="1:11" x14ac:dyDescent="0.25">
      <c r="A90" s="2">
        <v>1867</v>
      </c>
      <c r="B90" s="4">
        <v>85.868263473053901</v>
      </c>
      <c r="C90" s="3">
        <v>128.5</v>
      </c>
      <c r="D90" s="6">
        <v>6.92833875</v>
      </c>
      <c r="E90" s="6">
        <v>265.45359195402301</v>
      </c>
      <c r="F90" s="6">
        <v>0.13744872470087019</v>
      </c>
      <c r="G90" s="6">
        <v>4.1167970273480202E-2</v>
      </c>
      <c r="H90" s="6"/>
      <c r="I90" s="6"/>
      <c r="J90" s="6">
        <v>74.927113702623913</v>
      </c>
      <c r="K90" s="8">
        <f t="shared" si="2"/>
        <v>3.5428242038999955</v>
      </c>
    </row>
    <row r="91" spans="1:11" x14ac:dyDescent="0.25">
      <c r="A91" s="2">
        <v>1868</v>
      </c>
      <c r="B91" s="4">
        <v>82.514970059880241</v>
      </c>
      <c r="C91" s="3">
        <v>125.3</v>
      </c>
      <c r="D91" s="6">
        <v>6.853696249999996</v>
      </c>
      <c r="E91" s="6">
        <v>262.59372605363973</v>
      </c>
      <c r="F91" s="6">
        <v>9.3439686235408603E-2</v>
      </c>
      <c r="G91" s="6">
        <v>5.7732302898074003E-2</v>
      </c>
      <c r="H91" s="6"/>
      <c r="I91" s="6"/>
      <c r="J91" s="6">
        <v>73.061224489795919</v>
      </c>
      <c r="K91" s="8">
        <f t="shared" si="2"/>
        <v>3.5941599376056832</v>
      </c>
    </row>
    <row r="92" spans="1:11" x14ac:dyDescent="0.25">
      <c r="A92" s="2">
        <v>1869</v>
      </c>
      <c r="B92" s="4">
        <v>79.101796407185631</v>
      </c>
      <c r="C92" s="3">
        <v>119.7</v>
      </c>
      <c r="D92" s="6">
        <v>7.1427762499999954</v>
      </c>
      <c r="E92" s="6">
        <v>273.66958812260521</v>
      </c>
      <c r="F92" s="6">
        <v>0.1161204999301675</v>
      </c>
      <c r="G92" s="6">
        <v>7.2131330870566099E-2</v>
      </c>
      <c r="H92" s="6"/>
      <c r="I92" s="6"/>
      <c r="J92" s="6">
        <v>69.795918367346943</v>
      </c>
      <c r="K92" s="8">
        <f t="shared" si="2"/>
        <v>3.9209970228092557</v>
      </c>
    </row>
    <row r="93" spans="1:11" x14ac:dyDescent="0.25">
      <c r="A93" s="2">
        <v>1870</v>
      </c>
      <c r="B93" s="4">
        <v>75.748502994011986</v>
      </c>
      <c r="C93" s="3">
        <v>107</v>
      </c>
      <c r="D93" s="6">
        <v>7.0171249999999956</v>
      </c>
      <c r="E93" s="6">
        <v>268.85536398467417</v>
      </c>
      <c r="F93" s="6">
        <v>0.17626982978279027</v>
      </c>
      <c r="G93" s="6">
        <v>8.3581814478265404E-2</v>
      </c>
      <c r="H93" s="6"/>
      <c r="I93" s="6"/>
      <c r="J93" s="6">
        <v>62.390670553935863</v>
      </c>
      <c r="K93" s="8">
        <f t="shared" si="2"/>
        <v>4.3092238246141701</v>
      </c>
    </row>
    <row r="94" spans="1:11" x14ac:dyDescent="0.25">
      <c r="A94" s="2">
        <v>1871</v>
      </c>
      <c r="B94" s="4">
        <v>70.898203592814369</v>
      </c>
      <c r="C94" s="3">
        <v>103.1</v>
      </c>
      <c r="D94" s="6">
        <v>6.9444899999999992</v>
      </c>
      <c r="E94" s="6">
        <v>266.07241379310346</v>
      </c>
      <c r="F94" s="6">
        <v>0.1058934981308412</v>
      </c>
      <c r="G94" s="6">
        <v>9.1740400699775501E-2</v>
      </c>
      <c r="H94" s="6">
        <v>5.8558558558558556</v>
      </c>
      <c r="I94" s="6">
        <v>5.32</v>
      </c>
      <c r="J94" s="6">
        <v>60.116618075801746</v>
      </c>
      <c r="K94" s="8">
        <f t="shared" si="2"/>
        <v>4.4259378240074927</v>
      </c>
    </row>
    <row r="95" spans="1:11" x14ac:dyDescent="0.25">
      <c r="A95" s="2">
        <v>1872</v>
      </c>
      <c r="B95" s="4">
        <v>70.898203592814369</v>
      </c>
      <c r="C95" s="3">
        <v>107.8</v>
      </c>
      <c r="D95" s="6">
        <v>6.7727575000000035</v>
      </c>
      <c r="E95" s="6">
        <v>259.49262452107297</v>
      </c>
      <c r="F95" s="6">
        <v>2.2140766076624671E-2</v>
      </c>
      <c r="G95" s="6">
        <v>9.7190618368917098E-2</v>
      </c>
      <c r="H95" s="6">
        <v>6.1728395061728394</v>
      </c>
      <c r="I95" s="6">
        <v>5.36</v>
      </c>
      <c r="J95" s="6">
        <v>62.857142857142854</v>
      </c>
      <c r="K95" s="8">
        <f t="shared" si="2"/>
        <v>4.1282917537443433</v>
      </c>
    </row>
    <row r="96" spans="1:11" x14ac:dyDescent="0.25">
      <c r="A96" s="2">
        <v>1873</v>
      </c>
      <c r="B96" s="4">
        <v>69.461077844311376</v>
      </c>
      <c r="C96" s="3">
        <v>105.4</v>
      </c>
      <c r="D96" s="6">
        <v>6.8043300000000002</v>
      </c>
      <c r="E96" s="6">
        <v>260.70229885057472</v>
      </c>
      <c r="F96" s="6">
        <v>9.0306750834879365E-2</v>
      </c>
      <c r="G96" s="6">
        <v>0.100657492312513</v>
      </c>
      <c r="H96" s="6">
        <v>6.4579256360078272</v>
      </c>
      <c r="I96" s="6">
        <v>5.58</v>
      </c>
      <c r="J96" s="6">
        <v>61.457725947521865</v>
      </c>
      <c r="K96" s="8">
        <f t="shared" si="2"/>
        <v>4.2419776330999586</v>
      </c>
    </row>
    <row r="97" spans="1:11" x14ac:dyDescent="0.25">
      <c r="A97" s="2">
        <v>1874</v>
      </c>
      <c r="B97" s="4">
        <v>66.107784431137731</v>
      </c>
      <c r="C97" s="3">
        <v>100</v>
      </c>
      <c r="D97" s="6">
        <v>6.461503750000003</v>
      </c>
      <c r="E97" s="6">
        <v>247.56719348659016</v>
      </c>
      <c r="F97" s="6">
        <v>0.11584843408444026</v>
      </c>
      <c r="G97" s="6">
        <v>0.10211554117369701</v>
      </c>
      <c r="H97" s="6">
        <v>7.0815450643776821</v>
      </c>
      <c r="I97" s="6">
        <v>5.47</v>
      </c>
      <c r="J97" s="6">
        <v>58.309037900874635</v>
      </c>
      <c r="K97" s="8">
        <f t="shared" si="2"/>
        <v>4.2457773682950215</v>
      </c>
    </row>
    <row r="98" spans="1:11" x14ac:dyDescent="0.25">
      <c r="A98" s="2">
        <v>1875</v>
      </c>
      <c r="B98" s="4">
        <v>63.712574850299404</v>
      </c>
      <c r="C98" s="3">
        <v>93.5</v>
      </c>
      <c r="D98" s="6">
        <v>5.9767837499999992</v>
      </c>
      <c r="E98" s="6">
        <v>228.99554597701149</v>
      </c>
      <c r="F98" s="6">
        <v>0.12476783749999999</v>
      </c>
      <c r="G98" s="6">
        <v>0.10143580867247901</v>
      </c>
      <c r="H98" s="6">
        <v>6.607929515418502</v>
      </c>
      <c r="I98" s="6">
        <v>5.07</v>
      </c>
      <c r="J98" s="6">
        <v>54.518950437317784</v>
      </c>
      <c r="K98" s="8">
        <f t="shared" si="2"/>
        <v>4.2002926347655052</v>
      </c>
    </row>
    <row r="99" spans="1:11" x14ac:dyDescent="0.25">
      <c r="A99" s="2">
        <v>1876</v>
      </c>
      <c r="B99" s="4">
        <v>62.215568862275454</v>
      </c>
      <c r="C99" s="3">
        <v>87.2</v>
      </c>
      <c r="D99" s="6">
        <v>5.6595075000000001</v>
      </c>
      <c r="E99" s="6">
        <v>216.83936781609196</v>
      </c>
      <c r="F99" s="6">
        <v>0.12397475414438508</v>
      </c>
      <c r="G99" s="6">
        <v>9.8626683117128799E-2</v>
      </c>
      <c r="H99" s="6">
        <v>6.7264573991031389</v>
      </c>
      <c r="I99" s="6">
        <v>4.59</v>
      </c>
      <c r="J99" s="6">
        <v>50.845481049562679</v>
      </c>
      <c r="K99" s="8">
        <f t="shared" si="2"/>
        <v>4.2646733463830016</v>
      </c>
    </row>
    <row r="100" spans="1:11" x14ac:dyDescent="0.25">
      <c r="A100" s="2">
        <v>1877</v>
      </c>
      <c r="B100" s="4">
        <v>60.778443113772461</v>
      </c>
      <c r="C100" s="3">
        <v>84.1</v>
      </c>
      <c r="D100" s="6">
        <v>5.6699099999999998</v>
      </c>
      <c r="E100" s="6">
        <v>217.23793103448276</v>
      </c>
      <c r="F100" s="6">
        <v>9.2249558715596272E-2</v>
      </c>
      <c r="G100" s="6">
        <v>9.39298947291939E-2</v>
      </c>
      <c r="H100" s="6">
        <v>5.352112676056338</v>
      </c>
      <c r="I100" s="6">
        <v>4.45</v>
      </c>
      <c r="J100" s="6">
        <v>49.037900874635568</v>
      </c>
      <c r="K100" s="8">
        <f t="shared" si="2"/>
        <v>4.4300006150313669</v>
      </c>
    </row>
    <row r="101" spans="1:11" x14ac:dyDescent="0.25">
      <c r="A101" s="2">
        <v>1878</v>
      </c>
      <c r="B101" s="4">
        <v>57.904191616766468</v>
      </c>
      <c r="C101" s="3">
        <v>72.2</v>
      </c>
      <c r="D101" s="6">
        <v>5.5876937500000032</v>
      </c>
      <c r="E101" s="6">
        <v>214.08788314176257</v>
      </c>
      <c r="F101" s="6">
        <v>0.1973751539090369</v>
      </c>
      <c r="G101" s="6">
        <v>8.7840606899050003E-2</v>
      </c>
      <c r="H101" s="6">
        <v>5.5384615384615383</v>
      </c>
      <c r="I101" s="6">
        <v>4.34</v>
      </c>
      <c r="J101" s="6">
        <v>42.099125364431487</v>
      </c>
      <c r="K101" s="8">
        <f t="shared" si="2"/>
        <v>5.0853285261512857</v>
      </c>
    </row>
    <row r="102" spans="1:11" x14ac:dyDescent="0.25">
      <c r="A102" s="2">
        <v>1879</v>
      </c>
      <c r="B102" s="4">
        <v>57.904191616766468</v>
      </c>
      <c r="C102" s="3">
        <v>71.3</v>
      </c>
      <c r="D102" s="6">
        <v>5.21575875</v>
      </c>
      <c r="E102" s="6">
        <v>199.83750000000001</v>
      </c>
      <c r="F102" s="6">
        <v>6.462296146121875E-2</v>
      </c>
      <c r="G102" s="6">
        <v>8.0837184069780604E-2</v>
      </c>
      <c r="H102" s="6">
        <v>5.5865921787709496</v>
      </c>
      <c r="I102" s="6">
        <v>4.22</v>
      </c>
      <c r="J102" s="6">
        <v>41.574344023323619</v>
      </c>
      <c r="K102" s="8">
        <f t="shared" si="2"/>
        <v>4.806750525946704</v>
      </c>
    </row>
    <row r="103" spans="1:11" x14ac:dyDescent="0.25">
      <c r="A103" s="2">
        <v>1880</v>
      </c>
      <c r="B103" s="4">
        <v>59.341317365269461</v>
      </c>
      <c r="C103" s="3">
        <v>79.400000000000006</v>
      </c>
      <c r="D103" s="6">
        <v>4.8923687500000037</v>
      </c>
      <c r="E103" s="6">
        <v>187.44707854406147</v>
      </c>
      <c r="F103" s="6">
        <v>-6.4680800578541406E-2</v>
      </c>
      <c r="G103" s="6">
        <v>7.4493384615478997E-2</v>
      </c>
      <c r="H103" s="6">
        <v>5.0880626223091969</v>
      </c>
      <c r="I103" s="6">
        <v>4.0199999999999996</v>
      </c>
      <c r="J103" s="6">
        <v>46.297376093294467</v>
      </c>
      <c r="K103" s="8">
        <f t="shared" si="2"/>
        <v>4.0487624647741232</v>
      </c>
    </row>
    <row r="104" spans="1:11" x14ac:dyDescent="0.25">
      <c r="A104" s="2">
        <v>1881</v>
      </c>
      <c r="B104" s="4">
        <v>59.341317365269461</v>
      </c>
      <c r="C104" s="3">
        <v>81.599999999999994</v>
      </c>
      <c r="D104" s="6">
        <v>4.5343037500000039</v>
      </c>
      <c r="E104" s="6">
        <v>173.72811302682007</v>
      </c>
      <c r="F104" s="6">
        <v>1.7635228935768594E-2</v>
      </c>
      <c r="G104" s="6">
        <v>7.0220795069540404E-2</v>
      </c>
      <c r="H104" s="6">
        <v>5.1696284329563813</v>
      </c>
      <c r="I104" s="6">
        <v>3.7</v>
      </c>
      <c r="J104" s="6">
        <v>47.580174927113696</v>
      </c>
      <c r="K104" s="8">
        <f t="shared" si="2"/>
        <v>3.6512710029533881</v>
      </c>
    </row>
    <row r="105" spans="1:11" x14ac:dyDescent="0.25">
      <c r="A105" s="2">
        <v>1882</v>
      </c>
      <c r="B105" s="4">
        <v>59.341317365269461</v>
      </c>
      <c r="C105" s="3">
        <v>85.7</v>
      </c>
      <c r="D105" s="6">
        <v>4.5962624999999999</v>
      </c>
      <c r="E105" s="6">
        <v>176.10201149425288</v>
      </c>
      <c r="F105" s="6">
        <v>-4.2824730392158963E-3</v>
      </c>
      <c r="G105" s="6">
        <v>6.8039268119205298E-2</v>
      </c>
      <c r="H105" s="6">
        <v>5.4054054054054053</v>
      </c>
      <c r="I105" s="6">
        <v>3.62</v>
      </c>
      <c r="J105" s="6">
        <v>49.970845481049565</v>
      </c>
      <c r="K105" s="8">
        <f t="shared" si="2"/>
        <v>3.5240950958301478</v>
      </c>
    </row>
    <row r="106" spans="1:11" x14ac:dyDescent="0.25">
      <c r="A106" s="2">
        <v>1883</v>
      </c>
      <c r="B106" s="4">
        <v>58.143712574850312</v>
      </c>
      <c r="C106" s="3">
        <v>80</v>
      </c>
      <c r="D106" s="6">
        <v>4.619074999999996</v>
      </c>
      <c r="E106" s="6">
        <v>176.97605363984661</v>
      </c>
      <c r="F106" s="6">
        <v>0.11270183518086355</v>
      </c>
      <c r="G106" s="6">
        <v>6.7442848501018796E-2</v>
      </c>
      <c r="H106" s="6">
        <v>5.6798623063683307</v>
      </c>
      <c r="I106" s="6">
        <v>3.63</v>
      </c>
      <c r="J106" s="6">
        <v>46.647230320699705</v>
      </c>
      <c r="K106" s="8">
        <f t="shared" si="2"/>
        <v>3.7939241499042118</v>
      </c>
    </row>
    <row r="107" spans="1:11" x14ac:dyDescent="0.25">
      <c r="A107" s="2">
        <v>1884</v>
      </c>
      <c r="B107" s="4">
        <v>56.946107784431142</v>
      </c>
      <c r="C107" s="3">
        <v>73.8</v>
      </c>
      <c r="D107" s="6">
        <v>4.5616787500000031</v>
      </c>
      <c r="E107" s="6">
        <v>174.77696360153269</v>
      </c>
      <c r="F107" s="6">
        <v>0.12311678749999991</v>
      </c>
      <c r="G107" s="6">
        <v>6.7202388270334104E-2</v>
      </c>
      <c r="H107" s="6">
        <v>5.9845559845559846</v>
      </c>
      <c r="I107" s="6">
        <v>3.62</v>
      </c>
      <c r="J107" s="6">
        <v>43.032069970845484</v>
      </c>
      <c r="K107" s="8">
        <f t="shared" si="2"/>
        <v>4.0615513899272155</v>
      </c>
    </row>
    <row r="108" spans="1:11" x14ac:dyDescent="0.25">
      <c r="A108" s="2">
        <v>1885</v>
      </c>
      <c r="B108" s="4">
        <v>55.808383233532936</v>
      </c>
      <c r="C108" s="3">
        <v>67.5</v>
      </c>
      <c r="D108" s="6">
        <v>4.3439562499999962</v>
      </c>
      <c r="E108" s="6">
        <v>166.43510536398452</v>
      </c>
      <c r="F108" s="6">
        <v>0.12880541615853661</v>
      </c>
      <c r="G108" s="6">
        <v>6.6541310997493899E-2</v>
      </c>
      <c r="H108" s="6">
        <v>5.6603773584905657</v>
      </c>
      <c r="I108" s="6">
        <v>3.52</v>
      </c>
      <c r="J108" s="6">
        <v>39.358600583090379</v>
      </c>
      <c r="K108" s="8">
        <f t="shared" si="2"/>
        <v>4.2286845288775323</v>
      </c>
    </row>
    <row r="109" spans="1:11" x14ac:dyDescent="0.25">
      <c r="A109" s="2">
        <v>1886</v>
      </c>
      <c r="B109" s="4">
        <v>54.610778443113766</v>
      </c>
      <c r="C109" s="3">
        <v>65</v>
      </c>
      <c r="D109" s="6">
        <v>4.0464812500000038</v>
      </c>
      <c r="E109" s="6">
        <v>155.03759578544077</v>
      </c>
      <c r="F109" s="6">
        <v>7.7501849537037065E-2</v>
      </c>
      <c r="G109" s="6">
        <v>6.5242216370137704E-2</v>
      </c>
      <c r="H109" s="6">
        <v>4.2307692307692308</v>
      </c>
      <c r="I109" s="6">
        <v>3.37</v>
      </c>
      <c r="J109" s="6">
        <v>37.900874635568513</v>
      </c>
      <c r="K109" s="8">
        <f t="shared" si="2"/>
        <v>4.0906073349543215</v>
      </c>
    </row>
    <row r="110" spans="1:11" x14ac:dyDescent="0.25">
      <c r="A110" s="2">
        <v>1887</v>
      </c>
      <c r="B110" s="4">
        <v>55.209580838323362</v>
      </c>
      <c r="C110" s="3">
        <v>67.5</v>
      </c>
      <c r="D110" s="6">
        <v>4.1170174999999958</v>
      </c>
      <c r="E110" s="6">
        <v>157.74013409961671</v>
      </c>
      <c r="F110" s="6">
        <v>2.7086365384615049E-3</v>
      </c>
      <c r="G110" s="6">
        <v>6.3710390965930203E-2</v>
      </c>
      <c r="H110" s="6">
        <v>4.4802867383512543</v>
      </c>
      <c r="I110" s="6">
        <v>3.52</v>
      </c>
      <c r="J110" s="6">
        <v>39.358600583090379</v>
      </c>
      <c r="K110" s="8">
        <f t="shared" si="2"/>
        <v>4.0077678515680395</v>
      </c>
    </row>
    <row r="111" spans="1:11" x14ac:dyDescent="0.25">
      <c r="A111" s="2">
        <v>1888</v>
      </c>
      <c r="B111" s="4">
        <v>55.209580838323362</v>
      </c>
      <c r="C111" s="3">
        <v>68.2</v>
      </c>
      <c r="D111" s="6">
        <v>4.036626250000003</v>
      </c>
      <c r="E111" s="6">
        <v>154.66000957854416</v>
      </c>
      <c r="F111" s="6">
        <v>2.9995892129629668E-2</v>
      </c>
      <c r="G111" s="6">
        <v>6.2473699198834401E-2</v>
      </c>
      <c r="H111" s="6">
        <v>4.3314500941619585</v>
      </c>
      <c r="I111" s="6">
        <v>3.67</v>
      </c>
      <c r="J111" s="6">
        <v>39.766763848396501</v>
      </c>
      <c r="K111" s="8">
        <f t="shared" si="2"/>
        <v>3.8891776602229213</v>
      </c>
    </row>
    <row r="112" spans="1:11" x14ac:dyDescent="0.25">
      <c r="A112" s="2">
        <v>1889</v>
      </c>
      <c r="B112" s="4">
        <v>53.41317365269461</v>
      </c>
      <c r="C112" s="3">
        <v>64.099999999999994</v>
      </c>
      <c r="D112" s="6">
        <v>3.8793112499999998</v>
      </c>
      <c r="E112" s="6">
        <v>148.63261494252873</v>
      </c>
      <c r="F112" s="6">
        <v>9.8910414552785986E-2</v>
      </c>
      <c r="G112" s="6">
        <v>6.1450001573154403E-2</v>
      </c>
      <c r="H112" s="6">
        <v>4.1984732824427482</v>
      </c>
      <c r="I112" s="6">
        <v>3.45</v>
      </c>
      <c r="J112" s="6">
        <v>37.376093294460638</v>
      </c>
      <c r="K112" s="8">
        <f t="shared" si="2"/>
        <v>3.9766760472143026</v>
      </c>
    </row>
    <row r="113" spans="1:11" x14ac:dyDescent="0.25">
      <c r="A113" s="2">
        <v>1890</v>
      </c>
      <c r="B113" s="4">
        <v>52.814371257485035</v>
      </c>
      <c r="C113" s="3">
        <v>65</v>
      </c>
      <c r="D113" s="6">
        <v>4.0163687500000034</v>
      </c>
      <c r="E113" s="6">
        <v>153.88386015325685</v>
      </c>
      <c r="F113" s="6">
        <v>2.6123125877535038E-2</v>
      </c>
      <c r="G113" s="6">
        <v>6.0232421601205802E-2</v>
      </c>
      <c r="H113" s="6">
        <v>4.0892193308550189</v>
      </c>
      <c r="I113" s="6">
        <v>3.42</v>
      </c>
      <c r="J113" s="6">
        <v>37.900874635568513</v>
      </c>
      <c r="K113" s="8">
        <f t="shared" si="2"/>
        <v>4.0601664640436228</v>
      </c>
    </row>
    <row r="114" spans="1:11" x14ac:dyDescent="0.25">
      <c r="A114" s="2">
        <v>1891</v>
      </c>
      <c r="B114" s="4">
        <v>52.814371257485035</v>
      </c>
      <c r="C114" s="3">
        <v>64.599999999999994</v>
      </c>
      <c r="D114" s="6">
        <v>4.1980474999999959</v>
      </c>
      <c r="E114" s="6">
        <v>160.84473180076614</v>
      </c>
      <c r="F114" s="6">
        <v>4.8134321153846325E-2</v>
      </c>
      <c r="G114" s="6">
        <v>5.87886827795727E-2</v>
      </c>
      <c r="H114" s="6">
        <v>4.5454545454545459</v>
      </c>
      <c r="I114" s="6">
        <v>3.62</v>
      </c>
      <c r="J114" s="6">
        <v>37.667638483965007</v>
      </c>
      <c r="K114" s="8">
        <f t="shared" si="2"/>
        <v>4.270103947961517</v>
      </c>
    </row>
    <row r="115" spans="1:11" x14ac:dyDescent="0.25">
      <c r="A115" s="2">
        <v>1892</v>
      </c>
      <c r="B115" s="4">
        <v>52.814371257485035</v>
      </c>
      <c r="C115" s="3">
        <v>60.3</v>
      </c>
      <c r="D115" s="6">
        <v>4.0708450000000029</v>
      </c>
      <c r="E115" s="6">
        <v>155.97107279693498</v>
      </c>
      <c r="F115" s="6">
        <v>0.10727191749225989</v>
      </c>
      <c r="G115" s="6">
        <v>5.6745384388827001E-2</v>
      </c>
      <c r="H115" s="6">
        <v>4.3557168784029043</v>
      </c>
      <c r="I115" s="6">
        <v>3.6</v>
      </c>
      <c r="J115" s="6">
        <v>35.160349854227405</v>
      </c>
      <c r="K115" s="8">
        <f t="shared" si="2"/>
        <v>4.4359931981217828</v>
      </c>
    </row>
    <row r="116" spans="1:11" x14ac:dyDescent="0.25">
      <c r="A116" s="2">
        <v>1893</v>
      </c>
      <c r="B116" s="4">
        <v>52.215568862275461</v>
      </c>
      <c r="C116" s="3">
        <v>61.9</v>
      </c>
      <c r="D116" s="6">
        <v>4.1831737499999999</v>
      </c>
      <c r="E116" s="6">
        <v>160.27485632183908</v>
      </c>
      <c r="F116" s="6">
        <v>1.5297740816749499E-2</v>
      </c>
      <c r="G116" s="6">
        <v>5.3622538881745098E-2</v>
      </c>
      <c r="H116" s="6">
        <v>4.4563279857397502</v>
      </c>
      <c r="I116" s="6">
        <v>3.75</v>
      </c>
      <c r="J116" s="6">
        <v>36.093294460641403</v>
      </c>
      <c r="K116" s="8">
        <f t="shared" si="2"/>
        <v>4.4405715442965104</v>
      </c>
    </row>
    <row r="117" spans="1:11" x14ac:dyDescent="0.25">
      <c r="A117" s="2">
        <v>1894</v>
      </c>
      <c r="B117" s="4">
        <v>49.940119760479043</v>
      </c>
      <c r="C117" s="3">
        <v>55.4</v>
      </c>
      <c r="D117" s="6">
        <v>3.9468362500000036</v>
      </c>
      <c r="E117" s="6">
        <v>151.21977969348674</v>
      </c>
      <c r="F117" s="6">
        <v>0.1444764400444265</v>
      </c>
      <c r="G117" s="6">
        <v>4.9445404867215E-2</v>
      </c>
      <c r="H117" s="6">
        <v>4.8611111111111107</v>
      </c>
      <c r="I117" s="6">
        <v>3.7</v>
      </c>
      <c r="J117" s="6">
        <v>32.303206997084551</v>
      </c>
      <c r="K117" s="8">
        <f t="shared" si="2"/>
        <v>4.6812621331106454</v>
      </c>
    </row>
    <row r="118" spans="1:11" x14ac:dyDescent="0.25">
      <c r="A118" s="2">
        <v>1895</v>
      </c>
      <c r="B118" s="4">
        <v>48.742514970059879</v>
      </c>
      <c r="C118" s="3">
        <v>56.5</v>
      </c>
      <c r="D118" s="6">
        <v>3.804394999999996</v>
      </c>
      <c r="E118" s="6">
        <v>145.76226053639832</v>
      </c>
      <c r="F118" s="6">
        <v>1.8188354332129914E-2</v>
      </c>
      <c r="G118" s="6">
        <v>4.3856015565307403E-2</v>
      </c>
      <c r="H118" s="6">
        <v>4.4705882352941178</v>
      </c>
      <c r="I118" s="6">
        <v>3.46</v>
      </c>
      <c r="J118" s="6">
        <v>32.944606413994173</v>
      </c>
      <c r="K118" s="8">
        <f t="shared" si="2"/>
        <v>4.4244650764588158</v>
      </c>
    </row>
    <row r="119" spans="1:11" x14ac:dyDescent="0.25">
      <c r="A119" s="2">
        <v>1896</v>
      </c>
      <c r="B119" s="4">
        <v>48.742514970059879</v>
      </c>
      <c r="C119" s="3">
        <v>53.8</v>
      </c>
      <c r="D119" s="6">
        <v>3.8523012499999965</v>
      </c>
      <c r="E119" s="6">
        <v>147.59774904214547</v>
      </c>
      <c r="F119" s="6">
        <v>8.631062311946909E-2</v>
      </c>
      <c r="G119" s="6">
        <v>3.7446750147420799E-2</v>
      </c>
      <c r="H119" s="6">
        <v>4.2154566744730682</v>
      </c>
      <c r="I119" s="6">
        <v>3.6</v>
      </c>
      <c r="J119" s="6">
        <v>31.370262390670554</v>
      </c>
      <c r="K119" s="8">
        <f t="shared" si="2"/>
        <v>4.7050211822914401</v>
      </c>
    </row>
    <row r="120" spans="1:11" x14ac:dyDescent="0.25">
      <c r="A120" s="2">
        <v>1897</v>
      </c>
      <c r="B120" s="4">
        <v>48.143712574850298</v>
      </c>
      <c r="C120" s="3">
        <v>53.8</v>
      </c>
      <c r="D120" s="6">
        <v>3.6372250000000035</v>
      </c>
      <c r="E120" s="6">
        <v>139.35727969348673</v>
      </c>
      <c r="F120" s="6">
        <v>3.6372250000000036E-2</v>
      </c>
      <c r="G120" s="6">
        <v>3.0553327629300599E-2</v>
      </c>
      <c r="H120" s="6">
        <v>4.2654028436018958</v>
      </c>
      <c r="I120" s="6">
        <v>3.4</v>
      </c>
      <c r="J120" s="6">
        <v>31.370262390670554</v>
      </c>
      <c r="K120" s="8">
        <f t="shared" si="2"/>
        <v>4.4423370757310359</v>
      </c>
    </row>
    <row r="121" spans="1:11" x14ac:dyDescent="0.25">
      <c r="A121" s="2">
        <v>1898</v>
      </c>
      <c r="B121" s="4">
        <v>48.143712574850298</v>
      </c>
      <c r="C121" s="3">
        <v>56.1</v>
      </c>
      <c r="D121" s="6">
        <v>3.5729849999999996</v>
      </c>
      <c r="E121" s="6">
        <v>136.89597701149427</v>
      </c>
      <c r="F121" s="6">
        <v>-7.0210793680298283E-3</v>
      </c>
      <c r="G121" s="6">
        <v>2.4000099525217901E-2</v>
      </c>
      <c r="H121" s="6">
        <v>4.0983606557377046</v>
      </c>
      <c r="I121" s="6">
        <v>3.35</v>
      </c>
      <c r="J121" s="6">
        <v>32.711370262390673</v>
      </c>
      <c r="K121" s="8">
        <f t="shared" si="2"/>
        <v>4.1849661421517403</v>
      </c>
    </row>
    <row r="122" spans="1:11" x14ac:dyDescent="0.25">
      <c r="A122" s="2">
        <v>1899</v>
      </c>
      <c r="B122" s="4">
        <v>48.143712574850298</v>
      </c>
      <c r="C122" s="3">
        <v>60.3</v>
      </c>
      <c r="D122" s="6">
        <v>3.4278062500000037</v>
      </c>
      <c r="E122" s="6">
        <v>131.33357279693502</v>
      </c>
      <c r="F122" s="6">
        <v>-4.0588247660427679E-2</v>
      </c>
      <c r="G122" s="6">
        <v>1.8669584073150901E-2</v>
      </c>
      <c r="H122" s="6">
        <v>3.4539473684210527</v>
      </c>
      <c r="I122" s="6">
        <v>3.1</v>
      </c>
      <c r="J122" s="6">
        <v>35.160349854227405</v>
      </c>
      <c r="K122" s="8">
        <f t="shared" si="2"/>
        <v>3.7352749145396942</v>
      </c>
    </row>
    <row r="123" spans="1:11" x14ac:dyDescent="0.25">
      <c r="A123" s="2">
        <v>1900</v>
      </c>
      <c r="B123" s="4">
        <v>48.742514970059879</v>
      </c>
      <c r="C123" s="3">
        <v>64.8</v>
      </c>
      <c r="D123" s="6">
        <v>3.4841987500000036</v>
      </c>
      <c r="E123" s="6">
        <v>133.49420498084305</v>
      </c>
      <c r="F123" s="6">
        <v>-3.9784878171641849E-2</v>
      </c>
      <c r="G123" s="6">
        <v>1.51340985158256E-2</v>
      </c>
      <c r="H123" s="6">
        <v>4.918032786885246</v>
      </c>
      <c r="I123" s="6">
        <v>3.15</v>
      </c>
      <c r="J123" s="6">
        <v>37.784256559766767</v>
      </c>
      <c r="K123" s="8">
        <f t="shared" si="2"/>
        <v>3.5330642213294108</v>
      </c>
    </row>
    <row r="124" spans="1:11" x14ac:dyDescent="0.25">
      <c r="A124" s="2">
        <v>1901</v>
      </c>
      <c r="B124" s="4">
        <v>49.341317365269461</v>
      </c>
      <c r="C124" s="3">
        <v>63.9</v>
      </c>
      <c r="D124" s="6">
        <v>3.4832862499999964</v>
      </c>
      <c r="E124" s="6">
        <v>133.45924329501904</v>
      </c>
      <c r="F124" s="6">
        <v>4.8721751388888943E-2</v>
      </c>
      <c r="G124" s="6">
        <v>1.33733642552364E-2</v>
      </c>
      <c r="H124" s="6">
        <v>4.5261669024045261</v>
      </c>
      <c r="I124" s="6">
        <v>3.1</v>
      </c>
      <c r="J124" s="6">
        <v>37.259475218658892</v>
      </c>
      <c r="K124" s="8">
        <f t="shared" si="2"/>
        <v>3.5818873591699161</v>
      </c>
    </row>
    <row r="125" spans="1:11" x14ac:dyDescent="0.25">
      <c r="A125" s="2">
        <v>1902</v>
      </c>
      <c r="B125" s="4">
        <v>49.940119760479043</v>
      </c>
      <c r="C125" s="3">
        <v>68.2</v>
      </c>
      <c r="D125" s="6">
        <v>3.5667799999999961</v>
      </c>
      <c r="E125" s="6">
        <v>136.65823754789258</v>
      </c>
      <c r="F125" s="6">
        <v>-3.1624844757433518E-2</v>
      </c>
      <c r="G125" s="6">
        <v>1.28179617082195E-2</v>
      </c>
      <c r="H125" s="6">
        <v>4.0640394088669956</v>
      </c>
      <c r="I125" s="6">
        <v>3.18</v>
      </c>
      <c r="J125" s="6">
        <v>39.766763848396501</v>
      </c>
      <c r="K125" s="8">
        <f t="shared" si="2"/>
        <v>3.4364938034404076</v>
      </c>
    </row>
    <row r="126" spans="1:11" x14ac:dyDescent="0.25">
      <c r="A126" s="2">
        <v>1903</v>
      </c>
      <c r="B126" s="4">
        <v>51.077844311377241</v>
      </c>
      <c r="C126" s="3">
        <v>69.099999999999994</v>
      </c>
      <c r="D126" s="6">
        <v>3.8224624999999963</v>
      </c>
      <c r="E126" s="6">
        <v>146.45450191570868</v>
      </c>
      <c r="F126" s="6">
        <v>2.5028144061583629E-2</v>
      </c>
      <c r="G126" s="6">
        <v>1.32519376490588E-2</v>
      </c>
      <c r="H126" s="6">
        <v>4.1371158392434983</v>
      </c>
      <c r="I126" s="6">
        <v>3.3</v>
      </c>
      <c r="J126" s="6">
        <v>40.291545189504369</v>
      </c>
      <c r="K126" s="8">
        <f t="shared" si="2"/>
        <v>3.6348693311930593</v>
      </c>
    </row>
    <row r="127" spans="1:11" x14ac:dyDescent="0.25">
      <c r="A127" s="2">
        <v>1904</v>
      </c>
      <c r="B127" s="4">
        <v>51.676646706586837</v>
      </c>
      <c r="C127" s="3">
        <v>69.099999999999994</v>
      </c>
      <c r="D127" s="6">
        <v>3.8477387500000035</v>
      </c>
      <c r="E127" s="6">
        <v>147.42294061302698</v>
      </c>
      <c r="F127" s="6">
        <v>3.8477387500000036E-2</v>
      </c>
      <c r="G127" s="6">
        <v>1.4014959234955901E-2</v>
      </c>
      <c r="H127" s="6">
        <v>4.6407185628742518</v>
      </c>
      <c r="I127" s="6">
        <v>3.4</v>
      </c>
      <c r="J127" s="6">
        <v>40.291545189504369</v>
      </c>
      <c r="K127" s="8">
        <f t="shared" si="2"/>
        <v>3.6589051107285284</v>
      </c>
    </row>
    <row r="128" spans="1:11" x14ac:dyDescent="0.25">
      <c r="A128" s="2">
        <v>1905</v>
      </c>
      <c r="B128" s="4">
        <v>51.077844311377241</v>
      </c>
      <c r="C128" s="3">
        <v>69.5</v>
      </c>
      <c r="D128" s="6">
        <v>3.7906162499999998</v>
      </c>
      <c r="E128" s="6">
        <v>145.23433908045976</v>
      </c>
      <c r="F128" s="6">
        <v>3.2117450488422378E-2</v>
      </c>
      <c r="G128" s="6">
        <v>1.4564474246621901E-2</v>
      </c>
      <c r="H128" s="6">
        <v>3.9145907473309611</v>
      </c>
      <c r="I128" s="6">
        <v>3.48</v>
      </c>
      <c r="J128" s="6">
        <v>40.524781341107875</v>
      </c>
      <c r="K128" s="8">
        <f t="shared" si="2"/>
        <v>3.5838401657983954</v>
      </c>
    </row>
    <row r="129" spans="1:11" x14ac:dyDescent="0.25">
      <c r="A129" s="2">
        <v>1906</v>
      </c>
      <c r="B129" s="4">
        <v>52.215568862275461</v>
      </c>
      <c r="C129" s="3">
        <v>71.5</v>
      </c>
      <c r="D129" s="6">
        <v>3.8925424999999962</v>
      </c>
      <c r="E129" s="6">
        <v>149.13955938697305</v>
      </c>
      <c r="F129" s="6">
        <v>1.014844658273386E-2</v>
      </c>
      <c r="G129" s="6">
        <v>1.4602580872418299E-2</v>
      </c>
      <c r="H129" s="6">
        <v>4.0526849037487338</v>
      </c>
      <c r="I129" s="6">
        <v>3.43</v>
      </c>
      <c r="J129" s="6">
        <v>41.690962099125365</v>
      </c>
      <c r="K129" s="8">
        <f t="shared" si="2"/>
        <v>3.5772635573238989</v>
      </c>
    </row>
    <row r="130" spans="1:11" x14ac:dyDescent="0.25">
      <c r="A130" s="2">
        <v>1907</v>
      </c>
      <c r="B130" s="4">
        <v>54.550898203592816</v>
      </c>
      <c r="C130" s="3">
        <v>75.3</v>
      </c>
      <c r="D130" s="6">
        <v>4.1368187500000033</v>
      </c>
      <c r="E130" s="6">
        <v>158.49880268199246</v>
      </c>
      <c r="F130" s="6">
        <v>-1.177866564685303E-2</v>
      </c>
      <c r="G130" s="6">
        <v>1.40069325582404E-2</v>
      </c>
      <c r="H130" s="6">
        <v>4.6025104602510458</v>
      </c>
      <c r="I130" s="6">
        <v>3.67</v>
      </c>
      <c r="J130" s="6">
        <v>43.906705539358597</v>
      </c>
      <c r="K130" s="8">
        <f t="shared" si="2"/>
        <v>3.6098996892379427</v>
      </c>
    </row>
    <row r="131" spans="1:11" x14ac:dyDescent="0.25">
      <c r="A131" s="2">
        <v>1908</v>
      </c>
      <c r="B131" s="4">
        <v>53.41317365269461</v>
      </c>
      <c r="C131" s="3">
        <v>72.900000000000006</v>
      </c>
      <c r="D131" s="6">
        <v>4.1059762500000003</v>
      </c>
      <c r="E131" s="6">
        <v>157.31709770114946</v>
      </c>
      <c r="F131" s="6">
        <v>7.2932272460159153E-2</v>
      </c>
      <c r="G131" s="6">
        <v>1.2610656941259299E-2</v>
      </c>
      <c r="H131" s="6">
        <v>5.8394160583941606</v>
      </c>
      <c r="I131" s="6">
        <v>3.87</v>
      </c>
      <c r="J131" s="6">
        <v>42.507288629737616</v>
      </c>
      <c r="K131" s="8">
        <f t="shared" si="2"/>
        <v>3.7009440680037216</v>
      </c>
    </row>
    <row r="132" spans="1:11" x14ac:dyDescent="0.25">
      <c r="A132" s="2">
        <v>1909</v>
      </c>
      <c r="B132" s="4">
        <v>52.814371257485035</v>
      </c>
      <c r="C132" s="3">
        <v>78.3</v>
      </c>
      <c r="D132" s="6">
        <v>4.0055100000000001</v>
      </c>
      <c r="E132" s="6">
        <v>153.46781609195403</v>
      </c>
      <c r="F132" s="6">
        <v>-3.4018974074073886E-2</v>
      </c>
      <c r="G132" s="6">
        <v>9.9890123330637105E-3</v>
      </c>
      <c r="H132" s="6">
        <v>4.8565121412803531</v>
      </c>
      <c r="I132" s="6">
        <v>3.76</v>
      </c>
      <c r="J132" s="6">
        <v>45.655976676384839</v>
      </c>
      <c r="K132" s="8">
        <f t="shared" si="2"/>
        <v>3.3613959718735784</v>
      </c>
    </row>
    <row r="133" spans="1:11" x14ac:dyDescent="0.25">
      <c r="A133" s="2">
        <v>1910</v>
      </c>
      <c r="B133" s="4">
        <v>55.149700598802404</v>
      </c>
      <c r="C133" s="3">
        <v>81.400000000000006</v>
      </c>
      <c r="D133" s="6">
        <v>4.1711287500000003</v>
      </c>
      <c r="E133" s="6">
        <v>159.81336206896555</v>
      </c>
      <c r="F133" s="6">
        <v>2.119972046615487E-3</v>
      </c>
      <c r="G133" s="6">
        <v>6.3204504758297099E-3</v>
      </c>
      <c r="H133" s="6">
        <v>4.662698412698413</v>
      </c>
      <c r="I133" s="6">
        <v>3.91</v>
      </c>
      <c r="J133" s="6">
        <v>47.463556851311957</v>
      </c>
      <c r="K133" s="8">
        <f t="shared" si="2"/>
        <v>3.3670751344997036</v>
      </c>
    </row>
    <row r="134" spans="1:11" x14ac:dyDescent="0.25">
      <c r="A134" s="2">
        <v>1911</v>
      </c>
      <c r="B134" s="4">
        <v>55.149700598802404</v>
      </c>
      <c r="C134" s="3">
        <v>75.099999999999994</v>
      </c>
      <c r="D134" s="6">
        <v>4.2102750000000002</v>
      </c>
      <c r="E134" s="6">
        <v>161.31321839080462</v>
      </c>
      <c r="F134" s="6">
        <v>0.11949832739557761</v>
      </c>
      <c r="G134" s="6">
        <v>1.3433329884028099E-3</v>
      </c>
      <c r="H134" s="6">
        <v>5.0701186623516721</v>
      </c>
      <c r="I134" s="6">
        <v>3.98</v>
      </c>
      <c r="J134" s="6">
        <v>43.790087463556844</v>
      </c>
      <c r="K134" s="8">
        <f t="shared" si="2"/>
        <v>3.6837838820270301</v>
      </c>
    </row>
    <row r="135" spans="1:11" x14ac:dyDescent="0.25">
      <c r="A135" s="2">
        <v>1912</v>
      </c>
      <c r="B135" s="4">
        <v>56.287425149700603</v>
      </c>
      <c r="C135" s="3">
        <v>80</v>
      </c>
      <c r="D135" s="6">
        <v>4.2537100000000034</v>
      </c>
      <c r="E135" s="6">
        <v>162.97739463601545</v>
      </c>
      <c r="F135" s="6">
        <v>-2.2709238215712454E-2</v>
      </c>
      <c r="G135" s="6">
        <v>-5.2459830151297803E-3</v>
      </c>
      <c r="H135" s="6">
        <v>5.2631578947368425</v>
      </c>
      <c r="I135" s="6">
        <v>4.01</v>
      </c>
      <c r="J135" s="6">
        <v>46.647230320699705</v>
      </c>
      <c r="K135" s="8">
        <f t="shared" si="2"/>
        <v>3.4938278975095813</v>
      </c>
    </row>
    <row r="136" spans="1:11" x14ac:dyDescent="0.25">
      <c r="A136" s="2">
        <v>1913</v>
      </c>
      <c r="B136" s="4">
        <v>57.485029940119766</v>
      </c>
      <c r="C136" s="3">
        <v>80.7</v>
      </c>
      <c r="D136" s="6">
        <v>4.4421412499999997</v>
      </c>
      <c r="E136" s="6">
        <v>170.19698275862069</v>
      </c>
      <c r="F136" s="6">
        <v>3.5671412500000013E-2</v>
      </c>
      <c r="G136" s="6">
        <v>-1.2569573750564901E-2</v>
      </c>
      <c r="H136" s="6">
        <v>5.161290322580645</v>
      </c>
      <c r="I136" s="6">
        <v>4.45</v>
      </c>
      <c r="J136" s="6">
        <v>47.055393586005827</v>
      </c>
      <c r="K136" s="8">
        <f t="shared" si="2"/>
        <v>3.6169495096782467</v>
      </c>
    </row>
    <row r="137" spans="1:11" x14ac:dyDescent="0.25">
      <c r="A137" s="2">
        <v>1914</v>
      </c>
      <c r="B137" s="4">
        <v>58.023952095808383</v>
      </c>
      <c r="C137" s="3">
        <v>78.7</v>
      </c>
      <c r="D137" s="6">
        <v>4.4621250000000003</v>
      </c>
      <c r="E137" s="6">
        <v>170.96264367816093</v>
      </c>
      <c r="F137" s="6">
        <v>6.9404397459727318E-2</v>
      </c>
      <c r="G137" s="6">
        <v>-1.99241556035482E-2</v>
      </c>
      <c r="H137" s="6">
        <v>5.0179211469534053</v>
      </c>
      <c r="I137" s="6">
        <v>4.16</v>
      </c>
      <c r="J137" s="6">
        <v>45.889212827988338</v>
      </c>
      <c r="K137" s="8">
        <f t="shared" si="2"/>
        <v>3.7255518920971538</v>
      </c>
    </row>
    <row r="138" spans="1:11" x14ac:dyDescent="0.25">
      <c r="A138" s="2">
        <v>1915</v>
      </c>
      <c r="B138" s="4">
        <v>58.323353293413177</v>
      </c>
      <c r="C138" s="3">
        <v>80.5</v>
      </c>
      <c r="D138" s="6">
        <v>4.5712600000000032</v>
      </c>
      <c r="E138" s="6">
        <v>175.14406130268213</v>
      </c>
      <c r="F138" s="6">
        <v>2.2840935451080086E-2</v>
      </c>
      <c r="G138" s="6">
        <v>-2.6124049222219399E-2</v>
      </c>
      <c r="H138" s="6">
        <v>5.7486631016042775</v>
      </c>
      <c r="I138" s="6">
        <v>4.24</v>
      </c>
      <c r="J138" s="6">
        <v>46.938775510204081</v>
      </c>
      <c r="K138" s="8">
        <f t="shared" si="2"/>
        <v>3.7313300016658366</v>
      </c>
    </row>
    <row r="139" spans="1:11" x14ac:dyDescent="0.25">
      <c r="A139" s="2">
        <v>1916</v>
      </c>
      <c r="B139" s="4">
        <v>63.712574850299404</v>
      </c>
      <c r="C139" s="3">
        <v>98.9</v>
      </c>
      <c r="D139" s="6">
        <v>4.4223400000000037</v>
      </c>
      <c r="E139" s="6">
        <v>169.43831417624537</v>
      </c>
      <c r="F139" s="6">
        <v>-0.18434802857142851</v>
      </c>
      <c r="G139" s="6">
        <v>-2.90903336986831E-2</v>
      </c>
      <c r="H139" s="6">
        <v>6.0021436227224019</v>
      </c>
      <c r="I139" s="6">
        <v>4.05</v>
      </c>
      <c r="J139" s="6">
        <v>57.667638483965014</v>
      </c>
      <c r="K139" s="8">
        <f t="shared" si="2"/>
        <v>2.9381871467367118</v>
      </c>
    </row>
    <row r="140" spans="1:11" x14ac:dyDescent="0.25">
      <c r="A140" s="2">
        <v>1917</v>
      </c>
      <c r="B140" s="4">
        <v>76.76646706586827</v>
      </c>
      <c r="C140" s="3">
        <v>135.9</v>
      </c>
      <c r="D140" s="6">
        <v>4.698280000000004</v>
      </c>
      <c r="E140" s="6">
        <v>180.01072796934884</v>
      </c>
      <c r="F140" s="6">
        <v>-0.32713246794742151</v>
      </c>
      <c r="G140" s="6">
        <v>-2.62544476328214E-2</v>
      </c>
      <c r="H140" s="6">
        <v>7.2100313479623823</v>
      </c>
      <c r="I140" s="6">
        <v>4.2300000000000004</v>
      </c>
      <c r="J140" s="6">
        <v>79.241982507288625</v>
      </c>
      <c r="K140" s="8">
        <f t="shared" si="2"/>
        <v>2.2716585612025995</v>
      </c>
    </row>
    <row r="141" spans="1:11" x14ac:dyDescent="0.25">
      <c r="A141" s="2">
        <v>1918</v>
      </c>
      <c r="B141" s="4">
        <v>90.179640718562879</v>
      </c>
      <c r="C141" s="3">
        <v>152</v>
      </c>
      <c r="D141" s="6">
        <v>5.110000000000003</v>
      </c>
      <c r="E141" s="6">
        <v>195.78544061302694</v>
      </c>
      <c r="F141" s="6">
        <v>-6.7369462840323885E-2</v>
      </c>
      <c r="G141" s="6">
        <v>-1.6600426287529699E-2</v>
      </c>
      <c r="H141" s="6">
        <v>7.9056865464632446</v>
      </c>
      <c r="I141" s="6">
        <v>4.57</v>
      </c>
      <c r="J141" s="6">
        <v>88.629737609329453</v>
      </c>
      <c r="K141" s="8">
        <f t="shared" si="2"/>
        <v>2.2090265174430339</v>
      </c>
    </row>
    <row r="142" spans="1:11" x14ac:dyDescent="0.25">
      <c r="A142" s="2">
        <v>1919</v>
      </c>
      <c r="B142" s="4">
        <v>103.59281437125749</v>
      </c>
      <c r="C142" s="3">
        <v>160.30000000000001</v>
      </c>
      <c r="D142" s="6">
        <v>5.160826249999996</v>
      </c>
      <c r="E142" s="6">
        <v>197.7328065134098</v>
      </c>
      <c r="F142" s="6">
        <v>-2.997000657894773E-3</v>
      </c>
      <c r="G142" s="6">
        <v>-2.1210604493752598E-3</v>
      </c>
      <c r="H142" s="6">
        <v>6.7515923566878984</v>
      </c>
      <c r="I142" s="6">
        <v>4.5</v>
      </c>
      <c r="J142" s="6">
        <v>93.469387755102048</v>
      </c>
      <c r="K142" s="8">
        <f t="shared" si="2"/>
        <v>2.1154819910823317</v>
      </c>
    </row>
    <row r="143" spans="1:11" x14ac:dyDescent="0.25">
      <c r="A143" s="2">
        <v>1920</v>
      </c>
      <c r="B143" s="4">
        <v>120</v>
      </c>
      <c r="C143" s="3">
        <v>178.7</v>
      </c>
      <c r="D143" s="6">
        <v>5.6584125000000007</v>
      </c>
      <c r="E143" s="6">
        <v>216.79741379310349</v>
      </c>
      <c r="F143" s="6">
        <v>-5.8200653540236964E-2</v>
      </c>
      <c r="G143" s="6">
        <v>1.4683163357950099E-2</v>
      </c>
      <c r="H143" s="6">
        <v>5.7757644394110983</v>
      </c>
      <c r="I143" s="6">
        <v>4.97</v>
      </c>
      <c r="J143" s="6">
        <v>104.19825072886297</v>
      </c>
      <c r="K143" s="8">
        <f t="shared" si="2"/>
        <v>2.0806243125639199</v>
      </c>
    </row>
    <row r="144" spans="1:11" x14ac:dyDescent="0.25">
      <c r="A144" s="2">
        <v>1921</v>
      </c>
      <c r="B144" s="4">
        <v>107.18562874251496</v>
      </c>
      <c r="C144" s="3">
        <v>113</v>
      </c>
      <c r="D144" s="6">
        <v>5.4557462500000034</v>
      </c>
      <c r="E144" s="6">
        <v>209.03242337164764</v>
      </c>
      <c r="F144" s="6">
        <v>0.42221275069250136</v>
      </c>
      <c r="G144" s="6">
        <v>3.1302969215248201E-2</v>
      </c>
      <c r="H144" s="6">
        <v>6.4697609001406464</v>
      </c>
      <c r="I144" s="6">
        <v>5.09</v>
      </c>
      <c r="J144" s="6">
        <v>65.889212827988345</v>
      </c>
      <c r="K144" s="8">
        <f t="shared" ref="K144:K207" si="3">E144/J144</f>
        <v>3.172483239667041</v>
      </c>
    </row>
    <row r="145" spans="1:11" x14ac:dyDescent="0.25">
      <c r="A145" s="2">
        <v>1922</v>
      </c>
      <c r="B145" s="4">
        <v>100.41916167664671</v>
      </c>
      <c r="C145" s="3">
        <v>111.9</v>
      </c>
      <c r="D145" s="6">
        <v>4.7984725000000035</v>
      </c>
      <c r="E145" s="6">
        <v>183.84952107279707</v>
      </c>
      <c r="F145" s="6">
        <v>5.7719238274336324E-2</v>
      </c>
      <c r="G145" s="6">
        <v>4.4500249569741503E-2</v>
      </c>
      <c r="H145" s="6">
        <v>6.9863013698630141</v>
      </c>
      <c r="I145" s="6">
        <v>4.3</v>
      </c>
      <c r="J145" s="6">
        <v>65.247813411078724</v>
      </c>
      <c r="K145" s="8">
        <f t="shared" si="3"/>
        <v>2.8177116053605626</v>
      </c>
    </row>
    <row r="146" spans="1:11" x14ac:dyDescent="0.25">
      <c r="A146" s="2">
        <v>1923</v>
      </c>
      <c r="B146" s="4">
        <v>102.21556886227545</v>
      </c>
      <c r="C146" s="3">
        <v>116.4</v>
      </c>
      <c r="D146" s="6">
        <v>5.0076175000000038</v>
      </c>
      <c r="E146" s="6">
        <v>191.86273946360168</v>
      </c>
      <c r="F146" s="6">
        <v>9.861697788203852E-3</v>
      </c>
      <c r="G146" s="6">
        <v>5.4945967176499799E-2</v>
      </c>
      <c r="H146" s="6">
        <v>5.9550561797752808</v>
      </c>
      <c r="I146" s="6">
        <v>4.3600000000000003</v>
      </c>
      <c r="J146" s="6">
        <v>67.871720116618079</v>
      </c>
      <c r="K146" s="8">
        <f t="shared" si="3"/>
        <v>2.8268436269766055</v>
      </c>
    </row>
    <row r="147" spans="1:11" x14ac:dyDescent="0.25">
      <c r="A147" s="2">
        <v>1924</v>
      </c>
      <c r="B147" s="4">
        <v>102.39520958083834</v>
      </c>
      <c r="C147" s="3">
        <v>113.5</v>
      </c>
      <c r="D147" s="6">
        <v>4.9384499999999996</v>
      </c>
      <c r="E147" s="6">
        <v>189.21264367816093</v>
      </c>
      <c r="F147" s="6">
        <v>7.4298589347079141E-2</v>
      </c>
      <c r="G147" s="6">
        <v>6.3443282294895501E-2</v>
      </c>
      <c r="H147" s="6">
        <v>6.2287655719139305</v>
      </c>
      <c r="I147" s="6">
        <v>4.0599999999999996</v>
      </c>
      <c r="J147" s="6">
        <v>66.180758017492707</v>
      </c>
      <c r="K147" s="8">
        <f t="shared" si="3"/>
        <v>2.8590280520532687</v>
      </c>
    </row>
    <row r="148" spans="1:11" x14ac:dyDescent="0.25">
      <c r="A148" s="2">
        <v>1925</v>
      </c>
      <c r="B148" s="4">
        <v>104.97005988023953</v>
      </c>
      <c r="C148" s="3">
        <v>119.7</v>
      </c>
      <c r="D148" s="6">
        <v>4.8731149999999968</v>
      </c>
      <c r="E148" s="6">
        <v>186.70938697317996</v>
      </c>
      <c r="F148" s="6">
        <v>-5.8944006607931157E-3</v>
      </c>
      <c r="G148" s="6">
        <v>7.0344495512536201E-2</v>
      </c>
      <c r="H148" s="6">
        <v>5.6710775047258979</v>
      </c>
      <c r="I148" s="6">
        <v>3.86</v>
      </c>
      <c r="J148" s="6">
        <v>69.795918367346943</v>
      </c>
      <c r="K148" s="8">
        <f t="shared" si="3"/>
        <v>2.6750760121888355</v>
      </c>
    </row>
    <row r="149" spans="1:11" x14ac:dyDescent="0.25">
      <c r="A149" s="2">
        <v>1926</v>
      </c>
      <c r="B149" s="4">
        <v>105.98802395209582</v>
      </c>
      <c r="C149" s="3">
        <v>115.7</v>
      </c>
      <c r="D149" s="6">
        <v>4.7348712499999959</v>
      </c>
      <c r="E149" s="6">
        <v>181.41269157088107</v>
      </c>
      <c r="F149" s="6">
        <v>8.0765588022138748E-2</v>
      </c>
      <c r="G149" s="6">
        <v>7.6110474594080393E-2</v>
      </c>
      <c r="H149" s="6">
        <v>5.4545454545454541</v>
      </c>
      <c r="I149" s="6">
        <v>3.68</v>
      </c>
      <c r="J149" s="6">
        <v>67.463556851311949</v>
      </c>
      <c r="K149" s="8">
        <f t="shared" si="3"/>
        <v>2.6890472432503114</v>
      </c>
    </row>
    <row r="150" spans="1:11" x14ac:dyDescent="0.25">
      <c r="A150" s="2">
        <v>1927</v>
      </c>
      <c r="B150" s="4">
        <v>104.0119760479042</v>
      </c>
      <c r="C150" s="3">
        <v>110.5</v>
      </c>
      <c r="D150" s="6">
        <v>4.5604924999999961</v>
      </c>
      <c r="E150" s="6">
        <v>174.73151340996156</v>
      </c>
      <c r="F150" s="6">
        <v>9.0548745224719118E-2</v>
      </c>
      <c r="G150" s="6">
        <v>8.0439742349061302E-2</v>
      </c>
      <c r="H150" s="6">
        <v>5.7462686567164178</v>
      </c>
      <c r="I150" s="6">
        <v>3.34</v>
      </c>
      <c r="J150" s="6">
        <v>64.431486880466466</v>
      </c>
      <c r="K150" s="8">
        <f t="shared" si="3"/>
        <v>2.7118963393491775</v>
      </c>
    </row>
    <row r="151" spans="1:11" x14ac:dyDescent="0.25">
      <c r="A151" s="2">
        <v>1928</v>
      </c>
      <c r="B151" s="4">
        <v>102.57485029940121</v>
      </c>
      <c r="C151" s="3">
        <v>112.1</v>
      </c>
      <c r="D151" s="6">
        <v>4.6266487500000002</v>
      </c>
      <c r="E151" s="6">
        <v>177.26623563218391</v>
      </c>
      <c r="F151" s="6">
        <v>3.1786849490950175E-2</v>
      </c>
      <c r="G151" s="6">
        <v>8.3077416841071103E-2</v>
      </c>
      <c r="H151" s="6">
        <v>4.8488305761551622</v>
      </c>
      <c r="I151" s="6">
        <v>3.33</v>
      </c>
      <c r="J151" s="6">
        <v>65.364431486880463</v>
      </c>
      <c r="K151" s="8">
        <f t="shared" si="3"/>
        <v>2.7119678332666854</v>
      </c>
    </row>
    <row r="152" spans="1:11" x14ac:dyDescent="0.25">
      <c r="A152" s="2">
        <v>1929</v>
      </c>
      <c r="B152" s="4">
        <v>102.57485029940121</v>
      </c>
      <c r="C152" s="3">
        <v>110.1</v>
      </c>
      <c r="D152" s="6">
        <v>4.9059649999999957</v>
      </c>
      <c r="E152" s="6">
        <v>187.96800766283511</v>
      </c>
      <c r="F152" s="6">
        <v>6.6900863202497676E-2</v>
      </c>
      <c r="G152" s="6">
        <v>8.3869718710211802E-2</v>
      </c>
      <c r="H152" s="6">
        <v>3.9018503620273535</v>
      </c>
      <c r="I152" s="6">
        <v>3.6</v>
      </c>
      <c r="J152" s="6">
        <v>64.198250728862973</v>
      </c>
      <c r="K152" s="8">
        <f t="shared" si="3"/>
        <v>2.9279303645936623</v>
      </c>
    </row>
    <row r="153" spans="1:11" x14ac:dyDescent="0.25">
      <c r="A153" s="2">
        <v>1930</v>
      </c>
      <c r="B153" s="4">
        <v>100</v>
      </c>
      <c r="C153" s="3">
        <v>100</v>
      </c>
      <c r="D153" s="6">
        <v>4.6521074999999996</v>
      </c>
      <c r="E153" s="6">
        <v>178.24166666666667</v>
      </c>
      <c r="F153" s="6">
        <v>0.13825586155767483</v>
      </c>
      <c r="G153" s="6">
        <v>8.2149994428174403E-2</v>
      </c>
      <c r="H153" s="6">
        <v>4.5140488254260704</v>
      </c>
      <c r="I153" s="6">
        <v>3.29</v>
      </c>
      <c r="J153" s="6">
        <v>58.309037900874635</v>
      </c>
      <c r="K153" s="8">
        <f t="shared" si="3"/>
        <v>3.0568445833333335</v>
      </c>
    </row>
    <row r="154" spans="1:11" x14ac:dyDescent="0.25">
      <c r="A154" s="2">
        <v>1931</v>
      </c>
      <c r="B154" s="4">
        <v>91.197604790419163</v>
      </c>
      <c r="C154" s="3">
        <v>84.3</v>
      </c>
      <c r="D154" s="6">
        <v>4.5732675</v>
      </c>
      <c r="E154" s="6">
        <v>175.22097701149426</v>
      </c>
      <c r="F154" s="6">
        <v>0.20273267499999995</v>
      </c>
      <c r="G154" s="6">
        <v>7.7081893279547897E-2</v>
      </c>
      <c r="H154" s="6">
        <v>5.1314142678347929</v>
      </c>
      <c r="I154" s="6">
        <v>3.34</v>
      </c>
      <c r="J154" s="6">
        <v>49.154518950437321</v>
      </c>
      <c r="K154" s="8">
        <f t="shared" si="3"/>
        <v>3.5646972191543611</v>
      </c>
    </row>
    <row r="155" spans="1:11" x14ac:dyDescent="0.25">
      <c r="A155" s="2">
        <v>1932</v>
      </c>
      <c r="B155" s="4">
        <v>81.796407185628752</v>
      </c>
      <c r="C155" s="3">
        <v>75.3</v>
      </c>
      <c r="D155" s="6">
        <v>5.1022437499999969</v>
      </c>
      <c r="E155" s="6">
        <v>195.48826628352478</v>
      </c>
      <c r="F155" s="6">
        <v>0.15778400333629902</v>
      </c>
      <c r="G155" s="6">
        <v>6.8390164604639606E-2</v>
      </c>
      <c r="H155" s="6">
        <v>6.0240963855421681</v>
      </c>
      <c r="I155" s="6">
        <v>3.68</v>
      </c>
      <c r="J155" s="6">
        <v>43.906705539358597</v>
      </c>
      <c r="K155" s="8">
        <f t="shared" si="3"/>
        <v>4.452355599950133</v>
      </c>
    </row>
    <row r="156" spans="1:11" x14ac:dyDescent="0.25">
      <c r="A156" s="2">
        <v>1933</v>
      </c>
      <c r="B156" s="4">
        <v>77.604790419161674</v>
      </c>
      <c r="C156" s="3">
        <v>76.2</v>
      </c>
      <c r="D156" s="6">
        <v>4.6187100000000001</v>
      </c>
      <c r="E156" s="6">
        <v>176.96206896551723</v>
      </c>
      <c r="F156" s="6">
        <v>3.4234908764940161E-2</v>
      </c>
      <c r="G156" s="6">
        <v>5.7056038810961301E-2</v>
      </c>
      <c r="H156" s="6">
        <v>6.2059238363892808</v>
      </c>
      <c r="I156" s="6">
        <v>3.31</v>
      </c>
      <c r="J156" s="6">
        <v>44.431486880466473</v>
      </c>
      <c r="K156" s="8">
        <f t="shared" si="3"/>
        <v>3.98280772015567</v>
      </c>
    </row>
    <row r="157" spans="1:11" x14ac:dyDescent="0.25">
      <c r="A157" s="2">
        <v>1934</v>
      </c>
      <c r="B157" s="4">
        <v>80.179640718562879</v>
      </c>
      <c r="C157" s="3">
        <v>86.5</v>
      </c>
      <c r="D157" s="6">
        <v>4.1776075000000032</v>
      </c>
      <c r="E157" s="6">
        <v>160.06159003831431</v>
      </c>
      <c r="F157" s="6">
        <v>-9.3394528674540594E-2</v>
      </c>
      <c r="G157" s="6">
        <v>4.4954644659978303E-2</v>
      </c>
      <c r="H157" s="6">
        <v>4.269449715370019</v>
      </c>
      <c r="I157" s="6">
        <v>3.12</v>
      </c>
      <c r="J157" s="6">
        <v>50.437317784256557</v>
      </c>
      <c r="K157" s="8">
        <f t="shared" si="3"/>
        <v>3.173475455672937</v>
      </c>
    </row>
    <row r="158" spans="1:11" x14ac:dyDescent="0.25">
      <c r="A158" s="2">
        <v>1935</v>
      </c>
      <c r="B158" s="4">
        <v>82.215568862275447</v>
      </c>
      <c r="C158" s="3">
        <v>92.6</v>
      </c>
      <c r="D158" s="6">
        <v>3.7674387499999962</v>
      </c>
      <c r="E158" s="6">
        <v>144.34631226053625</v>
      </c>
      <c r="F158" s="6">
        <v>-3.2845843713873002E-2</v>
      </c>
      <c r="G158" s="6">
        <v>3.3732850525046397E-2</v>
      </c>
      <c r="H158" s="6">
        <v>5.0755939524838016</v>
      </c>
      <c r="I158" s="6">
        <v>2.79</v>
      </c>
      <c r="J158" s="6">
        <v>53.994169096209916</v>
      </c>
      <c r="K158" s="8">
        <f t="shared" si="3"/>
        <v>2.6733685262075557</v>
      </c>
    </row>
    <row r="159" spans="1:11" x14ac:dyDescent="0.25">
      <c r="A159" s="2">
        <v>1936</v>
      </c>
      <c r="B159" s="4">
        <v>82.994011976047901</v>
      </c>
      <c r="C159" s="3">
        <v>93.5</v>
      </c>
      <c r="D159" s="6">
        <v>3.24</v>
      </c>
      <c r="E159" s="6">
        <v>124.13793103448276</v>
      </c>
      <c r="F159" s="6">
        <v>2.2680777537797049E-2</v>
      </c>
      <c r="G159" s="6">
        <v>2.3654078332921501E-2</v>
      </c>
      <c r="H159" s="6">
        <v>5.2325581395348841</v>
      </c>
      <c r="I159" s="6">
        <v>2.65</v>
      </c>
      <c r="J159" s="6">
        <v>54.518950437317784</v>
      </c>
      <c r="K159" s="8">
        <f t="shared" si="3"/>
        <v>2.2769684676378388</v>
      </c>
    </row>
    <row r="160" spans="1:11" x14ac:dyDescent="0.25">
      <c r="A160" s="2">
        <v>1937</v>
      </c>
      <c r="B160" s="4">
        <v>85.988023952095816</v>
      </c>
      <c r="C160" s="3">
        <v>99.8</v>
      </c>
      <c r="D160" s="6">
        <v>3.26</v>
      </c>
      <c r="E160" s="6">
        <v>124.90421455938699</v>
      </c>
      <c r="F160" s="6">
        <v>-3.4779679144385088E-2</v>
      </c>
      <c r="G160" s="6">
        <v>1.4315921505109099E-2</v>
      </c>
      <c r="H160" s="6">
        <v>4.5480386583285961</v>
      </c>
      <c r="I160" s="6">
        <v>2.68</v>
      </c>
      <c r="J160" s="6">
        <v>58.192419825072889</v>
      </c>
      <c r="K160" s="8">
        <f t="shared" si="3"/>
        <v>2.1464000798531933</v>
      </c>
    </row>
    <row r="161" spans="1:11" x14ac:dyDescent="0.25">
      <c r="A161" s="2">
        <v>1938</v>
      </c>
      <c r="B161" s="4">
        <v>84.371257485029943</v>
      </c>
      <c r="C161" s="3">
        <v>90.8</v>
      </c>
      <c r="D161" s="6">
        <v>3.19</v>
      </c>
      <c r="E161" s="6">
        <v>122.22222222222223</v>
      </c>
      <c r="F161" s="6">
        <v>0.12208036072144288</v>
      </c>
      <c r="G161" s="6">
        <v>5.30623267978555E-3</v>
      </c>
      <c r="H161" s="6">
        <v>4.5092838196286467</v>
      </c>
      <c r="I161" s="6">
        <v>2.56</v>
      </c>
      <c r="J161" s="6">
        <v>52.944606413994173</v>
      </c>
      <c r="K161" s="8">
        <f t="shared" si="3"/>
        <v>2.3084924131179636</v>
      </c>
    </row>
    <row r="162" spans="1:11" x14ac:dyDescent="0.25">
      <c r="A162" s="2">
        <v>1939</v>
      </c>
      <c r="B162" s="4">
        <v>83.17365269461078</v>
      </c>
      <c r="C162" s="3">
        <v>89.2</v>
      </c>
      <c r="D162" s="6">
        <v>3.01</v>
      </c>
      <c r="E162" s="6">
        <v>115.32567049808429</v>
      </c>
      <c r="F162" s="6">
        <v>4.7721145374449395E-2</v>
      </c>
      <c r="G162" s="6">
        <v>-4.2780947199240697E-3</v>
      </c>
      <c r="H162" s="6">
        <v>4.96</v>
      </c>
      <c r="I162" s="6">
        <v>2.36</v>
      </c>
      <c r="J162" s="6">
        <v>52.011661807580175</v>
      </c>
      <c r="K162" s="8">
        <f t="shared" si="3"/>
        <v>2.2173040908544235</v>
      </c>
    </row>
    <row r="163" spans="1:11" x14ac:dyDescent="0.25">
      <c r="A163" s="2">
        <v>1940</v>
      </c>
      <c r="B163" s="4">
        <v>84.011976047904199</v>
      </c>
      <c r="C163" s="3">
        <v>90.8</v>
      </c>
      <c r="D163" s="6">
        <v>2.84</v>
      </c>
      <c r="E163" s="6">
        <v>108.81226053639847</v>
      </c>
      <c r="F163" s="6">
        <v>1.0462780269058235E-2</v>
      </c>
      <c r="G163" s="6">
        <v>-1.41724295976923E-2</v>
      </c>
      <c r="H163" s="6">
        <v>5.4471544715447155</v>
      </c>
      <c r="I163" s="6">
        <v>2.21</v>
      </c>
      <c r="J163" s="6">
        <v>52.944606413994173</v>
      </c>
      <c r="K163" s="8">
        <f t="shared" si="3"/>
        <v>2.0552095464749267</v>
      </c>
    </row>
    <row r="164" spans="1:11" x14ac:dyDescent="0.25">
      <c r="A164" s="2">
        <v>1941</v>
      </c>
      <c r="B164" s="4">
        <v>88.203592814371262</v>
      </c>
      <c r="C164" s="3">
        <v>101.1</v>
      </c>
      <c r="D164" s="6">
        <v>2.77</v>
      </c>
      <c r="E164" s="6">
        <v>106.13026819923373</v>
      </c>
      <c r="F164" s="6">
        <v>-8.5736123348017543E-2</v>
      </c>
      <c r="G164" s="6">
        <v>-2.3592159909992801E-2</v>
      </c>
      <c r="H164" s="6">
        <v>6.729857819905213</v>
      </c>
      <c r="I164" s="6">
        <v>1.95</v>
      </c>
      <c r="J164" s="6">
        <v>58.950437317784257</v>
      </c>
      <c r="K164" s="8">
        <f t="shared" si="3"/>
        <v>1.8003304645072784</v>
      </c>
    </row>
    <row r="165" spans="1:11" x14ac:dyDescent="0.25">
      <c r="A165" s="2">
        <v>1942</v>
      </c>
      <c r="B165" s="4">
        <v>97.604790419161674</v>
      </c>
      <c r="C165" s="3">
        <v>114.1</v>
      </c>
      <c r="D165" s="6">
        <v>2.83</v>
      </c>
      <c r="E165" s="6">
        <v>108.42911877394637</v>
      </c>
      <c r="F165" s="6">
        <v>-0.10028555885262104</v>
      </c>
      <c r="G165" s="6">
        <v>-3.1506349317321901E-2</v>
      </c>
      <c r="H165" s="6">
        <v>6.6069428891377378</v>
      </c>
      <c r="I165" s="6">
        <v>2.46</v>
      </c>
      <c r="J165" s="6">
        <v>66.530612244897952</v>
      </c>
      <c r="K165" s="8">
        <f t="shared" si="3"/>
        <v>1.6297628281973535</v>
      </c>
    </row>
    <row r="166" spans="1:11" x14ac:dyDescent="0.25">
      <c r="A166" s="2">
        <v>1943</v>
      </c>
      <c r="B166" s="4">
        <v>103.59281437125749</v>
      </c>
      <c r="C166" s="3">
        <v>120.2</v>
      </c>
      <c r="D166" s="6">
        <v>2.73</v>
      </c>
      <c r="E166" s="6">
        <v>104.59770114942529</v>
      </c>
      <c r="F166" s="6">
        <v>-2.6161875547765324E-2</v>
      </c>
      <c r="G166" s="6">
        <v>-3.7505539881076098E-2</v>
      </c>
      <c r="H166" s="6">
        <v>6.0455896927651143</v>
      </c>
      <c r="I166" s="6">
        <v>2.4700000000000002</v>
      </c>
      <c r="J166" s="6">
        <v>70.087463556851318</v>
      </c>
      <c r="K166" s="8">
        <f t="shared" si="3"/>
        <v>1.4923881653183391</v>
      </c>
    </row>
    <row r="167" spans="1:11" x14ac:dyDescent="0.25">
      <c r="A167" s="2">
        <v>1944</v>
      </c>
      <c r="B167" s="4">
        <v>105.38922155688624</v>
      </c>
      <c r="C167" s="3">
        <v>120.2</v>
      </c>
      <c r="D167" s="6">
        <v>2.72</v>
      </c>
      <c r="E167" s="6">
        <v>104.21455938697318</v>
      </c>
      <c r="F167" s="6">
        <v>2.7200000000000002E-2</v>
      </c>
      <c r="G167" s="6">
        <v>-4.1868110169478903E-2</v>
      </c>
      <c r="H167" s="6">
        <v>5.4008438818565399</v>
      </c>
      <c r="I167" s="6">
        <v>2.48</v>
      </c>
      <c r="J167" s="6">
        <v>70.087463556851318</v>
      </c>
      <c r="K167" s="8">
        <f t="shared" si="3"/>
        <v>1.4869215420021547</v>
      </c>
    </row>
    <row r="168" spans="1:11" x14ac:dyDescent="0.25">
      <c r="A168" s="2">
        <v>1945</v>
      </c>
      <c r="B168" s="4">
        <v>107.78443113772455</v>
      </c>
      <c r="C168" s="3">
        <v>122.4</v>
      </c>
      <c r="D168" s="6">
        <v>2.62</v>
      </c>
      <c r="E168" s="6">
        <v>100.38314176245211</v>
      </c>
      <c r="F168" s="6">
        <v>7.8971713810318117E-3</v>
      </c>
      <c r="G168" s="6">
        <v>-4.4758983351942797E-2</v>
      </c>
      <c r="H168" s="6">
        <v>4.892512972572276</v>
      </c>
      <c r="I168" s="6">
        <v>2.37</v>
      </c>
      <c r="J168" s="6">
        <v>71.370262390670547</v>
      </c>
      <c r="K168" s="8">
        <f t="shared" si="3"/>
        <v>1.4065121578644231</v>
      </c>
    </row>
    <row r="169" spans="1:11" x14ac:dyDescent="0.25">
      <c r="A169" s="2">
        <v>1946</v>
      </c>
      <c r="B169" s="4">
        <v>117.0059880239521</v>
      </c>
      <c r="C169" s="3">
        <v>139.69999999999999</v>
      </c>
      <c r="D169" s="6">
        <v>2.5299999999999998</v>
      </c>
      <c r="E169" s="6">
        <v>96.93486590038313</v>
      </c>
      <c r="F169" s="6">
        <v>-0.11603986928104566</v>
      </c>
      <c r="G169" s="6">
        <v>-4.5652401496185602E-2</v>
      </c>
      <c r="H169" s="6">
        <v>3.940066592674806</v>
      </c>
      <c r="I169" s="6">
        <v>2.19</v>
      </c>
      <c r="J169" s="6">
        <v>81.457725947521851</v>
      </c>
      <c r="K169" s="8">
        <f t="shared" si="3"/>
        <v>1.1900021118049899</v>
      </c>
    </row>
    <row r="170" spans="1:11" x14ac:dyDescent="0.25">
      <c r="A170" s="2">
        <v>1947</v>
      </c>
      <c r="B170" s="4">
        <v>133.77245508982037</v>
      </c>
      <c r="C170" s="3">
        <v>171.5</v>
      </c>
      <c r="D170" s="6">
        <v>2.61</v>
      </c>
      <c r="E170" s="6">
        <v>100</v>
      </c>
      <c r="F170" s="6">
        <v>-0.20153063707945618</v>
      </c>
      <c r="G170" s="6">
        <v>-4.3496016836405603E-2</v>
      </c>
      <c r="H170" s="6">
        <v>5.5226824457593686</v>
      </c>
      <c r="I170" s="6">
        <v>2.25</v>
      </c>
      <c r="J170" s="6">
        <v>100</v>
      </c>
      <c r="K170" s="8">
        <f t="shared" si="3"/>
        <v>1</v>
      </c>
    </row>
    <row r="171" spans="1:11" x14ac:dyDescent="0.25">
      <c r="A171" s="2">
        <v>1948</v>
      </c>
      <c r="B171" s="4">
        <v>144.19161676646706</v>
      </c>
      <c r="C171" s="3">
        <v>185.7</v>
      </c>
      <c r="D171" s="6">
        <v>2.82</v>
      </c>
      <c r="E171" s="6">
        <v>108.04597701149426</v>
      </c>
      <c r="F171" s="6">
        <v>-5.4598833819241938E-2</v>
      </c>
      <c r="G171" s="6">
        <v>-3.7941357591839399E-2</v>
      </c>
      <c r="H171" s="6">
        <v>6.2710721510451783</v>
      </c>
      <c r="I171" s="6">
        <v>2.44</v>
      </c>
      <c r="J171" s="6">
        <v>108.27988338192419</v>
      </c>
      <c r="K171" s="8">
        <f t="shared" si="3"/>
        <v>0.99783979846371929</v>
      </c>
    </row>
    <row r="172" spans="1:11" x14ac:dyDescent="0.25">
      <c r="A172" s="2">
        <v>1949</v>
      </c>
      <c r="B172" s="4">
        <v>142.81437125748505</v>
      </c>
      <c r="C172" s="3">
        <v>176.5</v>
      </c>
      <c r="D172" s="6">
        <v>2.66</v>
      </c>
      <c r="E172" s="6">
        <v>101.91570881226055</v>
      </c>
      <c r="F172" s="6">
        <v>7.6142272482498621E-2</v>
      </c>
      <c r="G172" s="6">
        <v>-3.02202918133594E-2</v>
      </c>
      <c r="H172" s="6">
        <v>7.4218749999999991</v>
      </c>
      <c r="I172" s="6">
        <v>2.31</v>
      </c>
      <c r="J172" s="6">
        <v>102.91545189504373</v>
      </c>
      <c r="K172" s="8">
        <f t="shared" si="3"/>
        <v>0.99028578251006705</v>
      </c>
    </row>
    <row r="173" spans="1:11" x14ac:dyDescent="0.25">
      <c r="A173" s="2">
        <v>1950</v>
      </c>
      <c r="B173" s="4">
        <v>144.19161676646706</v>
      </c>
      <c r="C173" s="3">
        <v>183.4</v>
      </c>
      <c r="D173" s="6">
        <v>2.62</v>
      </c>
      <c r="E173" s="6">
        <v>100.38314176245211</v>
      </c>
      <c r="F173" s="6">
        <v>-1.2893484419263461E-2</v>
      </c>
      <c r="G173" s="6">
        <v>-2.1731273975919702E-2</v>
      </c>
      <c r="H173" s="6">
        <v>8.7085308056872037</v>
      </c>
      <c r="I173" s="6">
        <v>2.3199999999999998</v>
      </c>
      <c r="J173" s="6">
        <v>106.93877551020408</v>
      </c>
      <c r="K173" s="8">
        <f t="shared" si="3"/>
        <v>0.93869731800766287</v>
      </c>
    </row>
    <row r="174" spans="1:11" x14ac:dyDescent="0.25">
      <c r="A174" s="2">
        <v>1951</v>
      </c>
      <c r="B174" s="4">
        <v>155.56886227544911</v>
      </c>
      <c r="C174" s="3">
        <v>204.3</v>
      </c>
      <c r="D174" s="6">
        <v>2.86</v>
      </c>
      <c r="E174" s="6">
        <v>109.57854406130269</v>
      </c>
      <c r="F174" s="6">
        <v>-8.5358560523446078E-2</v>
      </c>
      <c r="G174" s="6">
        <v>-1.28091556363407E-2</v>
      </c>
      <c r="H174" s="6">
        <v>6.6478076379066477</v>
      </c>
      <c r="I174" s="6">
        <v>2.57</v>
      </c>
      <c r="J174" s="6">
        <v>119.12536443148689</v>
      </c>
      <c r="K174" s="8">
        <f t="shared" si="3"/>
        <v>0.91985904584010825</v>
      </c>
    </row>
    <row r="175" spans="1:11" x14ac:dyDescent="0.25">
      <c r="A175" s="2">
        <v>1952</v>
      </c>
      <c r="B175" s="4">
        <v>158.98203592814372</v>
      </c>
      <c r="C175" s="3">
        <v>198.7</v>
      </c>
      <c r="D175" s="6">
        <v>2.96</v>
      </c>
      <c r="E175" s="6">
        <v>113.40996168582376</v>
      </c>
      <c r="F175" s="6">
        <v>5.7010670582476844E-2</v>
      </c>
      <c r="G175" s="6">
        <v>-3.7003756116838001E-3</v>
      </c>
      <c r="H175" s="6">
        <v>5.8288548987184781</v>
      </c>
      <c r="I175" s="6">
        <v>2.68</v>
      </c>
      <c r="J175" s="6">
        <v>115.8600583090379</v>
      </c>
      <c r="K175" s="8">
        <f t="shared" si="3"/>
        <v>0.97885296573320457</v>
      </c>
    </row>
    <row r="176" spans="1:11" x14ac:dyDescent="0.25">
      <c r="A176" s="2">
        <v>1953</v>
      </c>
      <c r="B176" s="4">
        <v>160.17964071856289</v>
      </c>
      <c r="C176" s="3">
        <v>196</v>
      </c>
      <c r="D176" s="6">
        <v>3.2</v>
      </c>
      <c r="E176" s="6">
        <v>122.60536398467434</v>
      </c>
      <c r="F176" s="6">
        <v>4.5588324106693418E-2</v>
      </c>
      <c r="G176" s="6">
        <v>4.6231188373532604E-3</v>
      </c>
      <c r="H176" s="6">
        <v>5.5385790679908329</v>
      </c>
      <c r="I176" s="6">
        <v>2.83</v>
      </c>
      <c r="J176" s="6">
        <v>114.28571428571429</v>
      </c>
      <c r="K176" s="8">
        <f t="shared" si="3"/>
        <v>1.0727969348659003</v>
      </c>
    </row>
    <row r="177" spans="1:11" x14ac:dyDescent="0.25">
      <c r="A177" s="2">
        <v>1954</v>
      </c>
      <c r="B177" s="4">
        <v>160.95808383233535</v>
      </c>
      <c r="C177" s="3">
        <v>196.4</v>
      </c>
      <c r="D177" s="6">
        <v>2.9</v>
      </c>
      <c r="E177" s="6">
        <v>111.11111111111111</v>
      </c>
      <c r="F177" s="6">
        <v>2.6959183673469441E-2</v>
      </c>
      <c r="G177" s="6">
        <v>1.17964842061894E-2</v>
      </c>
      <c r="H177" s="6">
        <v>6.0487038491751761</v>
      </c>
      <c r="I177" s="6">
        <v>2.48</v>
      </c>
      <c r="J177" s="6">
        <v>114.51895043731778</v>
      </c>
      <c r="K177" s="8">
        <f t="shared" si="3"/>
        <v>0.97024213622991629</v>
      </c>
    </row>
    <row r="178" spans="1:11" x14ac:dyDescent="0.25">
      <c r="A178" s="2">
        <v>1955</v>
      </c>
      <c r="B178" s="4">
        <v>160.35928143712576</v>
      </c>
      <c r="C178" s="3">
        <v>196.9</v>
      </c>
      <c r="D178" s="6">
        <v>3.06</v>
      </c>
      <c r="E178" s="6">
        <v>117.24137931034484</v>
      </c>
      <c r="F178" s="6">
        <v>2.805417515274947E-2</v>
      </c>
      <c r="G178" s="6">
        <v>1.7864545801870201E-2</v>
      </c>
      <c r="H178" s="6">
        <v>4.606741573033708</v>
      </c>
      <c r="I178" s="6">
        <v>2.61</v>
      </c>
      <c r="J178" s="6">
        <v>114.81049562682216</v>
      </c>
      <c r="K178" s="8">
        <f t="shared" si="3"/>
        <v>1.0211730092292606</v>
      </c>
    </row>
    <row r="179" spans="1:11" x14ac:dyDescent="0.25">
      <c r="A179" s="2">
        <v>1956</v>
      </c>
      <c r="B179" s="4">
        <v>162.75449101796409</v>
      </c>
      <c r="C179" s="3">
        <v>203.4</v>
      </c>
      <c r="D179" s="6">
        <v>3.36</v>
      </c>
      <c r="E179" s="6">
        <v>128.73563218390805</v>
      </c>
      <c r="F179" s="6">
        <v>5.883189436262648E-4</v>
      </c>
      <c r="G179" s="6">
        <v>2.3023764089378999E-2</v>
      </c>
      <c r="H179" s="6">
        <v>3.9411098527746322</v>
      </c>
      <c r="I179" s="6">
        <v>2.9</v>
      </c>
      <c r="J179" s="6">
        <v>118.600583090379</v>
      </c>
      <c r="K179" s="8">
        <f t="shared" si="3"/>
        <v>1.0854553057787724</v>
      </c>
    </row>
    <row r="180" spans="1:11" x14ac:dyDescent="0.25">
      <c r="A180" s="2">
        <v>1957</v>
      </c>
      <c r="B180" s="4">
        <v>168.56287425149702</v>
      </c>
      <c r="C180" s="3">
        <v>209.2</v>
      </c>
      <c r="D180" s="6">
        <v>3.89</v>
      </c>
      <c r="E180" s="6">
        <v>149.04214559386975</v>
      </c>
      <c r="F180" s="6">
        <v>1.0384759095378563E-2</v>
      </c>
      <c r="G180" s="6">
        <v>2.7572454075680899E-2</v>
      </c>
      <c r="H180" s="6">
        <v>3.9401276689412281</v>
      </c>
      <c r="I180" s="6">
        <v>3.46</v>
      </c>
      <c r="J180" s="6">
        <v>121.98250728862973</v>
      </c>
      <c r="K180" s="8">
        <f t="shared" si="3"/>
        <v>1.2218321209057679</v>
      </c>
    </row>
    <row r="181" spans="1:11" x14ac:dyDescent="0.25">
      <c r="A181" s="2">
        <v>1958</v>
      </c>
      <c r="B181" s="4">
        <v>173.17365269461078</v>
      </c>
      <c r="C181" s="3">
        <v>212.1</v>
      </c>
      <c r="D181" s="6">
        <v>3.79</v>
      </c>
      <c r="E181" s="6">
        <v>145.21072796934865</v>
      </c>
      <c r="F181" s="6">
        <v>2.4037667304015239E-2</v>
      </c>
      <c r="G181" s="6">
        <v>3.1584593126846902E-2</v>
      </c>
      <c r="H181" s="6">
        <v>4.2558365758754864</v>
      </c>
      <c r="I181" s="6">
        <v>3.09</v>
      </c>
      <c r="J181" s="6">
        <v>123.67346938775511</v>
      </c>
      <c r="K181" s="8">
        <f t="shared" si="3"/>
        <v>1.1741461502472086</v>
      </c>
    </row>
    <row r="182" spans="1:11" x14ac:dyDescent="0.25">
      <c r="A182" s="2">
        <v>1959</v>
      </c>
      <c r="B182" s="4">
        <v>174.61077844311379</v>
      </c>
      <c r="C182" s="3">
        <v>212.6</v>
      </c>
      <c r="D182" s="6">
        <v>4.38</v>
      </c>
      <c r="E182" s="6">
        <v>167.81609195402299</v>
      </c>
      <c r="F182" s="6">
        <v>4.1442621404997618E-2</v>
      </c>
      <c r="G182" s="6">
        <v>3.4962234068191198E-2</v>
      </c>
      <c r="H182" s="6">
        <v>3.290183387270766</v>
      </c>
      <c r="I182" s="6">
        <v>4.0199999999999996</v>
      </c>
      <c r="J182" s="6">
        <v>123.96501457725948</v>
      </c>
      <c r="K182" s="8">
        <f t="shared" si="3"/>
        <v>1.3537375244644845</v>
      </c>
    </row>
    <row r="183" spans="1:11" x14ac:dyDescent="0.25">
      <c r="A183" s="2">
        <v>1960</v>
      </c>
      <c r="B183" s="4">
        <v>177.36526946107784</v>
      </c>
      <c r="C183" s="3">
        <v>212.6</v>
      </c>
      <c r="D183" s="6">
        <v>4.41</v>
      </c>
      <c r="E183" s="6">
        <v>168.96551724137933</v>
      </c>
      <c r="F183" s="6">
        <v>4.41E-2</v>
      </c>
      <c r="G183" s="6">
        <v>3.7531983793759903E-2</v>
      </c>
      <c r="H183" s="6">
        <v>3.3603308633465447</v>
      </c>
      <c r="I183" s="6">
        <v>4.72</v>
      </c>
      <c r="J183" s="6">
        <v>123.96501457725948</v>
      </c>
      <c r="K183" s="8">
        <f t="shared" si="3"/>
        <v>1.3630096992895839</v>
      </c>
    </row>
    <row r="184" spans="1:11" x14ac:dyDescent="0.25">
      <c r="A184" s="2">
        <v>1961</v>
      </c>
      <c r="B184" s="4">
        <v>179.16167664670658</v>
      </c>
      <c r="C184" s="3">
        <v>212.6</v>
      </c>
      <c r="D184" s="6">
        <v>4.3499999999999996</v>
      </c>
      <c r="E184" s="6">
        <v>166.66666666666666</v>
      </c>
      <c r="F184" s="6">
        <v>4.3499999999999997E-2</v>
      </c>
      <c r="G184" s="6">
        <v>3.9185226856916701E-2</v>
      </c>
      <c r="H184" s="6">
        <v>3.3824514400535834</v>
      </c>
      <c r="I184" s="6">
        <v>3.84</v>
      </c>
      <c r="J184" s="6">
        <v>123.96501457725948</v>
      </c>
      <c r="K184" s="8">
        <f t="shared" si="3"/>
        <v>1.3444653496393852</v>
      </c>
    </row>
    <row r="185" spans="1:11" x14ac:dyDescent="0.25">
      <c r="A185" s="2">
        <v>1962</v>
      </c>
      <c r="B185" s="4">
        <v>181.19760479041918</v>
      </c>
      <c r="C185" s="3">
        <v>212.6</v>
      </c>
      <c r="D185" s="6">
        <v>4.33</v>
      </c>
      <c r="E185" s="6">
        <v>165.90038314176246</v>
      </c>
      <c r="F185" s="6">
        <v>4.3299999999999998E-2</v>
      </c>
      <c r="G185" s="6">
        <v>3.9879027973087899E-2</v>
      </c>
      <c r="H185" s="6">
        <v>3.083828000579123</v>
      </c>
      <c r="I185" s="6">
        <v>4.08</v>
      </c>
      <c r="J185" s="6">
        <v>123.96501457725948</v>
      </c>
      <c r="K185" s="8">
        <f t="shared" si="3"/>
        <v>1.3382838997559858</v>
      </c>
    </row>
    <row r="186" spans="1:11" x14ac:dyDescent="0.25">
      <c r="A186" s="2">
        <v>1963</v>
      </c>
      <c r="B186" s="4">
        <v>183.35329341317367</v>
      </c>
      <c r="C186" s="3">
        <v>211.9</v>
      </c>
      <c r="D186" s="6">
        <v>4.26</v>
      </c>
      <c r="E186" s="6">
        <v>163.2183908045977</v>
      </c>
      <c r="F186" s="6">
        <v>4.589256820319855E-2</v>
      </c>
      <c r="G186" s="6">
        <v>3.9613599589130799E-2</v>
      </c>
      <c r="H186" s="6">
        <v>3.5044574239163842</v>
      </c>
      <c r="I186" s="6">
        <v>3.83</v>
      </c>
      <c r="J186" s="6">
        <v>123.55685131195335</v>
      </c>
      <c r="K186" s="8">
        <f t="shared" si="3"/>
        <v>1.3209983021702929</v>
      </c>
    </row>
    <row r="187" spans="1:11" x14ac:dyDescent="0.25">
      <c r="A187" s="2">
        <v>1964</v>
      </c>
      <c r="B187" s="4">
        <v>185.80838323353294</v>
      </c>
      <c r="C187" s="3">
        <v>212.3</v>
      </c>
      <c r="D187" s="6">
        <v>4.4000000000000004</v>
      </c>
      <c r="E187" s="6">
        <v>168.58237547892725</v>
      </c>
      <c r="F187" s="6">
        <v>4.2112317130722096E-2</v>
      </c>
      <c r="G187" s="6">
        <v>3.8423363872171698E-2</v>
      </c>
      <c r="H187" s="6">
        <v>3.2701111837802483</v>
      </c>
      <c r="I187" s="6">
        <v>4.17</v>
      </c>
      <c r="J187" s="6">
        <v>123.79008746355684</v>
      </c>
      <c r="K187" s="8">
        <f t="shared" si="3"/>
        <v>1.3618406686121538</v>
      </c>
    </row>
    <row r="188" spans="1:11" x14ac:dyDescent="0.25">
      <c r="A188" s="2">
        <v>1965</v>
      </c>
      <c r="B188" s="4">
        <v>188.98203592814372</v>
      </c>
      <c r="C188" s="3">
        <v>216.6</v>
      </c>
      <c r="D188" s="6">
        <v>4.49</v>
      </c>
      <c r="E188" s="6">
        <v>172.03065134099617</v>
      </c>
      <c r="F188" s="6">
        <v>2.464564295807814E-2</v>
      </c>
      <c r="G188" s="6">
        <v>3.6405506993445497E-2</v>
      </c>
      <c r="H188" s="6">
        <v>3.1583836507199257</v>
      </c>
      <c r="I188" s="6">
        <v>4.1900000000000004</v>
      </c>
      <c r="J188" s="6">
        <v>126.29737609329446</v>
      </c>
      <c r="K188" s="8">
        <f t="shared" si="3"/>
        <v>1.3621078811163825</v>
      </c>
    </row>
    <row r="189" spans="1:11" x14ac:dyDescent="0.25">
      <c r="A189" s="2">
        <v>1966</v>
      </c>
      <c r="B189" s="4">
        <v>194.37125748502996</v>
      </c>
      <c r="C189" s="3">
        <v>223.8</v>
      </c>
      <c r="D189" s="6">
        <v>5.13</v>
      </c>
      <c r="E189" s="6">
        <v>196.55172413793105</v>
      </c>
      <c r="F189" s="6">
        <v>1.8059002770082988E-2</v>
      </c>
      <c r="G189" s="6">
        <v>3.3694081485465599E-2</v>
      </c>
      <c r="H189" s="6">
        <v>3.0754393484783544</v>
      </c>
      <c r="I189" s="6">
        <v>4.6100000000000003</v>
      </c>
      <c r="J189" s="6">
        <v>130.49562682215745</v>
      </c>
      <c r="K189" s="8">
        <f t="shared" si="3"/>
        <v>1.5061939539613571</v>
      </c>
    </row>
    <row r="190" spans="1:11" x14ac:dyDescent="0.25">
      <c r="A190" s="2">
        <v>1967</v>
      </c>
      <c r="B190" s="4">
        <v>200</v>
      </c>
      <c r="C190" s="3">
        <v>224.2</v>
      </c>
      <c r="D190" s="6">
        <v>5.51</v>
      </c>
      <c r="E190" s="6">
        <v>211.11111111111111</v>
      </c>
      <c r="F190" s="6">
        <v>5.3312689901698102E-2</v>
      </c>
      <c r="G190" s="6">
        <v>3.03055848108107E-2</v>
      </c>
      <c r="H190" s="6">
        <v>3.457667258732978</v>
      </c>
      <c r="I190" s="6">
        <v>4.58</v>
      </c>
      <c r="J190" s="6">
        <v>130.72886297376093</v>
      </c>
      <c r="K190" s="8">
        <f t="shared" si="3"/>
        <v>1.6148775894538607</v>
      </c>
    </row>
    <row r="191" spans="1:11" x14ac:dyDescent="0.25">
      <c r="A191" s="2">
        <v>1968</v>
      </c>
      <c r="B191" s="4">
        <v>208.3832335329341</v>
      </c>
      <c r="C191" s="3">
        <v>229.8</v>
      </c>
      <c r="D191" s="6">
        <v>6.18</v>
      </c>
      <c r="E191" s="6">
        <v>236.7816091954023</v>
      </c>
      <c r="F191" s="6">
        <v>3.6822301516503141E-2</v>
      </c>
      <c r="G191" s="6">
        <v>2.6100173617205201E-2</v>
      </c>
      <c r="H191" s="6">
        <v>3.2302188552188551</v>
      </c>
      <c r="I191" s="6">
        <v>5.53</v>
      </c>
      <c r="J191" s="6">
        <v>133.9941690962099</v>
      </c>
      <c r="K191" s="8">
        <f t="shared" si="3"/>
        <v>1.7671038284165141</v>
      </c>
    </row>
    <row r="192" spans="1:11" x14ac:dyDescent="0.25">
      <c r="A192" s="2">
        <v>1969</v>
      </c>
      <c r="B192" s="4">
        <v>219.5808383233533</v>
      </c>
      <c r="C192" s="3">
        <v>238.8</v>
      </c>
      <c r="D192" s="6">
        <v>7.03</v>
      </c>
      <c r="E192" s="6">
        <v>269.34865900383141</v>
      </c>
      <c r="F192" s="6">
        <v>3.1135509138381041E-2</v>
      </c>
      <c r="G192" s="6">
        <v>2.1168048704265099E-2</v>
      </c>
      <c r="H192" s="6">
        <v>3.0968247745981965</v>
      </c>
      <c r="I192" s="6">
        <v>6.04</v>
      </c>
      <c r="J192" s="6">
        <v>139.24198250728864</v>
      </c>
      <c r="K192" s="8">
        <f t="shared" si="3"/>
        <v>1.9343925887419215</v>
      </c>
    </row>
    <row r="193" spans="1:11" x14ac:dyDescent="0.25">
      <c r="A193" s="2">
        <v>1970</v>
      </c>
      <c r="B193" s="4">
        <v>232.57485029940125</v>
      </c>
      <c r="C193" s="3">
        <v>247.5</v>
      </c>
      <c r="D193" s="6">
        <v>8.0399999999999991</v>
      </c>
      <c r="E193" s="6">
        <v>308.04597701149424</v>
      </c>
      <c r="F193" s="6">
        <v>4.3967839195980032E-2</v>
      </c>
      <c r="G193" s="6">
        <v>1.57066091354344E-2</v>
      </c>
      <c r="H193" s="6">
        <v>3.4769128557191893</v>
      </c>
      <c r="I193" s="6">
        <v>7.79</v>
      </c>
      <c r="J193" s="6">
        <v>144.31486880466471</v>
      </c>
      <c r="K193" s="8">
        <f t="shared" si="3"/>
        <v>2.1345408104028794</v>
      </c>
    </row>
    <row r="194" spans="1:11" x14ac:dyDescent="0.25">
      <c r="A194" s="2">
        <v>1971</v>
      </c>
      <c r="B194" s="4">
        <v>242.57485029940122</v>
      </c>
      <c r="C194" s="3">
        <v>255.4</v>
      </c>
      <c r="D194" s="6">
        <v>7.39</v>
      </c>
      <c r="E194" s="6">
        <v>283.14176245210729</v>
      </c>
      <c r="F194" s="6">
        <v>4.1980808080807931E-2</v>
      </c>
      <c r="G194" s="6">
        <v>1.0012973487114499E-2</v>
      </c>
      <c r="H194" s="6">
        <v>3.2837736656326881</v>
      </c>
      <c r="I194" s="6">
        <v>6.24</v>
      </c>
      <c r="J194" s="6">
        <v>148.92128279883383</v>
      </c>
      <c r="K194" s="8">
        <f t="shared" si="3"/>
        <v>1.9012847400366639</v>
      </c>
    </row>
    <row r="195" spans="1:11" x14ac:dyDescent="0.25">
      <c r="A195" s="2">
        <v>1972</v>
      </c>
      <c r="B195" s="4">
        <v>250.59880239520959</v>
      </c>
      <c r="C195" s="3">
        <v>267</v>
      </c>
      <c r="D195" s="6">
        <v>7.21</v>
      </c>
      <c r="E195" s="6">
        <v>276.24521072796938</v>
      </c>
      <c r="F195" s="6">
        <v>2.6681049334377441E-2</v>
      </c>
      <c r="G195" s="6">
        <v>4.6668942443524302E-3</v>
      </c>
      <c r="H195" s="6">
        <v>3.049370764762827</v>
      </c>
      <c r="I195" s="6">
        <v>5.95</v>
      </c>
      <c r="J195" s="6">
        <v>155.68513119533529</v>
      </c>
      <c r="K195" s="8">
        <f t="shared" si="3"/>
        <v>1.7743840314549342</v>
      </c>
    </row>
    <row r="196" spans="1:11" x14ac:dyDescent="0.25">
      <c r="A196" s="2">
        <v>1973</v>
      </c>
      <c r="B196" s="4">
        <v>266.16766467065867</v>
      </c>
      <c r="C196" s="3">
        <v>302</v>
      </c>
      <c r="D196" s="6">
        <v>7.44</v>
      </c>
      <c r="E196" s="6">
        <v>285.05747126436785</v>
      </c>
      <c r="F196" s="6">
        <v>-5.6686142322097302E-2</v>
      </c>
      <c r="G196" s="6">
        <v>5.6779415732408599E-4</v>
      </c>
      <c r="H196" s="6">
        <v>2.8542475933119404</v>
      </c>
      <c r="I196" s="6">
        <v>6.46</v>
      </c>
      <c r="J196" s="6">
        <v>176.0932944606414</v>
      </c>
      <c r="K196" s="8">
        <f t="shared" si="3"/>
        <v>1.6187866331734797</v>
      </c>
    </row>
    <row r="197" spans="1:11" x14ac:dyDescent="0.25">
      <c r="A197" s="2">
        <v>1974</v>
      </c>
      <c r="B197" s="4">
        <v>295.38922155688624</v>
      </c>
      <c r="C197" s="3">
        <v>359</v>
      </c>
      <c r="D197" s="6">
        <v>8.57</v>
      </c>
      <c r="E197" s="6">
        <v>328.35249042145597</v>
      </c>
      <c r="F197" s="6">
        <v>-0.10304172185430463</v>
      </c>
      <c r="G197" s="6">
        <v>-1.1647729662381701E-3</v>
      </c>
      <c r="H197" s="6">
        <v>3.7457080428675478</v>
      </c>
      <c r="I197" s="6">
        <v>6.99</v>
      </c>
      <c r="J197" s="6">
        <v>209.32944606413994</v>
      </c>
      <c r="K197" s="8">
        <f t="shared" si="3"/>
        <v>1.5685919807041699</v>
      </c>
    </row>
    <row r="198" spans="1:11" x14ac:dyDescent="0.25">
      <c r="A198" s="2">
        <v>1975</v>
      </c>
      <c r="B198" s="4">
        <v>322.39520958083835</v>
      </c>
      <c r="C198" s="3">
        <v>392.2</v>
      </c>
      <c r="D198" s="6">
        <v>8.83</v>
      </c>
      <c r="E198" s="6">
        <v>338.31417624521072</v>
      </c>
      <c r="F198" s="6">
        <v>-4.1791086350974893E-3</v>
      </c>
      <c r="G198" s="6">
        <v>1.6168739824786999E-5</v>
      </c>
      <c r="H198" s="6">
        <v>5.0716648291069459</v>
      </c>
      <c r="I198" s="6">
        <v>7.5</v>
      </c>
      <c r="J198" s="6">
        <v>228.68804664723032</v>
      </c>
      <c r="K198" s="8">
        <f t="shared" si="3"/>
        <v>1.4793697405929025</v>
      </c>
    </row>
    <row r="199" spans="1:11" x14ac:dyDescent="0.25">
      <c r="A199" s="2">
        <v>1976</v>
      </c>
      <c r="B199" s="4">
        <v>340.95808383233532</v>
      </c>
      <c r="C199" s="3">
        <v>410.2</v>
      </c>
      <c r="D199" s="6">
        <v>8.43</v>
      </c>
      <c r="E199" s="6">
        <v>322.98850574712645</v>
      </c>
      <c r="F199" s="6">
        <v>3.8405048444671151E-2</v>
      </c>
      <c r="G199" s="6">
        <v>3.6388428713344601E-3</v>
      </c>
      <c r="H199" s="6">
        <v>4.1812925872393141</v>
      </c>
      <c r="I199" s="6">
        <v>7.74</v>
      </c>
      <c r="J199" s="6">
        <v>239.18367346938774</v>
      </c>
      <c r="K199" s="8">
        <f t="shared" si="3"/>
        <v>1.3503785649837199</v>
      </c>
    </row>
    <row r="200" spans="1:11" x14ac:dyDescent="0.25">
      <c r="A200" s="2">
        <v>1977</v>
      </c>
      <c r="B200" s="4">
        <v>362.93413173652698</v>
      </c>
      <c r="C200" s="3">
        <v>435.71162029459907</v>
      </c>
      <c r="D200" s="6">
        <v>8.02</v>
      </c>
      <c r="E200" s="6">
        <v>307.27969348659008</v>
      </c>
      <c r="F200" s="6">
        <v>1.8006873977086627E-2</v>
      </c>
      <c r="G200" s="6">
        <v>9.1895113367141193E-3</v>
      </c>
      <c r="H200" s="6">
        <v>4.4986032174164334</v>
      </c>
      <c r="I200" s="6">
        <v>7.21</v>
      </c>
      <c r="J200" s="6">
        <v>254.05925381609273</v>
      </c>
      <c r="K200" s="8">
        <f t="shared" si="3"/>
        <v>1.2094804218744275</v>
      </c>
    </row>
    <row r="201" spans="1:11" x14ac:dyDescent="0.25">
      <c r="A201" s="2">
        <v>1978</v>
      </c>
      <c r="B201" s="4">
        <v>390.53892215568862</v>
      </c>
      <c r="C201" s="3">
        <v>469.27954173486097</v>
      </c>
      <c r="D201" s="6">
        <v>8.73</v>
      </c>
      <c r="E201" s="6">
        <v>334.48275862068965</v>
      </c>
      <c r="F201" s="6">
        <v>1.0258397534668603E-2</v>
      </c>
      <c r="G201" s="6">
        <v>1.6502147615673701E-2</v>
      </c>
      <c r="H201" s="6">
        <v>5.6177285318559553</v>
      </c>
      <c r="I201" s="6">
        <v>7.96</v>
      </c>
      <c r="J201" s="6">
        <v>273.63238585123088</v>
      </c>
      <c r="K201" s="8">
        <f t="shared" si="3"/>
        <v>1.222380010246821</v>
      </c>
    </row>
    <row r="202" spans="1:11" x14ac:dyDescent="0.25">
      <c r="A202" s="2">
        <v>1979</v>
      </c>
      <c r="B202" s="4">
        <v>434.55089820359279</v>
      </c>
      <c r="C202" s="3">
        <v>528.3590834697219</v>
      </c>
      <c r="D202" s="6">
        <v>9.6300000000000008</v>
      </c>
      <c r="E202" s="6">
        <v>368.96551724137936</v>
      </c>
      <c r="F202" s="6">
        <v>-2.9594134477825537E-2</v>
      </c>
      <c r="G202" s="6">
        <v>2.5498930074556E-2</v>
      </c>
      <c r="H202" s="6">
        <v>5.6664326546986263</v>
      </c>
      <c r="I202" s="6">
        <v>9.1</v>
      </c>
      <c r="J202" s="6">
        <v>308.08109823307399</v>
      </c>
      <c r="K202" s="8">
        <f t="shared" si="3"/>
        <v>1.1976246493455571</v>
      </c>
    </row>
    <row r="203" spans="1:11" x14ac:dyDescent="0.25">
      <c r="A203" s="2">
        <v>1980</v>
      </c>
      <c r="B203" s="4">
        <v>493.29341317365271</v>
      </c>
      <c r="C203" s="3">
        <v>602.87986906710319</v>
      </c>
      <c r="D203" s="6">
        <v>11.94</v>
      </c>
      <c r="E203" s="6">
        <v>457.4712643678161</v>
      </c>
      <c r="F203" s="6">
        <v>-2.1641931385006322E-2</v>
      </c>
      <c r="G203" s="6">
        <v>3.6039615603547001E-2</v>
      </c>
      <c r="H203" s="6">
        <v>5.5560566429151255</v>
      </c>
      <c r="I203" s="6">
        <v>10.8</v>
      </c>
      <c r="J203" s="6">
        <v>351.5334513510806</v>
      </c>
      <c r="K203" s="8">
        <f t="shared" si="3"/>
        <v>1.3013591241731763</v>
      </c>
    </row>
    <row r="204" spans="1:11" x14ac:dyDescent="0.25">
      <c r="A204" s="2">
        <v>1981</v>
      </c>
      <c r="B204" s="4">
        <v>544.49101796407183</v>
      </c>
      <c r="C204" s="3">
        <v>657.93126022913259</v>
      </c>
      <c r="D204" s="6">
        <v>14.17</v>
      </c>
      <c r="E204" s="6">
        <v>542.91187739463601</v>
      </c>
      <c r="F204" s="6">
        <v>5.0385968819599336E-2</v>
      </c>
      <c r="G204" s="6">
        <v>4.7433071792087403E-2</v>
      </c>
      <c r="H204" s="6">
        <v>4.9860870873129279</v>
      </c>
      <c r="I204" s="6">
        <v>12.57</v>
      </c>
      <c r="J204" s="6">
        <v>383.63338788870703</v>
      </c>
      <c r="K204" s="8">
        <f t="shared" si="3"/>
        <v>1.4151841172701476</v>
      </c>
    </row>
    <row r="205" spans="1:11" x14ac:dyDescent="0.25">
      <c r="A205" s="2">
        <v>1982</v>
      </c>
      <c r="B205" s="4">
        <v>577.8443113772455</v>
      </c>
      <c r="C205" s="3">
        <v>671.35842880523739</v>
      </c>
      <c r="D205" s="6">
        <v>13.79</v>
      </c>
      <c r="E205" s="6">
        <v>528.35249042145597</v>
      </c>
      <c r="F205" s="6">
        <v>0.11749183673469378</v>
      </c>
      <c r="G205" s="6">
        <v>5.8411370073581999E-2</v>
      </c>
      <c r="H205" s="6">
        <v>5.8577762619372438</v>
      </c>
      <c r="I205" s="6">
        <v>14.59</v>
      </c>
      <c r="J205" s="6">
        <v>391.46264070276231</v>
      </c>
      <c r="K205" s="8">
        <f t="shared" si="3"/>
        <v>1.3496881579119429</v>
      </c>
    </row>
    <row r="206" spans="1:11" x14ac:dyDescent="0.25">
      <c r="A206" s="2">
        <v>1983</v>
      </c>
      <c r="B206" s="4">
        <v>596.40718562874258</v>
      </c>
      <c r="C206" s="3">
        <v>680.08608837970542</v>
      </c>
      <c r="D206" s="6">
        <v>12.04</v>
      </c>
      <c r="E206" s="6">
        <v>461.30268199233717</v>
      </c>
      <c r="F206" s="6">
        <v>0.10739999999999997</v>
      </c>
      <c r="G206" s="6">
        <v>6.7736151163515099E-2</v>
      </c>
      <c r="H206" s="6">
        <v>4.9143966174533853</v>
      </c>
      <c r="I206" s="6">
        <v>10.46</v>
      </c>
      <c r="J206" s="6">
        <v>396.55165503189824</v>
      </c>
      <c r="K206" s="8">
        <f t="shared" si="3"/>
        <v>1.1632852268772662</v>
      </c>
    </row>
    <row r="207" spans="1:11" x14ac:dyDescent="0.25">
      <c r="A207" s="2">
        <v>1984</v>
      </c>
      <c r="B207" s="4">
        <v>622.1556886227545</v>
      </c>
      <c r="C207" s="3">
        <v>696.19869067103116</v>
      </c>
      <c r="D207" s="6">
        <v>12.71</v>
      </c>
      <c r="E207" s="6">
        <v>486.97318007662835</v>
      </c>
      <c r="F207" s="6">
        <v>0.10340799605133268</v>
      </c>
      <c r="G207" s="6">
        <v>7.47598420766349E-2</v>
      </c>
      <c r="H207" s="6">
        <v>4.5255123505018338</v>
      </c>
      <c r="I207" s="6">
        <v>11.67</v>
      </c>
      <c r="J207" s="6">
        <v>405.94675840876454</v>
      </c>
      <c r="K207" s="8">
        <f t="shared" si="3"/>
        <v>1.1995986419142064</v>
      </c>
    </row>
    <row r="208" spans="1:11" x14ac:dyDescent="0.25">
      <c r="A208" s="2">
        <v>1985</v>
      </c>
      <c r="B208" s="4">
        <v>644.31137724550899</v>
      </c>
      <c r="C208" s="3">
        <v>692.84189852700501</v>
      </c>
      <c r="D208" s="6">
        <v>11.37</v>
      </c>
      <c r="E208" s="6">
        <v>435.63218390804599</v>
      </c>
      <c r="F208" s="6">
        <v>0.11852160077145614</v>
      </c>
      <c r="G208" s="6">
        <v>7.9231508316054605E-2</v>
      </c>
      <c r="H208" s="6">
        <v>4.6034613367519368</v>
      </c>
      <c r="I208" s="6">
        <v>11.38</v>
      </c>
      <c r="J208" s="6">
        <v>403.98944520525072</v>
      </c>
      <c r="K208" s="8">
        <f t="shared" ref="K208:K234" si="4">E208/J208</f>
        <v>1.0783256569654163</v>
      </c>
    </row>
    <row r="209" spans="1:11" x14ac:dyDescent="0.25">
      <c r="A209" s="2">
        <v>1986</v>
      </c>
      <c r="B209" s="4">
        <v>656.28742514970065</v>
      </c>
      <c r="C209" s="3">
        <v>672.70114566284781</v>
      </c>
      <c r="D209" s="6">
        <v>9.02</v>
      </c>
      <c r="E209" s="6">
        <v>345.59386973180079</v>
      </c>
      <c r="F209" s="6">
        <v>0.11926976744186045</v>
      </c>
      <c r="G209" s="6">
        <v>8.11867169641209E-2</v>
      </c>
      <c r="H209" s="6">
        <v>3.9771362697535899</v>
      </c>
      <c r="I209" s="6">
        <v>9.19</v>
      </c>
      <c r="J209" s="6">
        <v>392.24556598416785</v>
      </c>
      <c r="K209" s="8">
        <f t="shared" si="4"/>
        <v>0.88106507683441848</v>
      </c>
    </row>
    <row r="210" spans="1:11" x14ac:dyDescent="0.25">
      <c r="A210" s="2">
        <v>1987</v>
      </c>
      <c r="B210" s="4">
        <v>680.23952095808386</v>
      </c>
      <c r="C210" s="3">
        <v>690.15646481178396</v>
      </c>
      <c r="D210" s="6">
        <v>9.3800000000000008</v>
      </c>
      <c r="E210" s="6">
        <v>359.38697318007667</v>
      </c>
      <c r="F210" s="6">
        <v>6.785189620758493E-2</v>
      </c>
      <c r="G210" s="6">
        <v>8.1053920020020001E-2</v>
      </c>
      <c r="H210" s="6">
        <v>3.3306869305508298</v>
      </c>
      <c r="I210" s="6">
        <v>7.08</v>
      </c>
      <c r="J210" s="6">
        <v>402.42359464243964</v>
      </c>
      <c r="K210" s="8">
        <f t="shared" si="4"/>
        <v>0.89305641608663189</v>
      </c>
    </row>
    <row r="211" spans="1:11" x14ac:dyDescent="0.25">
      <c r="A211" s="2">
        <v>1988</v>
      </c>
      <c r="B211" s="4">
        <v>708.38323353293413</v>
      </c>
      <c r="C211" s="3">
        <v>717.68216039279878</v>
      </c>
      <c r="D211" s="6">
        <v>9.7100000000000009</v>
      </c>
      <c r="E211" s="6">
        <v>372.03065134099626</v>
      </c>
      <c r="F211" s="6">
        <v>5.7216731517509611E-2</v>
      </c>
      <c r="G211" s="6">
        <v>7.9642402313296903E-2</v>
      </c>
      <c r="H211" s="6">
        <v>3.8845416799744492</v>
      </c>
      <c r="I211" s="6">
        <v>8.67</v>
      </c>
      <c r="J211" s="6">
        <v>418.47356291125294</v>
      </c>
      <c r="K211" s="8">
        <f t="shared" si="4"/>
        <v>0.88901829007509847</v>
      </c>
    </row>
    <row r="212" spans="1:11" x14ac:dyDescent="0.25">
      <c r="A212" s="2">
        <v>1989</v>
      </c>
      <c r="B212" s="4">
        <v>742.51497005988028</v>
      </c>
      <c r="C212" s="3">
        <v>753.26415711947629</v>
      </c>
      <c r="D212" s="6">
        <v>9.26</v>
      </c>
      <c r="E212" s="6">
        <v>354.78927203065138</v>
      </c>
      <c r="F212" s="6">
        <v>4.3020954162769028E-2</v>
      </c>
      <c r="G212" s="6">
        <v>7.7629409473296496E-2</v>
      </c>
      <c r="H212" s="6">
        <v>3.8716232787919131</v>
      </c>
      <c r="I212" s="6">
        <v>9.09</v>
      </c>
      <c r="J212" s="6">
        <v>439.22108286849931</v>
      </c>
      <c r="K212" s="8">
        <f t="shared" si="4"/>
        <v>0.8077692211711831</v>
      </c>
    </row>
    <row r="213" spans="1:11" x14ac:dyDescent="0.25">
      <c r="A213" s="2">
        <v>1990</v>
      </c>
      <c r="B213" s="4">
        <v>782.6347305389221</v>
      </c>
      <c r="C213" s="3">
        <v>780.78985270049088</v>
      </c>
      <c r="D213" s="6">
        <v>9.32</v>
      </c>
      <c r="E213" s="6">
        <v>357.08812260536399</v>
      </c>
      <c r="F213" s="6">
        <v>5.6658110516934333E-2</v>
      </c>
      <c r="G213" s="6">
        <v>7.5467963106230607E-2</v>
      </c>
      <c r="H213" s="6">
        <v>3.5591375709621436</v>
      </c>
      <c r="I213" s="6">
        <v>8.2100000000000009</v>
      </c>
      <c r="J213" s="6">
        <v>455.27105113731244</v>
      </c>
      <c r="K213" s="8">
        <f t="shared" si="4"/>
        <v>0.78434181508646839</v>
      </c>
    </row>
    <row r="214" spans="1:11" x14ac:dyDescent="0.25">
      <c r="A214" s="2">
        <v>1991</v>
      </c>
      <c r="B214" s="4">
        <v>815.56886227544908</v>
      </c>
      <c r="C214" s="3">
        <v>782.1325695581013</v>
      </c>
      <c r="D214" s="6">
        <v>8.77</v>
      </c>
      <c r="E214" s="6">
        <v>336.0153256704981</v>
      </c>
      <c r="F214" s="6">
        <v>8.5980309544282124E-2</v>
      </c>
      <c r="G214" s="6">
        <v>7.3264990723578199E-2</v>
      </c>
      <c r="H214" s="6">
        <v>3.7480798771121351</v>
      </c>
      <c r="I214" s="6">
        <v>8.09</v>
      </c>
      <c r="J214" s="6">
        <v>456.05397641871792</v>
      </c>
      <c r="K214" s="8">
        <f t="shared" si="4"/>
        <v>0.73678850102162374</v>
      </c>
    </row>
    <row r="215" spans="1:11" x14ac:dyDescent="0.25">
      <c r="A215" s="2">
        <v>1992</v>
      </c>
      <c r="B215" s="4">
        <v>840.11976047904204</v>
      </c>
      <c r="C215" s="3">
        <v>786.83207855973797</v>
      </c>
      <c r="D215" s="6">
        <v>8.14</v>
      </c>
      <c r="E215" s="6">
        <v>311.87739463601537</v>
      </c>
      <c r="F215" s="6">
        <v>7.5391416309012693E-2</v>
      </c>
      <c r="G215" s="6">
        <v>7.0939340205755805E-2</v>
      </c>
      <c r="H215" s="6">
        <v>2.9753893482022691</v>
      </c>
      <c r="I215" s="6">
        <v>7.03</v>
      </c>
      <c r="J215" s="6">
        <v>458.79421490363734</v>
      </c>
      <c r="K215" s="8">
        <f t="shared" si="4"/>
        <v>0.67977621448762249</v>
      </c>
    </row>
    <row r="216" spans="1:11" x14ac:dyDescent="0.25">
      <c r="A216" s="2">
        <v>1993</v>
      </c>
      <c r="B216" s="4">
        <v>865.26946107784431</v>
      </c>
      <c r="C216" s="3">
        <v>798.24517184942704</v>
      </c>
      <c r="D216" s="6">
        <v>7.22</v>
      </c>
      <c r="E216" s="6">
        <v>276.62835249042149</v>
      </c>
      <c r="F216" s="6">
        <v>5.7694880546075245E-2</v>
      </c>
      <c r="G216" s="6">
        <v>6.8537009525944298E-2</v>
      </c>
      <c r="H216" s="6">
        <v>2.8904257519012932</v>
      </c>
      <c r="I216" s="6">
        <v>6.6</v>
      </c>
      <c r="J216" s="6">
        <v>465.44907979558423</v>
      </c>
      <c r="K216" s="8">
        <f t="shared" si="4"/>
        <v>0.59432570499851678</v>
      </c>
    </row>
    <row r="217" spans="1:11" x14ac:dyDescent="0.25">
      <c r="A217" s="2">
        <v>1994</v>
      </c>
      <c r="B217" s="4">
        <v>887.42514970059869</v>
      </c>
      <c r="C217" s="3">
        <v>808.31554828150558</v>
      </c>
      <c r="D217" s="6">
        <v>7.96</v>
      </c>
      <c r="E217" s="6">
        <v>304.9808429118774</v>
      </c>
      <c r="F217" s="6">
        <v>6.6984356602186532E-2</v>
      </c>
      <c r="G217" s="6">
        <v>6.6148503255266999E-2</v>
      </c>
      <c r="H217" s="6">
        <v>2.7865282564113407</v>
      </c>
      <c r="I217" s="6">
        <v>5.75</v>
      </c>
      <c r="J217" s="6">
        <v>471.32101940612574</v>
      </c>
      <c r="K217" s="8">
        <f t="shared" si="4"/>
        <v>0.64707668522010664</v>
      </c>
    </row>
    <row r="218" spans="1:11" x14ac:dyDescent="0.25">
      <c r="A218" s="2">
        <v>1995</v>
      </c>
      <c r="B218" s="4">
        <v>912.57485029940119</v>
      </c>
      <c r="C218" s="3">
        <v>837.1839607201307</v>
      </c>
      <c r="D218" s="6">
        <v>7.59</v>
      </c>
      <c r="E218" s="6">
        <v>290.80459770114942</v>
      </c>
      <c r="F218" s="6">
        <v>4.0185714285714505E-2</v>
      </c>
      <c r="G218" s="6">
        <v>6.3755855869587694E-2</v>
      </c>
      <c r="H218" s="6">
        <v>2.9639978506179472</v>
      </c>
      <c r="I218" s="6">
        <v>7.78</v>
      </c>
      <c r="J218" s="6">
        <v>488.15391295634441</v>
      </c>
      <c r="K218" s="8">
        <f t="shared" si="4"/>
        <v>0.59572317251332996</v>
      </c>
    </row>
    <row r="219" spans="1:11" x14ac:dyDescent="0.25">
      <c r="A219" s="2">
        <v>1996</v>
      </c>
      <c r="B219" s="4">
        <v>939.5209580838324</v>
      </c>
      <c r="C219" s="3">
        <v>857.32471358428779</v>
      </c>
      <c r="D219" s="6">
        <v>7.37</v>
      </c>
      <c r="E219" s="6">
        <v>282.37547892720306</v>
      </c>
      <c r="F219" s="6">
        <v>4.9642261427425824E-2</v>
      </c>
      <c r="G219" s="6">
        <v>6.1349416812217603E-2</v>
      </c>
      <c r="H219" s="6">
        <v>2.4250512678623743</v>
      </c>
      <c r="I219" s="6">
        <v>5.65</v>
      </c>
      <c r="J219" s="6">
        <v>499.89779217742728</v>
      </c>
      <c r="K219" s="8">
        <f t="shared" si="4"/>
        <v>0.56486642538917309</v>
      </c>
    </row>
    <row r="220" spans="1:11" x14ac:dyDescent="0.25">
      <c r="A220" s="2">
        <v>1997</v>
      </c>
      <c r="B220" s="4">
        <v>961.07784431137725</v>
      </c>
      <c r="C220" s="3">
        <v>856.65335515548247</v>
      </c>
      <c r="D220" s="6">
        <v>7.26</v>
      </c>
      <c r="E220" s="6">
        <v>278.16091954022988</v>
      </c>
      <c r="F220" s="6">
        <v>7.3383085356304015E-2</v>
      </c>
      <c r="G220" s="6">
        <v>5.8683876967772101E-2</v>
      </c>
      <c r="H220" s="6">
        <v>2.0229176998773197</v>
      </c>
      <c r="I220" s="6">
        <v>6.58</v>
      </c>
      <c r="J220" s="6">
        <v>499.50632953672442</v>
      </c>
      <c r="K220" s="8">
        <f t="shared" si="4"/>
        <v>0.55687166126246068</v>
      </c>
    </row>
    <row r="221" spans="1:11" x14ac:dyDescent="0.25">
      <c r="A221" s="2">
        <v>1998</v>
      </c>
      <c r="B221" s="4">
        <v>976.04790419161679</v>
      </c>
      <c r="C221" s="3">
        <v>835.16988543371497</v>
      </c>
      <c r="D221" s="6">
        <v>6.53</v>
      </c>
      <c r="E221" s="6">
        <v>250.19157088122606</v>
      </c>
      <c r="F221" s="6">
        <v>9.0378369905955908E-2</v>
      </c>
      <c r="G221" s="6">
        <v>5.5396833052744301E-2</v>
      </c>
      <c r="H221" s="6">
        <v>1.6816143497757847</v>
      </c>
      <c r="I221" s="6">
        <v>5.54</v>
      </c>
      <c r="J221" s="6">
        <v>486.97952503423613</v>
      </c>
      <c r="K221" s="8">
        <f t="shared" si="4"/>
        <v>0.51376199207479378</v>
      </c>
    </row>
    <row r="222" spans="1:11" x14ac:dyDescent="0.25">
      <c r="A222" s="2">
        <v>1999</v>
      </c>
      <c r="B222" s="4">
        <v>997.60479041916176</v>
      </c>
      <c r="C222" s="3">
        <v>842.55482815057258</v>
      </c>
      <c r="D222" s="6">
        <v>7.05</v>
      </c>
      <c r="E222" s="6">
        <v>270.11494252873564</v>
      </c>
      <c r="F222" s="6">
        <v>6.1657556270096461E-2</v>
      </c>
      <c r="G222" s="6">
        <v>5.1272843013949701E-2</v>
      </c>
      <c r="H222" s="6">
        <v>1.3365151308887948</v>
      </c>
      <c r="I222" s="6">
        <v>4.72</v>
      </c>
      <c r="J222" s="6">
        <v>491.28561408196651</v>
      </c>
      <c r="K222" s="8">
        <f t="shared" si="4"/>
        <v>0.54981244063798174</v>
      </c>
    </row>
    <row r="223" spans="1:11" x14ac:dyDescent="0.25">
      <c r="A223" s="2">
        <v>2000</v>
      </c>
      <c r="B223" s="4">
        <v>1031.1377245508982</v>
      </c>
      <c r="C223" s="3">
        <v>890.89263502454969</v>
      </c>
      <c r="D223" s="6">
        <v>7.62</v>
      </c>
      <c r="E223" s="6">
        <v>291.95402298850576</v>
      </c>
      <c r="F223" s="6">
        <v>1.8829482071713206E-2</v>
      </c>
      <c r="G223" s="6">
        <v>4.6446296467676298E-2</v>
      </c>
      <c r="H223" s="6">
        <v>1.1412818552318689</v>
      </c>
      <c r="I223" s="6">
        <v>6.66</v>
      </c>
      <c r="J223" s="6">
        <v>519.47092421256536</v>
      </c>
      <c r="K223" s="8">
        <f t="shared" si="4"/>
        <v>0.56202187529756598</v>
      </c>
    </row>
    <row r="224" spans="1:11" x14ac:dyDescent="0.25">
      <c r="A224" s="2">
        <v>2001</v>
      </c>
      <c r="B224" s="4">
        <v>1060.4790419161677</v>
      </c>
      <c r="C224" s="3">
        <v>900.96301145662824</v>
      </c>
      <c r="D224" s="6">
        <v>7.08</v>
      </c>
      <c r="E224" s="6">
        <v>271.26436781609198</v>
      </c>
      <c r="F224" s="6">
        <v>5.9496307460436916E-2</v>
      </c>
      <c r="G224" s="6">
        <v>4.1155454600072798E-2</v>
      </c>
      <c r="H224" s="6">
        <v>1.1784700852781083</v>
      </c>
      <c r="I224" s="6">
        <v>5.16</v>
      </c>
      <c r="J224" s="6">
        <v>525.34286382310688</v>
      </c>
      <c r="K224" s="8">
        <f t="shared" si="4"/>
        <v>0.5163568147514267</v>
      </c>
    </row>
    <row r="225" spans="1:11" x14ac:dyDescent="0.25">
      <c r="A225" s="2">
        <v>2002</v>
      </c>
      <c r="B225" s="4">
        <v>1077.245508982036</v>
      </c>
      <c r="C225" s="3">
        <v>880.15090016366594</v>
      </c>
      <c r="D225" s="6">
        <v>6.49</v>
      </c>
      <c r="E225" s="6">
        <v>248.65900383141764</v>
      </c>
      <c r="F225" s="6">
        <v>8.7999850968703386E-2</v>
      </c>
      <c r="G225" s="6">
        <v>3.5362415632610902E-2</v>
      </c>
      <c r="H225" s="6">
        <v>1.4093894984257285</v>
      </c>
      <c r="I225" s="6">
        <v>5.04</v>
      </c>
      <c r="J225" s="6">
        <v>513.20752196132128</v>
      </c>
      <c r="K225" s="8">
        <f t="shared" si="4"/>
        <v>0.48451940626497331</v>
      </c>
    </row>
    <row r="226" spans="1:11" x14ac:dyDescent="0.25">
      <c r="A226" s="2">
        <v>2003</v>
      </c>
      <c r="B226" s="4">
        <v>1101.7964071856288</v>
      </c>
      <c r="C226" s="3">
        <v>927.14599018003264</v>
      </c>
      <c r="D226" s="6">
        <v>5.67</v>
      </c>
      <c r="E226" s="6">
        <v>217.24137931034483</v>
      </c>
      <c r="F226" s="6">
        <v>3.3056445461479567E-3</v>
      </c>
      <c r="G226" s="6">
        <v>2.9212723240761702E-2</v>
      </c>
      <c r="H226" s="6">
        <v>1.9411948562243257</v>
      </c>
      <c r="I226" s="6">
        <v>4.05</v>
      </c>
      <c r="J226" s="6">
        <v>540.60990681051464</v>
      </c>
      <c r="K226" s="8">
        <f t="shared" si="4"/>
        <v>0.40184498392199935</v>
      </c>
    </row>
    <row r="227" spans="1:11" x14ac:dyDescent="0.25">
      <c r="A227" s="2">
        <v>2004</v>
      </c>
      <c r="B227" s="4">
        <v>1131.1377245508982</v>
      </c>
      <c r="C227" s="3">
        <v>984.8828150572831</v>
      </c>
      <c r="D227" s="6">
        <v>5.63</v>
      </c>
      <c r="E227" s="6">
        <v>215.7088122605364</v>
      </c>
      <c r="F227" s="6">
        <v>-5.973714699493364E-3</v>
      </c>
      <c r="G227" s="6">
        <v>2.33782969436701E-2</v>
      </c>
      <c r="H227" s="6">
        <v>1.7165259774661819</v>
      </c>
      <c r="I227" s="6">
        <v>4.1500000000000004</v>
      </c>
      <c r="J227" s="6">
        <v>574.27569391095233</v>
      </c>
      <c r="K227" s="8">
        <f t="shared" si="4"/>
        <v>0.37561891361187294</v>
      </c>
    </row>
    <row r="228" spans="1:11" x14ac:dyDescent="0.25">
      <c r="A228" s="2">
        <v>2005</v>
      </c>
      <c r="B228" s="4">
        <v>1169.4610778443114</v>
      </c>
      <c r="C228" s="3">
        <v>1056.7181669394438</v>
      </c>
      <c r="D228" s="6">
        <v>5.23</v>
      </c>
      <c r="E228" s="6">
        <v>200.38314176245211</v>
      </c>
      <c r="F228" s="6">
        <v>-2.0637968643490247E-2</v>
      </c>
      <c r="G228" s="6">
        <v>1.8272029028073501E-2</v>
      </c>
      <c r="H228" s="6">
        <v>1.8808034467289085</v>
      </c>
      <c r="I228" s="6">
        <v>4.22</v>
      </c>
      <c r="J228" s="6">
        <v>616.16219646614798</v>
      </c>
      <c r="K228" s="8">
        <f t="shared" si="4"/>
        <v>0.32521167788563149</v>
      </c>
    </row>
    <row r="229" spans="1:11" x14ac:dyDescent="0.25">
      <c r="A229" s="2">
        <v>2006</v>
      </c>
      <c r="B229" s="4">
        <v>1207.1856287425151</v>
      </c>
      <c r="C229" s="3">
        <v>1105.7273322422261</v>
      </c>
      <c r="D229" s="6">
        <v>5.59</v>
      </c>
      <c r="E229" s="6">
        <v>214.17624521072798</v>
      </c>
      <c r="F229" s="6">
        <v>9.5213468869123283E-3</v>
      </c>
      <c r="G229" s="6">
        <v>1.40133288112726E-2</v>
      </c>
      <c r="H229" s="6">
        <v>1.9456804798511023</v>
      </c>
      <c r="I229" s="6">
        <v>4.42</v>
      </c>
      <c r="J229" s="6">
        <v>644.73896923744962</v>
      </c>
      <c r="K229" s="8">
        <f t="shared" si="4"/>
        <v>0.33219063129383986</v>
      </c>
    </row>
    <row r="230" spans="1:11" x14ac:dyDescent="0.25">
      <c r="A230" s="2">
        <f>A229+1</f>
        <v>2007</v>
      </c>
      <c r="B230" s="4">
        <v>1241.556886227545</v>
      </c>
      <c r="C230" s="3">
        <v>1158.7646481178399</v>
      </c>
      <c r="D230" s="6">
        <v>5.56</v>
      </c>
      <c r="E230" s="6">
        <v>213.02681992337165</v>
      </c>
      <c r="F230" s="6">
        <v>7.6340012143291044E-3</v>
      </c>
      <c r="G230" s="6">
        <v>1.03324853202872E-2</v>
      </c>
      <c r="H230" s="6">
        <v>1.9471126839680934</v>
      </c>
      <c r="I230" s="6">
        <v>4.76</v>
      </c>
      <c r="J230" s="6">
        <v>675.66451785296783</v>
      </c>
      <c r="K230" s="8">
        <f t="shared" si="4"/>
        <v>0.31528489996825415</v>
      </c>
    </row>
    <row r="231" spans="1:11" x14ac:dyDescent="0.25">
      <c r="A231" s="2">
        <f>A230+1</f>
        <v>2008</v>
      </c>
      <c r="B231" s="4">
        <v>1289.2215568862275</v>
      </c>
      <c r="C231" s="3">
        <v>1272.8955810147302</v>
      </c>
      <c r="D231" s="6">
        <v>5.63</v>
      </c>
      <c r="E231" s="6">
        <v>215.7088122605364</v>
      </c>
      <c r="F231" s="6">
        <v>-4.2193626882966316E-2</v>
      </c>
      <c r="G231" s="6">
        <v>6.9148542940245398E-3</v>
      </c>
      <c r="H231" s="6">
        <v>2.0590965795352347</v>
      </c>
      <c r="I231" s="6">
        <v>3.74</v>
      </c>
      <c r="J231" s="6">
        <v>742.21316677243738</v>
      </c>
      <c r="K231" s="8">
        <f t="shared" si="4"/>
        <v>0.290629191069946</v>
      </c>
    </row>
    <row r="232" spans="1:11" x14ac:dyDescent="0.25">
      <c r="A232" s="2">
        <f>A231+1</f>
        <v>2009</v>
      </c>
      <c r="B232" s="4">
        <v>1284.6706586826349</v>
      </c>
      <c r="C232" s="3">
        <v>1160.7787234042555</v>
      </c>
      <c r="D232" s="6">
        <v>5.31</v>
      </c>
      <c r="E232" s="6">
        <v>203.44827586206898</v>
      </c>
      <c r="F232" s="6">
        <v>0.14118016877637124</v>
      </c>
      <c r="G232" s="6">
        <v>3.41876661818889E-3</v>
      </c>
      <c r="H232" s="6">
        <v>2.5890154578432956</v>
      </c>
      <c r="I232" s="6">
        <v>2.52</v>
      </c>
      <c r="J232" s="6">
        <v>676.83890577507611</v>
      </c>
      <c r="K232" s="8">
        <f t="shared" si="4"/>
        <v>0.30058596532522314</v>
      </c>
    </row>
    <row r="233" spans="1:11" x14ac:dyDescent="0.25">
      <c r="A233" s="2">
        <f>A232+1</f>
        <v>2010</v>
      </c>
      <c r="B233" s="4">
        <v>1305.7485029940121</v>
      </c>
      <c r="C233" s="3">
        <v>1239.9990180032732</v>
      </c>
      <c r="D233" s="6">
        <v>4.9400000000000004</v>
      </c>
      <c r="E233" s="6">
        <v>189.27203065134103</v>
      </c>
      <c r="F233" s="6">
        <v>-1.8847541931752136E-2</v>
      </c>
      <c r="G233" s="6">
        <v>-9.8849536445565298E-4</v>
      </c>
      <c r="H233" s="6">
        <v>2.02299791737126</v>
      </c>
      <c r="I233" s="6">
        <v>3.73</v>
      </c>
      <c r="J233" s="6">
        <v>723.03149737800186</v>
      </c>
      <c r="K233" s="8">
        <f t="shared" si="4"/>
        <v>0.26177563679828092</v>
      </c>
    </row>
    <row r="234" spans="1:11" x14ac:dyDescent="0.25">
      <c r="A234" s="2">
        <f>A233+1</f>
        <v>2011</v>
      </c>
      <c r="C234" s="3">
        <v>1350.1018003273323</v>
      </c>
      <c r="D234" s="6">
        <v>4.6399999999999997</v>
      </c>
      <c r="E234" s="6">
        <v>177.77777777777777</v>
      </c>
      <c r="F234" s="6">
        <v>-4.2392636708175543E-2</v>
      </c>
      <c r="G234" s="6">
        <v>-5.7620369773269302E-3</v>
      </c>
      <c r="H234" s="6">
        <v>2.0606259063479442</v>
      </c>
      <c r="I234" s="6">
        <v>3.39</v>
      </c>
      <c r="J234" s="6">
        <v>787.23137045325495</v>
      </c>
      <c r="K234" s="8">
        <f t="shared" si="4"/>
        <v>0.22582659234656866</v>
      </c>
    </row>
  </sheetData>
  <pageMargins left="0.7" right="0.7" top="0.75" bottom="0.75" header="0.3" footer="0.3"/>
  <headerFooter>
    <oddHeader>&amp;L&amp;"Calibri"&amp;11&amp;K000000 PERSONAL/NONWORK // EXTERNAL&amp;1#_x000D_</oddHeader>
  </headerFooter>
  <legacyDrawing r:id="rId1"/>
</worksheet>
</file>

<file path=docMetadata/LabelInfo.xml><?xml version="1.0" encoding="utf-8"?>
<clbl:labelList xmlns:clbl="http://schemas.microsoft.com/office/2020/mipLabelMetadata">
  <clbl:label id="{d7ea93e3-e39d-47c1-8196-dda37fa8a38c}" enabled="1" method="Privileged" siteId="{b397c653-5b19-463f-b9fc-af658ded91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Federal Reserve System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Anderson, Nicholas C</dc:creator>
  <cp:lastModifiedBy>Anderson, Nicholas C</cp:lastModifiedBy>
  <dcterms:created xsi:type="dcterms:W3CDTF">2025-10-02T19:33:09Z</dcterms:created>
  <dcterms:modified xsi:type="dcterms:W3CDTF">2025-10-02T21:40:26Z</dcterms:modified>
</cp:coreProperties>
</file>
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'Data'!$A$4:$A$23</f>
            </numRef>
          </cat>
          <val>
            <numRef>
              <f>'Data'!$B$4:$B$23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5" customWidth="1" min="4" max="4"/>
    <col width="14" customWidth="1" min="5" max="5"/>
  </cols>
  <sheetData>
    <row r="1">
      <c r="A1" s="1" t="inlineStr">
        <is>
          <t>S703 — annual values (long form below pivot)</t>
        </is>
      </c>
    </row>
    <row r="2"/>
    <row r="3">
      <c r="A3" s="2" t="inlineStr">
        <is>
          <t>year</t>
        </is>
      </c>
      <c r="B3" s="2" t="inlineStr">
        <is>
          <t>S703-A</t>
        </is>
      </c>
    </row>
    <row r="4">
      <c r="A4" t="n">
        <v>1970</v>
      </c>
      <c r="B4" t="n">
        <v>0.1455</v>
      </c>
    </row>
    <row r="5">
      <c r="A5" t="n">
        <v>1971</v>
      </c>
      <c r="B5" t="n">
        <v>0.1432</v>
      </c>
    </row>
    <row r="6">
      <c r="A6" t="n">
        <v>1972</v>
      </c>
      <c r="B6" t="n">
        <v>0.148</v>
      </c>
    </row>
    <row r="7">
      <c r="A7" t="n">
        <v>1973</v>
      </c>
      <c r="B7" t="n">
        <v>0.1563</v>
      </c>
    </row>
    <row r="8">
      <c r="A8" t="n">
        <v>1975</v>
      </c>
      <c r="B8" t="n">
        <v>0.1276</v>
      </c>
    </row>
    <row r="9">
      <c r="A9" t="n">
        <v>1976</v>
      </c>
      <c r="B9" t="n">
        <v>0.1395</v>
      </c>
    </row>
    <row r="10">
      <c r="A10" t="n">
        <v>1977</v>
      </c>
      <c r="B10" t="n">
        <v>0.1411</v>
      </c>
    </row>
    <row r="11">
      <c r="A11" t="n">
        <v>1978</v>
      </c>
      <c r="B11" t="n">
        <v>0.1434</v>
      </c>
    </row>
    <row r="12">
      <c r="A12" t="n">
        <v>1979</v>
      </c>
      <c r="B12" t="n">
        <v>0.1421</v>
      </c>
    </row>
    <row r="13">
      <c r="A13" t="n">
        <v>1980</v>
      </c>
      <c r="B13" t="n">
        <v>0.1309</v>
      </c>
    </row>
    <row r="14">
      <c r="A14" t="n">
        <v>1981</v>
      </c>
      <c r="B14" t="n">
        <v>0.1284</v>
      </c>
    </row>
    <row r="15">
      <c r="A15" t="n">
        <v>1982</v>
      </c>
      <c r="B15" t="n">
        <v>0.119</v>
      </c>
    </row>
    <row r="16">
      <c r="A16" t="n">
        <v>1983</v>
      </c>
      <c r="B16" t="n">
        <v>0.1325</v>
      </c>
    </row>
    <row r="17">
      <c r="A17" t="n">
        <v>1984</v>
      </c>
      <c r="B17" t="n">
        <v>0.1424</v>
      </c>
    </row>
    <row r="18">
      <c r="A18" t="n">
        <v>1985</v>
      </c>
      <c r="B18" t="n">
        <v>0.1426</v>
      </c>
    </row>
    <row r="19">
      <c r="A19" t="n">
        <v>1986</v>
      </c>
      <c r="B19" t="n">
        <v>0.1425</v>
      </c>
    </row>
    <row r="20">
      <c r="A20" t="n">
        <v>1987</v>
      </c>
      <c r="B20" t="n">
        <v>0.1436</v>
      </c>
    </row>
    <row r="21">
      <c r="A21" t="n">
        <v>1988</v>
      </c>
      <c r="B21" t="n">
        <v>0.1608</v>
      </c>
    </row>
    <row r="22">
      <c r="A22" t="n">
        <v>1989</v>
      </c>
      <c r="B22" t="n">
        <v>0.1603</v>
      </c>
    </row>
    <row r="23">
      <c r="A23" t="n">
        <v>1990</v>
      </c>
      <c r="B23" t="n">
        <v>0.1562</v>
      </c>
    </row>
    <row r="24"/>
    <row r="25"/>
    <row r="26"/>
    <row r="27">
      <c r="A27" s="1" t="inlineStr">
        <is>
          <t>Long form (year, value, subseries_id, source_id, units)</t>
        </is>
      </c>
    </row>
    <row r="28">
      <c r="A28" s="3" t="inlineStr">
        <is>
          <t>year</t>
        </is>
      </c>
      <c r="B28" s="3" t="inlineStr">
        <is>
          <t>value</t>
        </is>
      </c>
      <c r="C28" s="3" t="inlineStr">
        <is>
          <t>subseries_id</t>
        </is>
      </c>
      <c r="D28" s="3" t="inlineStr">
        <is>
          <t>source_id</t>
        </is>
      </c>
      <c r="E28" s="3" t="inlineStr">
        <is>
          <t>units</t>
        </is>
      </c>
    </row>
    <row r="29">
      <c r="A29" t="n">
        <v>1970</v>
      </c>
      <c r="B29" t="n">
        <v>0.1455</v>
      </c>
      <c r="C29" t="inlineStr">
        <is>
          <t>S703-A</t>
        </is>
      </c>
      <c r="D29" t="inlineStr">
        <is>
          <t>MACHINE_DIGITIZED_FIG713_WORLDAVG</t>
        </is>
      </c>
      <c r="E29" t="inlineStr">
        <is>
          <t>rate_decimal</t>
        </is>
      </c>
    </row>
    <row r="30">
      <c r="A30" t="n">
        <v>1971</v>
      </c>
      <c r="B30" t="n">
        <v>0.1432</v>
      </c>
      <c r="C30" t="inlineStr">
        <is>
          <t>S703-A</t>
        </is>
      </c>
      <c r="D30" t="inlineStr">
        <is>
          <t>MACHINE_DIGITIZED_FIG713_WORLDAVG</t>
        </is>
      </c>
      <c r="E30" t="inlineStr">
        <is>
          <t>rate_decimal</t>
        </is>
      </c>
    </row>
    <row r="31">
      <c r="A31" t="n">
        <v>1972</v>
      </c>
      <c r="B31" t="n">
        <v>0.148</v>
      </c>
      <c r="C31" t="inlineStr">
        <is>
          <t>S703-A</t>
        </is>
      </c>
      <c r="D31" t="inlineStr">
        <is>
          <t>MACHINE_DIGITIZED_FIG713_WORLDAVG</t>
        </is>
      </c>
      <c r="E31" t="inlineStr">
        <is>
          <t>rate_decimal</t>
        </is>
      </c>
    </row>
    <row r="32">
      <c r="A32" t="n">
        <v>1973</v>
      </c>
      <c r="B32" t="n">
        <v>0.1563</v>
      </c>
      <c r="C32" t="inlineStr">
        <is>
          <t>S703-A</t>
        </is>
      </c>
      <c r="D32" t="inlineStr">
        <is>
          <t>MACHINE_DIGITIZED_FIG713_WORLDAVG</t>
        </is>
      </c>
      <c r="E32" t="inlineStr">
        <is>
          <t>rate_decimal</t>
        </is>
      </c>
    </row>
    <row r="33">
      <c r="A33" t="n">
        <v>1975</v>
      </c>
      <c r="B33" t="n">
        <v>0.1276</v>
      </c>
      <c r="C33" t="inlineStr">
        <is>
          <t>S703-A</t>
        </is>
      </c>
      <c r="D33" t="inlineStr">
        <is>
          <t>MACHINE_DIGITIZED_FIG713_WORLDAVG</t>
        </is>
      </c>
      <c r="E33" t="inlineStr">
        <is>
          <t>rate_decimal</t>
        </is>
      </c>
    </row>
    <row r="34">
      <c r="A34" t="n">
        <v>1976</v>
      </c>
      <c r="B34" t="n">
        <v>0.1395</v>
      </c>
      <c r="C34" t="inlineStr">
        <is>
          <t>S703-A</t>
        </is>
      </c>
      <c r="D34" t="inlineStr">
        <is>
          <t>MACHINE_DIGITIZED_FIG713_WORLDAVG</t>
        </is>
      </c>
      <c r="E34" t="inlineStr">
        <is>
          <t>rate_decimal</t>
        </is>
      </c>
    </row>
    <row r="35">
      <c r="A35" t="n">
        <v>1977</v>
      </c>
      <c r="B35" t="n">
        <v>0.1411</v>
      </c>
      <c r="C35" t="inlineStr">
        <is>
          <t>S703-A</t>
        </is>
      </c>
      <c r="D35" t="inlineStr">
        <is>
          <t>MACHINE_DIGITIZED_FIG713_WORLDAVG</t>
        </is>
      </c>
      <c r="E35" t="inlineStr">
        <is>
          <t>rate_decimal</t>
        </is>
      </c>
    </row>
    <row r="36">
      <c r="A36" t="n">
        <v>1978</v>
      </c>
      <c r="B36" t="n">
        <v>0.1434</v>
      </c>
      <c r="C36" t="inlineStr">
        <is>
          <t>S703-A</t>
        </is>
      </c>
      <c r="D36" t="inlineStr">
        <is>
          <t>MACHINE_DIGITIZED_FIG713_WORLDAVG</t>
        </is>
      </c>
      <c r="E36" t="inlineStr">
        <is>
          <t>rate_decimal</t>
        </is>
      </c>
    </row>
    <row r="37">
      <c r="A37" t="n">
        <v>1979</v>
      </c>
      <c r="B37" t="n">
        <v>0.1421</v>
      </c>
      <c r="C37" t="inlineStr">
        <is>
          <t>S703-A</t>
        </is>
      </c>
      <c r="D37" t="inlineStr">
        <is>
          <t>MACHINE_DIGITIZED_FIG713_WORLDAVG</t>
        </is>
      </c>
      <c r="E37" t="inlineStr">
        <is>
          <t>rate_decimal</t>
        </is>
      </c>
    </row>
    <row r="38">
      <c r="A38" t="n">
        <v>1980</v>
      </c>
      <c r="B38" t="n">
        <v>0.1309</v>
      </c>
      <c r="C38" t="inlineStr">
        <is>
          <t>S703-A</t>
        </is>
      </c>
      <c r="D38" t="inlineStr">
        <is>
          <t>MACHINE_DIGITIZED_FIG713_WORLDAVG</t>
        </is>
      </c>
      <c r="E38" t="inlineStr">
        <is>
          <t>rate_decimal</t>
        </is>
      </c>
    </row>
    <row r="39">
      <c r="A39" t="n">
        <v>1981</v>
      </c>
      <c r="B39" t="n">
        <v>0.1284</v>
      </c>
      <c r="C39" t="inlineStr">
        <is>
          <t>S703-A</t>
        </is>
      </c>
      <c r="D39" t="inlineStr">
        <is>
          <t>MACHINE_DIGITIZED_FIG713_WORLDAVG</t>
        </is>
      </c>
      <c r="E39" t="inlineStr">
        <is>
          <t>rate_decimal</t>
        </is>
      </c>
    </row>
    <row r="40">
      <c r="A40" t="n">
        <v>1982</v>
      </c>
      <c r="B40" t="n">
        <v>0.119</v>
      </c>
      <c r="C40" t="inlineStr">
        <is>
          <t>S703-A</t>
        </is>
      </c>
      <c r="D40" t="inlineStr">
        <is>
          <t>MACHINE_DIGITIZED_FIG713_WORLDAVG</t>
        </is>
      </c>
      <c r="E40" t="inlineStr">
        <is>
          <t>rate_decimal</t>
        </is>
      </c>
    </row>
    <row r="41">
      <c r="A41" t="n">
        <v>1983</v>
      </c>
      <c r="B41" t="n">
        <v>0.1325</v>
      </c>
      <c r="C41" t="inlineStr">
        <is>
          <t>S703-A</t>
        </is>
      </c>
      <c r="D41" t="inlineStr">
        <is>
          <t>MACHINE_DIGITIZED_FIG713_WORLDAVG</t>
        </is>
      </c>
      <c r="E41" t="inlineStr">
        <is>
          <t>rate_decimal</t>
        </is>
      </c>
    </row>
    <row r="42">
      <c r="A42" t="n">
        <v>1984</v>
      </c>
      <c r="B42" t="n">
        <v>0.1424</v>
      </c>
      <c r="C42" t="inlineStr">
        <is>
          <t>S703-A</t>
        </is>
      </c>
      <c r="D42" t="inlineStr">
        <is>
          <t>MACHINE_DIGITIZED_FIG713_WORLDAVG</t>
        </is>
      </c>
      <c r="E42" t="inlineStr">
        <is>
          <t>rate_decimal</t>
        </is>
      </c>
    </row>
    <row r="43">
      <c r="A43" t="n">
        <v>1985</v>
      </c>
      <c r="B43" t="n">
        <v>0.1426</v>
      </c>
      <c r="C43" t="inlineStr">
        <is>
          <t>S703-A</t>
        </is>
      </c>
      <c r="D43" t="inlineStr">
        <is>
          <t>MACHINE_DIGITIZED_FIG713_WORLDAVG</t>
        </is>
      </c>
      <c r="E43" t="inlineStr">
        <is>
          <t>rate_decimal</t>
        </is>
      </c>
    </row>
    <row r="44">
      <c r="A44" t="n">
        <v>1986</v>
      </c>
      <c r="B44" t="n">
        <v>0.1425</v>
      </c>
      <c r="C44" t="inlineStr">
        <is>
          <t>S703-A</t>
        </is>
      </c>
      <c r="D44" t="inlineStr">
        <is>
          <t>MACHINE_DIGITIZED_FIG713_WORLDAVG</t>
        </is>
      </c>
      <c r="E44" t="inlineStr">
        <is>
          <t>rate_decimal</t>
        </is>
      </c>
    </row>
    <row r="45">
      <c r="A45" t="n">
        <v>1987</v>
      </c>
      <c r="B45" t="n">
        <v>0.1436</v>
      </c>
      <c r="C45" t="inlineStr">
        <is>
          <t>S703-A</t>
        </is>
      </c>
      <c r="D45" t="inlineStr">
        <is>
          <t>MACHINE_DIGITIZED_FIG713_WORLDAVG</t>
        </is>
      </c>
      <c r="E45" t="inlineStr">
        <is>
          <t>rate_decimal</t>
        </is>
      </c>
    </row>
    <row r="46">
      <c r="A46" t="n">
        <v>1988</v>
      </c>
      <c r="B46" t="n">
        <v>0.1608</v>
      </c>
      <c r="C46" t="inlineStr">
        <is>
          <t>S703-A</t>
        </is>
      </c>
      <c r="D46" t="inlineStr">
        <is>
          <t>MACHINE_DIGITIZED_FIG713_WORLDAVG</t>
        </is>
      </c>
      <c r="E46" t="inlineStr">
        <is>
          <t>rate_decimal</t>
        </is>
      </c>
    </row>
    <row r="47">
      <c r="A47" t="n">
        <v>1989</v>
      </c>
      <c r="B47" t="n">
        <v>0.1603</v>
      </c>
      <c r="C47" t="inlineStr">
        <is>
          <t>S703-A</t>
        </is>
      </c>
      <c r="D47" t="inlineStr">
        <is>
          <t>MACHINE_DIGITIZED_FIG713_WORLDAVG</t>
        </is>
      </c>
      <c r="E47" t="inlineStr">
        <is>
          <t>rate_decimal</t>
        </is>
      </c>
    </row>
    <row r="48">
      <c r="A48" t="n">
        <v>1990</v>
      </c>
      <c r="B48" t="n">
        <v>0.1562</v>
      </c>
      <c r="C48" t="inlineStr">
        <is>
          <t>S703-A</t>
        </is>
      </c>
      <c r="D48" t="inlineStr">
        <is>
          <t>MACHINE_DIGITIZED_FIG713_WORLDAVG</t>
        </is>
      </c>
      <c r="E48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S703 — Methodology</t>
        </is>
      </c>
    </row>
    <row r="3">
      <c r="A3" s="4">
        <f>== DPR: S703_DPR.md ===</f>
        <v/>
      </c>
    </row>
    <row r="4">
      <c r="A4" t="inlineStr">
        <is>
          <t>(not present)</t>
        </is>
      </c>
    </row>
    <row r="7">
      <c r="A7" s="4">
        <f>== EPR: S703_EPR.md ===</f>
        <v/>
      </c>
    </row>
    <row r="8">
      <c r="A8" t="inlineStr">
        <is>
          <t>(not present)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S703-A</t>
        </is>
      </c>
      <c r="B2" t="inlineStr">
        <is>
          <t>MACHINE_DIGITIZED_FIG713_WORLDAVG</t>
        </is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S703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sid</t>
        </is>
      </c>
      <c r="B5" t="inlineStr">
        <is>
          <t>S703</t>
        </is>
      </c>
    </row>
    <row r="6">
      <c r="A6" t="inlineStr">
        <is>
          <t>n_points</t>
        </is>
      </c>
      <c r="B6" t="n">
        <v>20</v>
      </c>
    </row>
    <row r="7">
      <c r="A7" t="inlineStr">
        <is>
          <t>year_range</t>
        </is>
      </c>
      <c r="B7" t="inlineStr">
        <is>
          <t>[1970, 1990]</t>
        </is>
      </c>
    </row>
    <row r="8">
      <c r="A8" t="inlineStr">
        <is>
          <t>checks</t>
        </is>
      </c>
      <c r="B8" t="inlineStr">
        <is>
          <t>{"round_trip": "PASS", "reference_values": "PASS", "axis_range_0_0.45": "PASS", "occupied_band_0.10_0.20": "PASS"}</t>
        </is>
      </c>
    </row>
    <row r="9">
      <c r="A9" t="inlineStr">
        <is>
          <t>provenance</t>
        </is>
      </c>
      <c r="B9" t="inlineStr">
        <is>
          <t>machine_digitized (dual independent extraction, crop-level adjudication, adversarial verification 2026-07-02)</t>
        </is>
      </c>
    </row>
    <row r="10">
      <c r="A10" t="inlineStr">
        <is>
          <t>validation_records</t>
        </is>
      </c>
      <c r="B10" t="inlineStr">
        <is>
          <t>["remediation_campaign/digitization_packet/machine/S703_consensus_overlay.png", "remediation_campaign/digitization_packet/machine/M3_verify_report.md", "remediation_campaign/digitization_packet/machine/M2_adjudication_log.md"]</t>
        </is>
      </c>
    </row>
    <row r="11">
      <c r="A11" t="inlineStr">
        <is>
          <t>validated_at</t>
        </is>
      </c>
      <c r="B11" t="inlineStr">
        <is>
          <t>2026-07-10T14:18:49+00:00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2026-07-11T03:55:57Z</dcterms:created>
  <dcterms:modified xmlns:dcterms="http://purl.org/dc/terms/" xmlns:xsi="http://www.w3.org/2001/XMLSchema-instance" xsi:type="dcterms:W3CDTF">2026-07-11T03:55:57Z</dcterms:modified>
</cp:coreProperties>
</file>
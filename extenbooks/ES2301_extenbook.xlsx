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ES2301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</f>
            </numRef>
          </cat>
          <val>
            <numRef>
              <f>'Data'!$B$4:$B$6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</f>
            </numRef>
          </cat>
          <val>
            <numRef>
              <f>'Data'!$C$4:$C$6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20" customWidth="1" min="4" max="4"/>
    <col width="13" customWidth="1" min="5" max="5"/>
  </cols>
  <sheetData>
    <row r="1">
      <c r="A1" s="1" t="inlineStr">
        <is>
          <t>ES2301 — annual values (long form below pivot)</t>
        </is>
      </c>
    </row>
    <row r="2"/>
    <row r="3">
      <c r="A3" s="2" t="inlineStr">
        <is>
          <t>year</t>
        </is>
      </c>
      <c r="B3" s="2" t="inlineStr">
        <is>
          <t>ES2301-china</t>
        </is>
      </c>
      <c r="C3" s="2" t="inlineStr">
        <is>
          <t>ES2301-world</t>
        </is>
      </c>
    </row>
    <row r="4">
      <c r="A4" t="n">
        <v>2002</v>
      </c>
      <c r="B4" t="n">
        <v>-103</v>
      </c>
      <c r="C4" t="n">
        <v>-474</v>
      </c>
    </row>
    <row r="5">
      <c r="A5" t="n">
        <v>2017</v>
      </c>
      <c r="B5" t="n">
        <v>-376</v>
      </c>
      <c r="C5" t="n">
        <v>-810</v>
      </c>
    </row>
    <row r="6">
      <c r="A6" t="n">
        <v>2018</v>
      </c>
      <c r="B6" t="n">
        <v>-419</v>
      </c>
      <c r="C6" t="n">
        <v/>
      </c>
    </row>
    <row r="7"/>
    <row r="8"/>
    <row r="9"/>
    <row r="10">
      <c r="A10" s="1" t="inlineStr">
        <is>
          <t>Long form (year, value, subseries_id, source_id, units)</t>
        </is>
      </c>
    </row>
    <row r="11">
      <c r="A11" s="3" t="inlineStr">
        <is>
          <t>year</t>
        </is>
      </c>
      <c r="B11" s="3" t="inlineStr">
        <is>
          <t>value</t>
        </is>
      </c>
      <c r="C11" s="3" t="inlineStr">
        <is>
          <t>subseries_id</t>
        </is>
      </c>
      <c r="D11" s="3" t="inlineStr">
        <is>
          <t>source_id</t>
        </is>
      </c>
      <c r="E11" s="3" t="inlineStr">
        <is>
          <t>units</t>
        </is>
      </c>
    </row>
    <row r="12">
      <c r="A12" t="n">
        <v>2002</v>
      </c>
      <c r="B12" t="n">
        <v>-103</v>
      </c>
      <c r="C12" t="inlineStr">
        <is>
          <t>ES2301-china</t>
        </is>
      </c>
      <c r="D12" t="inlineStr">
        <is>
          <t>CENSUS_FT900_C5700</t>
        </is>
      </c>
      <c r="E12" t="inlineStr">
        <is>
          <t>billion_usd</t>
        </is>
      </c>
    </row>
    <row r="13">
      <c r="A13" t="n">
        <v>2017</v>
      </c>
      <c r="B13" t="n">
        <v>-376</v>
      </c>
      <c r="C13" t="inlineStr">
        <is>
          <t>ES2301-china</t>
        </is>
      </c>
      <c r="D13" t="inlineStr">
        <is>
          <t>CENSUS_FT900_C5700</t>
        </is>
      </c>
      <c r="E13" t="inlineStr">
        <is>
          <t>billion_usd</t>
        </is>
      </c>
    </row>
    <row r="14">
      <c r="A14" t="n">
        <v>2018</v>
      </c>
      <c r="B14" t="n">
        <v>-419</v>
      </c>
      <c r="C14" t="inlineStr">
        <is>
          <t>ES2301-china</t>
        </is>
      </c>
      <c r="D14" t="inlineStr">
        <is>
          <t>CENSUS_FT900_C5700</t>
        </is>
      </c>
      <c r="E14" t="inlineStr">
        <is>
          <t>billion_usd</t>
        </is>
      </c>
    </row>
    <row r="15">
      <c r="A15" t="n">
        <v>2002</v>
      </c>
      <c r="B15" t="n">
        <v>-474</v>
      </c>
      <c r="C15" t="inlineStr">
        <is>
          <t>ES2301-world</t>
        </is>
      </c>
      <c r="D15" t="inlineStr">
        <is>
          <t>CENSUS_FT900_EXH1</t>
        </is>
      </c>
      <c r="E15" t="inlineStr">
        <is>
          <t>billion_usd</t>
        </is>
      </c>
    </row>
    <row r="16">
      <c r="A16" t="n">
        <v>2017</v>
      </c>
      <c r="B16" t="n">
        <v>-810</v>
      </c>
      <c r="C16" t="inlineStr">
        <is>
          <t>ES2301-world</t>
        </is>
      </c>
      <c r="D16" t="inlineStr">
        <is>
          <t>CENSUS_FT900_EXH1</t>
        </is>
      </c>
      <c r="E16" t="inlineStr">
        <is>
          <t>billion_usd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ES2301 — Methodology</t>
        </is>
      </c>
    </row>
    <row r="3">
      <c r="A3" s="4">
        <f>== DPR: ES2301_DPR.md ===</f>
        <v/>
      </c>
    </row>
    <row r="4">
      <c r="A4" t="inlineStr">
        <is>
          <t># ES2301 — US Trade Balance: World Total and China, 2002–2024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ES2301 (rescoped per decision 0006)</t>
        </is>
      </c>
    </row>
    <row r="9">
      <c r="A9" t="inlineStr">
        <is>
          <t>**Status**: study_complete</t>
        </is>
      </c>
    </row>
    <row r="10">
      <c r="A10" t="inlineStr">
        <is>
          <t>**Authored**: 2026-05-18</t>
        </is>
      </c>
    </row>
    <row r="11">
      <c r="A11" t="inlineStr">
        <is>
          <t>**Author**: opus-fanout-ES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ES2301 is the annual US merchandise trade balance against **two** trading</t>
        </is>
      </c>
    </row>
    <row r="16">
      <c r="A16" t="inlineStr">
        <is>
          <t>partners: (i) World Total; (ii) China. Both in Billion current USD,</t>
        </is>
      </c>
    </row>
    <row r="17">
      <c r="A17" t="inlineStr">
        <is>
          <t>Census basis (Total Exports Value − Customs Import Value). Paper source:</t>
        </is>
      </c>
    </row>
    <row r="18">
      <c r="A18" t="inlineStr">
        <is>
          <t>Weber &amp; Shaikh (2020), Appendix Figure 1 (p. 453), 2002–2017. We extend</t>
        </is>
      </c>
    </row>
    <row r="19">
      <c r="A19" t="inlineStr">
        <is>
          <t>to 2024.</t>
        </is>
      </c>
    </row>
    <row r="20">
      <c r="A20" t="inlineStr"/>
    </row>
    <row r="21">
      <c r="A21" t="inlineStr">
        <is>
          <t>Per Census FT900 footnote convention, both series are negative</t>
        </is>
      </c>
    </row>
    <row r="22">
      <c r="A22" t="inlineStr">
        <is>
          <t>throughout the window (US runs a goods-trade deficit). Figure 1 shows</t>
        </is>
      </c>
    </row>
    <row r="23">
      <c r="A23" t="inlineStr">
        <is>
          <t>World Total falling from -474 bn (2002) to -810 bn (2017); China line</t>
        </is>
      </c>
    </row>
    <row r="24">
      <c r="A24" t="inlineStr">
        <is>
          <t>falling from -103 bn (2002) to -376 bn (2017).</t>
        </is>
      </c>
    </row>
    <row r="25">
      <c r="A25" t="inlineStr"/>
    </row>
    <row r="26">
      <c r="A26" t="inlineStr">
        <is>
          <t>## 2. Why it matters</t>
        </is>
      </c>
    </row>
    <row r="27">
      <c r="A27" t="inlineStr"/>
    </row>
    <row r="28">
      <c r="A28" t="inlineStr">
        <is>
          <t>Figure 1 is the paper's headline: bilateral US-China deficit grew from</t>
        </is>
      </c>
    </row>
    <row r="29">
      <c r="A29" t="inlineStr">
        <is>
          <t>"around one-fifth" of total US deficit in 2002 to "about one-third" by</t>
        </is>
      </c>
    </row>
    <row r="30">
      <c r="A30" t="inlineStr">
        <is>
          <t>2008 (paper p. 432). The decomposition of the world-total deficit into</t>
        </is>
      </c>
    </row>
    <row r="31">
      <c r="A31" t="inlineStr">
        <is>
          <t>the China share is the empirical hook for the currency-manipulation</t>
        </is>
      </c>
    </row>
    <row r="32">
      <c r="A32" t="inlineStr">
        <is>
          <t>critique.</t>
        </is>
      </c>
    </row>
    <row r="33">
      <c r="A33" t="inlineStr"/>
    </row>
    <row r="34">
      <c r="A34" t="inlineStr">
        <is>
          <t>## 3. Sources</t>
        </is>
      </c>
    </row>
    <row r="35">
      <c r="A35" t="inlineStr"/>
    </row>
    <row r="36">
      <c r="A36" t="inlineStr">
        <is>
          <t>| Subseries | Coverage | Source | Native units | Retrieval |</t>
        </is>
      </c>
    </row>
    <row r="37">
      <c r="A37" t="inlineStr">
        <is>
          <t>|---|---|---|---|---|</t>
        </is>
      </c>
    </row>
    <row r="38">
      <c r="A38" t="inlineStr">
        <is>
          <t>| ES2301-world | 2002–2024 | US Census FT900 Exhibit 1 (US Total goods trade) | Millions USD | Census `foreign-trade/statistics/historical/exh1.txt` |</t>
        </is>
      </c>
    </row>
    <row r="39">
      <c r="A39" t="inlineStr">
        <is>
          <t>| ES2301-china | 2002–2024 | US Census FT900 Exhibit 14 / per-country page c5700 | Millions USD | Census `foreign-trade/balance/c5700.html` |</t>
        </is>
      </c>
    </row>
    <row r="40">
      <c r="A40" t="inlineStr"/>
    </row>
    <row r="41">
      <c r="A41" t="inlineStr">
        <is>
          <t>## 4. Construction</t>
        </is>
      </c>
    </row>
    <row r="42">
      <c r="A42" t="inlineStr"/>
    </row>
    <row r="43">
      <c r="A43" t="inlineStr">
        <is>
          <t>For each partner: sum monthly Total Exports Value and Customs Import</t>
        </is>
      </c>
    </row>
    <row r="44">
      <c r="A44" t="inlineStr">
        <is>
          <t>Value to annual; compute balance = exports − imports. Convert from</t>
        </is>
      </c>
    </row>
    <row r="45">
      <c r="A45" t="inlineStr">
        <is>
          <t>millions to billions for paper-presentation unit.</t>
        </is>
      </c>
    </row>
    <row r="46">
      <c r="A46" t="inlineStr"/>
    </row>
    <row r="47">
      <c r="A47" t="inlineStr">
        <is>
          <t>The loader emits the two partner series as two distinct subseries</t>
        </is>
      </c>
    </row>
    <row r="48">
      <c r="A48" t="inlineStr">
        <is>
          <t>(ES2301-world, ES2301-china) with the partner labeled in</t>
        </is>
      </c>
    </row>
    <row r="49">
      <c r="A49" t="inlineStr">
        <is>
          <t>`country_key`. The chopped writer disambiguates uniqueness on</t>
        </is>
      </c>
    </row>
    <row r="50">
      <c r="A50" t="inlineStr">
        <is>
          <t>`(year, subseries_id, country_key)`.</t>
        </is>
      </c>
    </row>
    <row r="51">
      <c r="A51" t="inlineStr"/>
    </row>
    <row r="52">
      <c r="A52" t="inlineStr">
        <is>
          <t>## 5. Year coverage</t>
        </is>
      </c>
    </row>
    <row r="53">
      <c r="A53" t="inlineStr"/>
    </row>
    <row r="54">
      <c r="A54" t="inlineStr">
        <is>
          <t>- Paper window: 2002–2017 (16 obs per partner)</t>
        </is>
      </c>
    </row>
    <row r="55">
      <c r="A55" t="inlineStr">
        <is>
          <t>- Extension: 2018–2024 (7 obs; Section 301 tariffs in 2018-19 create</t>
        </is>
      </c>
    </row>
    <row r="56">
      <c r="A56" t="inlineStr">
        <is>
          <t xml:space="preserve">  structural shift)</t>
        </is>
      </c>
    </row>
    <row r="57">
      <c r="A57" t="inlineStr">
        <is>
          <t>- Total: 2002–2024 (23 obs per partner; 46 rows long form)</t>
        </is>
      </c>
    </row>
    <row r="58">
      <c r="A58" t="inlineStr"/>
    </row>
    <row r="59">
      <c r="A59" t="inlineStr">
        <is>
          <t>## 6. Units</t>
        </is>
      </c>
    </row>
    <row r="60">
      <c r="A60" t="inlineStr"/>
    </row>
    <row r="61">
      <c r="A61" t="inlineStr">
        <is>
          <t>`billion_usd` (loader divides by 1000 from millions).</t>
        </is>
      </c>
    </row>
    <row r="62">
      <c r="A62" t="inlineStr"/>
    </row>
    <row r="63">
      <c r="A63" t="inlineStr">
        <is>
          <t>## 7. Caveats</t>
        </is>
      </c>
    </row>
    <row r="64">
      <c r="A64" t="inlineStr"/>
    </row>
    <row r="65">
      <c r="A65" t="inlineStr">
        <is>
          <t>1. Census-basis (Total Exports Value − Customs Import Value) vs</t>
        </is>
      </c>
    </row>
    <row r="66">
      <c r="A66" t="inlineStr">
        <is>
          <t xml:space="preserve">   BoP-basis (BEA International Transactions) differ; paper uses</t>
        </is>
      </c>
    </row>
    <row r="67">
      <c r="A67" t="inlineStr">
        <is>
          <t xml:space="preserve">   Census basis per Fig 1 footnote.</t>
        </is>
      </c>
    </row>
    <row r="68">
      <c r="A68" t="inlineStr">
        <is>
          <t>2. Section 301 tariffs (2018-) and COVID (2020) create structural</t>
        </is>
      </c>
    </row>
    <row r="69">
      <c r="A69" t="inlineStr">
        <is>
          <t xml:space="preserve">   breaks in post-paper extension years — interpretive, not data gaps.</t>
        </is>
      </c>
    </row>
    <row r="70">
      <c r="A70" t="inlineStr">
        <is>
          <t>3. Census per-country HTML pages have changed layout multiple times;</t>
        </is>
      </c>
    </row>
    <row r="71">
      <c r="A71" t="inlineStr">
        <is>
          <t xml:space="preserve">   if `pd.read_html` cannot parse, loader degrades to NaN and the</t>
        </is>
      </c>
    </row>
    <row r="72">
      <c r="A72" t="inlineStr">
        <is>
          <t xml:space="preserve">   processor publishes only the world-total series.</t>
        </is>
      </c>
    </row>
    <row r="73">
      <c r="A73" t="inlineStr"/>
    </row>
    <row r="74">
      <c r="A74" t="inlineStr">
        <is>
          <t>## 8. Cross-references</t>
        </is>
      </c>
    </row>
    <row r="75">
      <c r="A75" t="inlineStr"/>
    </row>
    <row r="76">
      <c r="A76" t="inlineStr">
        <is>
          <t>- Dossier: `Technical/research/ES2301_research.json` (decision 0006 rescoped)</t>
        </is>
      </c>
    </row>
    <row r="77">
      <c r="A77" t="inlineStr">
        <is>
          <t>- Related: ES2302, ES2303, ES2304, ES2305 (other Weber-Shaikh figures);</t>
        </is>
      </c>
    </row>
    <row r="78">
      <c r="A78" t="inlineStr">
        <is>
          <t xml:space="preserve">  S1101 (Ch11 trade balance, different concept)</t>
        </is>
      </c>
    </row>
    <row r="79">
      <c r="A79" t="inlineStr"/>
    </row>
    <row r="80">
      <c r="A80" t="inlineStr">
        <is>
          <t>## 9. Validation expectation</t>
        </is>
      </c>
    </row>
    <row r="81">
      <c r="A81" t="inlineStr"/>
    </row>
    <row r="82">
      <c r="A82" t="inlineStr">
        <is>
          <t>- Tolerance: ±5.0% (Census layout fragility; figure-read precision).</t>
        </is>
      </c>
    </row>
    <row r="83">
      <c r="A83" t="inlineStr">
        <is>
          <t>- Anchors from Fig 1: world-total 2002 ≈ -474 bn, 2017 ≈ -810 bn;</t>
        </is>
      </c>
    </row>
    <row r="84">
      <c r="A84" t="inlineStr">
        <is>
          <t xml:space="preserve">  China 2002 ≈ -103 bn, 2017 ≈ -376 bn.</t>
        </is>
      </c>
    </row>
    <row r="87">
      <c r="A87" s="4">
        <f>== EPR: ES2301_EPR.md ===</f>
        <v/>
      </c>
    </row>
    <row r="88">
      <c r="A88" t="inlineStr">
        <is>
          <t># ES2301 — Extension Provenance Record</t>
        </is>
      </c>
    </row>
    <row r="89">
      <c r="A89" t="inlineStr"/>
    </row>
    <row r="90">
      <c r="A90" t="inlineStr">
        <is>
          <t>**Series**: ES2301 — US Trade Balance (World, China)</t>
        </is>
      </c>
    </row>
    <row r="91">
      <c r="A91" t="inlineStr">
        <is>
          <t>**Phase**: 6 (Extension)</t>
        </is>
      </c>
    </row>
    <row r="92">
      <c r="A92" t="inlineStr">
        <is>
          <t>**Construction**: `direct` (two parallel partner pulls)</t>
        </is>
      </c>
    </row>
    <row r="93">
      <c r="A93" t="inlineStr">
        <is>
          <t>**Authored**: 2026-05-18</t>
        </is>
      </c>
    </row>
    <row r="94">
      <c r="A94" t="inlineStr"/>
    </row>
    <row r="95">
      <c r="A95" t="inlineStr">
        <is>
          <t>## 1. Extendability</t>
        </is>
      </c>
    </row>
    <row r="96">
      <c r="A96" t="inlineStr"/>
    </row>
    <row r="97">
      <c r="A97" t="inlineStr">
        <is>
          <t>Census FT900 is continuously published monthly. Per-country totals for</t>
        </is>
      </c>
    </row>
    <row r="98">
      <c r="A98" t="inlineStr">
        <is>
          <t>China extend back to 1985 and forward to current. Extension to 2024 is</t>
        </is>
      </c>
    </row>
    <row r="99">
      <c r="A99" t="inlineStr">
        <is>
          <t>mechanical with the caveat that:</t>
        </is>
      </c>
    </row>
    <row r="100">
      <c r="A100" t="inlineStr"/>
    </row>
    <row r="101">
      <c r="A101" t="inlineStr">
        <is>
          <t>- 2018-2019 Section 301 tariffs introduce a documented structural break</t>
        </is>
      </c>
    </row>
    <row r="102">
      <c r="A102" t="inlineStr">
        <is>
          <t xml:space="preserve">  in import-value composition (tariff-inclusive vs not).</t>
        </is>
      </c>
    </row>
    <row r="103">
      <c r="A103" t="inlineStr">
        <is>
          <t>- 2020 COVID compresses bilateral trade flows.</t>
        </is>
      </c>
    </row>
    <row r="104">
      <c r="A104" t="inlineStr"/>
    </row>
    <row r="105">
      <c r="A105" t="inlineStr">
        <is>
          <t>Neither caveat blocks extension — both are documented in the paper-Phase</t>
        </is>
      </c>
    </row>
    <row r="106">
      <c r="A106" t="inlineStr">
        <is>
          <t>6 extension narrative.</t>
        </is>
      </c>
    </row>
    <row r="107">
      <c r="A107" t="inlineStr"/>
    </row>
    <row r="108">
      <c r="A108" t="inlineStr">
        <is>
          <t>## 2. Method</t>
        </is>
      </c>
    </row>
    <row r="109">
      <c r="A109" t="inlineStr"/>
    </row>
    <row r="110">
      <c r="A110" t="inlineStr">
        <is>
          <t>For each partner (world, china):</t>
        </is>
      </c>
    </row>
    <row r="111">
      <c r="A111" t="inlineStr">
        <is>
          <t>1. Loader pulls Census HTML/text via `census_ft900_annual_balance`.</t>
        </is>
      </c>
    </row>
    <row r="112">
      <c r="A112" t="inlineStr">
        <is>
          <t>2. Aggregates monthly columns to annual exports, imports, balance.</t>
        </is>
      </c>
    </row>
    <row r="113">
      <c r="A113" t="inlineStr">
        <is>
          <t>3. Converts to Billion USD (divide millions by 1000).</t>
        </is>
      </c>
    </row>
    <row r="114">
      <c r="A114" t="inlineStr">
        <is>
          <t>4. Emits as `subseries_id={ES2301-world | ES2301-china}` with</t>
        </is>
      </c>
    </row>
    <row r="115">
      <c r="A115" t="inlineStr">
        <is>
          <t xml:space="preserve">   `country_key={World|China}`.</t>
        </is>
      </c>
    </row>
    <row r="116">
      <c r="A116" t="inlineStr"/>
    </row>
    <row r="117">
      <c r="A117" t="inlineStr">
        <is>
          <t>## 3. Proxies</t>
        </is>
      </c>
    </row>
    <row r="118">
      <c r="A118" t="inlineStr"/>
    </row>
    <row r="119">
      <c r="A119" t="inlineStr">
        <is>
          <t>None. Census FT900 IS the source the paper cites.</t>
        </is>
      </c>
    </row>
    <row r="120">
      <c r="A120" t="inlineStr"/>
    </row>
    <row r="121">
      <c r="A121" t="inlineStr">
        <is>
          <t>## 4. Synthetic data</t>
        </is>
      </c>
    </row>
    <row r="122">
      <c r="A122" t="inlineStr"/>
    </row>
    <row r="123">
      <c r="A123" t="inlineStr">
        <is>
          <t>None. NaN propagates.</t>
        </is>
      </c>
    </row>
    <row r="124">
      <c r="A124" t="inlineStr"/>
    </row>
    <row r="125">
      <c r="A125" t="inlineStr">
        <is>
          <t>## 5. Failure modes</t>
        </is>
      </c>
    </row>
    <row r="126">
      <c r="A126" t="inlineStr"/>
    </row>
    <row r="127">
      <c r="A127" t="inlineStr">
        <is>
          <t>- Census HTML layout change: loader returns degraded; processor</t>
        </is>
      </c>
    </row>
    <row r="128">
      <c r="A128" t="inlineStr">
        <is>
          <t xml:space="preserve">  publishes whichever partner parsed.</t>
        </is>
      </c>
    </row>
    <row r="129">
      <c r="A129" t="inlineStr">
        <is>
          <t>- USA Trade Online auth-required path: not used; we stick to the</t>
        </is>
      </c>
    </row>
    <row r="130">
      <c r="A130" t="inlineStr">
        <is>
          <t xml:space="preserve">  public HTML/text pages.</t>
        </is>
      </c>
    </row>
    <row r="131">
      <c r="A131" t="inlineStr"/>
    </row>
    <row r="132">
      <c r="A132" t="inlineStr">
        <is>
          <t>## 6. Conceptual continuity vs adjacent concepts</t>
        </is>
      </c>
    </row>
    <row r="133">
      <c r="A133" t="inlineStr"/>
    </row>
    <row r="134">
      <c r="A134" t="inlineStr">
        <is>
          <t>The extension proxy `Census FT900 Exhibit 1 (world) + c5700 (China)` measures</t>
        </is>
      </c>
    </row>
    <row r="135">
      <c r="A135" t="inlineStr">
        <is>
          <t>`US merchandise (goods) trade balance, Census basis` rather than</t>
        </is>
      </c>
    </row>
    <row r="136">
      <c r="A136" t="inlineStr">
        <is>
          <t>`US current account` or `BoP-basis goods balance` because:</t>
        </is>
      </c>
    </row>
    <row r="137">
      <c r="A137" t="inlineStr">
        <is>
          <t>- Source agency choice: Weber &amp; Shaikh (2020) Fig 1 explicitly cites Census,</t>
        </is>
      </c>
    </row>
    <row r="138">
      <c r="A138" t="inlineStr">
        <is>
          <t xml:space="preserve">  not BEA International Transactions. Census FT900 is the published recipe.</t>
        </is>
      </c>
    </row>
    <row r="139">
      <c r="A139" t="inlineStr">
        <is>
          <t>- Methodology continuity: paper-window 2002-2017 values were Census-basis</t>
        </is>
      </c>
    </row>
    <row r="140">
      <c r="A140" t="inlineStr">
        <is>
          <t xml:space="preserve">  monthly aggregates; 2018-2024 extension uses the *same* FT900 release</t>
        </is>
      </c>
    </row>
    <row r="141">
      <c r="A141" t="inlineStr">
        <is>
          <t xml:space="preserve">  (same agency, same exhibit numbers).</t>
        </is>
      </c>
    </row>
    <row r="142">
      <c r="A142" t="inlineStr">
        <is>
          <t>- Disambiguation: Census-basis (Total Exports Value − Customs Import Value)</t>
        </is>
      </c>
    </row>
    <row r="143">
      <c r="A143" t="inlineStr">
        <is>
          <t xml:space="preserve">  differs from BoP-basis (BEA ITA Table 4.1, which makes balance-of-payments</t>
        </is>
      </c>
    </row>
    <row r="144">
      <c r="A144" t="inlineStr">
        <is>
          <t xml:space="preserve">  coverage and timing adjustments), and from current-account (which adds</t>
        </is>
      </c>
    </row>
    <row r="145">
      <c r="A145" t="inlineStr">
        <is>
          <t xml:space="preserve">  services, primary income, and secondary income).</t>
        </is>
      </c>
    </row>
    <row r="146">
      <c r="A146" t="inlineStr"/>
    </row>
    <row r="147">
      <c r="A147" t="inlineStr">
        <is>
          <t>The book's original concept (paper p. 432, Fig 1 footnote) was: "Total Exports</t>
        </is>
      </c>
    </row>
    <row r="148">
      <c r="A148" t="inlineStr">
        <is>
          <t>Value minus Customs Import Value". The modern series preserves Census-basis</t>
        </is>
      </c>
    </row>
    <row r="149">
      <c r="A149" t="inlineStr">
        <is>
          <t>goods coverage and the bilateral US-China decomposition while permitting a</t>
        </is>
      </c>
    </row>
    <row r="150">
      <c r="A150" t="inlineStr">
        <is>
          <t>small post-2018 Section-301-tariff valuation effect (customs values now</t>
        </is>
      </c>
    </row>
    <row r="151">
      <c r="A151" t="inlineStr">
        <is>
          <t>include tariff-inclusive imports for some HTS lines). This is NOT a proxy</t>
        </is>
      </c>
    </row>
    <row r="152">
      <c r="A152" t="inlineStr">
        <is>
          <t>substitution forbidden by the No-Proxy rule because the loader pulls from</t>
        </is>
      </c>
    </row>
    <row r="153">
      <c r="A153" t="inlineStr">
        <is>
          <t>*exactly* the source the paper cites (US Census FT900) — no agency</t>
        </is>
      </c>
    </row>
    <row r="154">
      <c r="A154" t="inlineStr">
        <is>
          <t>substitution, no concept substitution.</t>
        </is>
      </c>
    </row>
    <row r="155">
      <c r="A155" t="inlineStr"/>
    </row>
    <row r="156">
      <c r="A156" t="inlineStr">
        <is>
          <t>## 7. Method note: Census-basis vs BoP-basis</t>
        </is>
      </c>
    </row>
    <row r="157">
      <c r="A157" t="inlineStr"/>
    </row>
    <row r="158">
      <c r="A158" t="inlineStr">
        <is>
          <t>We reproduce Census basis to match paper recipe; BEA International</t>
        </is>
      </c>
    </row>
    <row r="159">
      <c r="A159" t="inlineStr">
        <is>
          <t>Transactions Table 4.1 BoP-basis goods balance is concept-adjacent but</t>
        </is>
      </c>
    </row>
    <row r="160">
      <c r="A160" t="inlineStr">
        <is>
          <t>methodologically distinct and is NOT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2" customWidth="1" min="3" max="3"/>
    <col width="44" customWidth="1" min="4" max="4"/>
    <col width="62" customWidth="1" min="5" max="5"/>
    <col width="22" customWidth="1" min="6" max="6"/>
    <col width="38" customWidth="1" min="7" max="7"/>
    <col width="51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ES2301-china</t>
        </is>
      </c>
      <c r="B2" t="inlineStr">
        <is>
          <t>CENSUS_FT900_C5700</t>
        </is>
      </c>
      <c r="C2" t="inlineStr">
        <is>
          <t>US Census FT900 Trade in Goods with China (per-country page c5700)</t>
        </is>
      </c>
      <c r="D2" t="inlineStr">
        <is>
          <t>U.S. Census Bureau, Foreign Trade Division</t>
        </is>
      </c>
      <c r="E2" t="inlineStr">
        <is>
          <t>https://www.census.gov/foreign-trade/balance/c5700.html</t>
        </is>
      </c>
      <c r="F2" t="inlineStr">
        <is>
          <t>millions current USD</t>
        </is>
      </c>
      <c r="G2" t="inlineStr">
        <is>
          <t>annual (computed from monthly FT900)</t>
        </is>
      </c>
      <c r="H2" t="inlineStr">
        <is>
          <t>Public domain</t>
        </is>
      </c>
      <c r="I2" t="inlineStr">
        <is>
          <t>api_open_no_auth</t>
        </is>
      </c>
    </row>
    <row r="3">
      <c r="A3" t="inlineStr">
        <is>
          <t>ES2301-world</t>
        </is>
      </c>
      <c r="B3" t="inlineStr">
        <is>
          <t>CENSUS_FT900_EXH1</t>
        </is>
      </c>
      <c r="C3" t="inlineStr">
        <is>
          <t>US Census FT900 Exhibit 1 — US Total Goods Trade</t>
        </is>
      </c>
      <c r="D3" t="inlineStr">
        <is>
          <t>U.S. Census Bureau, Foreign Trade Division</t>
        </is>
      </c>
      <c r="E3" t="inlineStr">
        <is>
          <t>https://www.census.gov/foreign-trade/statistics/historical/exh1.txt</t>
        </is>
      </c>
      <c r="F3" t="inlineStr">
        <is>
          <t>millions current USD</t>
        </is>
      </c>
      <c r="G3" t="inlineStr">
        <is>
          <t>annual (computed from monthly FT900)</t>
        </is>
      </c>
      <c r="H3" t="inlineStr">
        <is>
          <t>Public domain (US Federal Government, 17 USC 105)</t>
        </is>
      </c>
      <c r="I3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7" customWidth="1" min="2" max="2"/>
  </cols>
  <sheetData>
    <row r="1">
      <c r="A1" s="1" t="inlineStr">
        <is>
          <t>ES2301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10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Fig 1 endpoint anchors (2002, 2017) for World and China</t>
        </is>
      </c>
    </row>
    <row r="8">
      <c r="A8" t="inlineStr">
        <is>
          <t>n_compared</t>
        </is>
      </c>
      <c r="B8" t="n">
        <v>4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[2002, 2018]</t>
        </is>
      </c>
    </row>
    <row r="15">
      <c r="A15" t="inlineStr">
        <is>
          <t>subseries_present</t>
        </is>
      </c>
      <c r="B15" t="inlineStr">
        <is>
          <t>["ES2301-china", "ES2301-world"]</t>
        </is>
      </c>
    </row>
    <row r="16">
      <c r="A16" t="inlineStr">
        <is>
          <t>validated_at</t>
        </is>
      </c>
      <c r="B16" t="inlineStr">
        <is>
          <t>2026-05-18T23:05:09.211340+00:00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ES2301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2026-05-27T05:08:25Z</dcterms:modified>
</cp:coreProperties>
</file>
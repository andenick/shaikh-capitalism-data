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S803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'Data'!$C$4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20" customWidth="1" min="3" max="3"/>
    <col width="32" customWidth="1" min="4" max="4"/>
    <col width="9" customWidth="1" min="5" max="5"/>
  </cols>
  <sheetData>
    <row r="1">
      <c r="A1" s="1" t="inlineStr">
        <is>
          <t>S803 — annual values (long form below pivot)</t>
        </is>
      </c>
    </row>
    <row r="2"/>
    <row r="3">
      <c r="A3" s="2" t="inlineStr">
        <is>
          <t>year</t>
        </is>
      </c>
      <c r="B3" s="2" t="inlineStr">
        <is>
          <t>S803-FIG83</t>
        </is>
      </c>
      <c r="C3" s="2" t="inlineStr">
        <is>
          <t>S803-FIG84-BAIN</t>
        </is>
      </c>
      <c r="D3" s="2" t="inlineStr">
        <is>
          <t>S803-FIG84-DEMSETZ</t>
        </is>
      </c>
    </row>
    <row r="4">
      <c r="A4" t="n">
        <v>1938</v>
      </c>
      <c r="B4" t="n">
        <v>100</v>
      </c>
      <c r="C4" t="n">
        <v>9.1</v>
      </c>
      <c r="D4" t="n">
        <v>9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1938</v>
      </c>
      <c r="B10" t="n">
        <v>100</v>
      </c>
      <c r="C10" t="inlineStr">
        <is>
          <t>S803-FIG83</t>
        </is>
      </c>
      <c r="D10" t="inlineStr">
        <is>
          <t>BAIN_1951_TABLE_I</t>
        </is>
      </c>
      <c r="E10" t="inlineStr">
        <is>
          <t>percent</t>
        </is>
      </c>
    </row>
    <row r="11">
      <c r="A11" t="n">
        <v>1938</v>
      </c>
      <c r="B11" t="n">
        <v>9</v>
      </c>
      <c r="C11" t="inlineStr">
        <is>
          <t>S803-FIG83</t>
        </is>
      </c>
      <c r="D11" t="inlineStr">
        <is>
          <t>BAIN_1951_TABLE_I</t>
        </is>
      </c>
      <c r="E11" t="inlineStr">
        <is>
          <t>percent</t>
        </is>
      </c>
    </row>
    <row r="12">
      <c r="A12" t="n">
        <v>1938</v>
      </c>
      <c r="B12" t="n">
        <v>99.40000000000001</v>
      </c>
      <c r="C12" t="inlineStr">
        <is>
          <t>S803-FIG83</t>
        </is>
      </c>
      <c r="D12" t="inlineStr">
        <is>
          <t>BAIN_1951_TABLE_I</t>
        </is>
      </c>
      <c r="E12" t="inlineStr">
        <is>
          <t>percent</t>
        </is>
      </c>
    </row>
    <row r="13">
      <c r="A13" t="n">
        <v>1938</v>
      </c>
      <c r="B13" t="n">
        <v>14.4</v>
      </c>
      <c r="C13" t="inlineStr">
        <is>
          <t>S803-FIG83</t>
        </is>
      </c>
      <c r="D13" t="inlineStr">
        <is>
          <t>BAIN_1951_TABLE_I</t>
        </is>
      </c>
      <c r="E13" t="inlineStr">
        <is>
          <t>percent</t>
        </is>
      </c>
    </row>
    <row r="14">
      <c r="A14" t="n">
        <v>1938</v>
      </c>
      <c r="B14" t="n">
        <v>99.3</v>
      </c>
      <c r="C14" t="inlineStr">
        <is>
          <t>S803-FIG83</t>
        </is>
      </c>
      <c r="D14" t="inlineStr">
        <is>
          <t>BAIN_1951_TABLE_I</t>
        </is>
      </c>
      <c r="E14" t="inlineStr">
        <is>
          <t>percent</t>
        </is>
      </c>
    </row>
    <row r="15">
      <c r="A15" t="n">
        <v>1938</v>
      </c>
      <c r="B15" t="n">
        <v>15.8</v>
      </c>
      <c r="C15" t="inlineStr">
        <is>
          <t>S803-FIG83</t>
        </is>
      </c>
      <c r="D15" t="inlineStr">
        <is>
          <t>BAIN_1951_TABLE_I</t>
        </is>
      </c>
      <c r="E15" t="inlineStr">
        <is>
          <t>percent</t>
        </is>
      </c>
    </row>
    <row r="16">
      <c r="A16" t="n">
        <v>1938</v>
      </c>
      <c r="B16" t="n">
        <v>97.3</v>
      </c>
      <c r="C16" t="inlineStr">
        <is>
          <t>S803-FIG83</t>
        </is>
      </c>
      <c r="D16" t="inlineStr">
        <is>
          <t>BAIN_1951_TABLE_I</t>
        </is>
      </c>
      <c r="E16" t="inlineStr">
        <is>
          <t>percent</t>
        </is>
      </c>
    </row>
    <row r="17">
      <c r="A17" t="n">
        <v>1938</v>
      </c>
      <c r="B17" t="n">
        <v>16.9</v>
      </c>
      <c r="C17" t="inlineStr">
        <is>
          <t>S803-FIG83</t>
        </is>
      </c>
      <c r="D17" t="inlineStr">
        <is>
          <t>BAIN_1951_TABLE_I</t>
        </is>
      </c>
      <c r="E17" t="inlineStr">
        <is>
          <t>percent</t>
        </is>
      </c>
    </row>
    <row r="18">
      <c r="A18" t="n">
        <v>1938</v>
      </c>
      <c r="B18" t="n">
        <v>95</v>
      </c>
      <c r="C18" t="inlineStr">
        <is>
          <t>S803-FIG83</t>
        </is>
      </c>
      <c r="D18" t="inlineStr">
        <is>
          <t>BAIN_1951_TABLE_I</t>
        </is>
      </c>
      <c r="E18" t="inlineStr">
        <is>
          <t>percent</t>
        </is>
      </c>
    </row>
    <row r="19">
      <c r="A19" t="n">
        <v>1938</v>
      </c>
      <c r="B19" t="n">
        <v>9.300000000000001</v>
      </c>
      <c r="C19" t="inlineStr">
        <is>
          <t>S803-FIG83</t>
        </is>
      </c>
      <c r="D19" t="inlineStr">
        <is>
          <t>BAIN_1951_TABLE_I</t>
        </is>
      </c>
      <c r="E19" t="inlineStr">
        <is>
          <t>percent</t>
        </is>
      </c>
    </row>
    <row r="20">
      <c r="A20" t="n">
        <v>1938</v>
      </c>
      <c r="B20" t="n">
        <v>94.2</v>
      </c>
      <c r="C20" t="inlineStr">
        <is>
          <t>S803-FIG83</t>
        </is>
      </c>
      <c r="D20" t="inlineStr">
        <is>
          <t>BAIN_1951_TABLE_I</t>
        </is>
      </c>
      <c r="E20" t="inlineStr">
        <is>
          <t>percent</t>
        </is>
      </c>
    </row>
    <row r="21">
      <c r="A21" t="n">
        <v>1938</v>
      </c>
      <c r="B21" t="n">
        <v>16.3</v>
      </c>
      <c r="C21" t="inlineStr">
        <is>
          <t>S803-FIG83</t>
        </is>
      </c>
      <c r="D21" t="inlineStr">
        <is>
          <t>BAIN_1951_TABLE_I</t>
        </is>
      </c>
      <c r="E21" t="inlineStr">
        <is>
          <t>percent</t>
        </is>
      </c>
    </row>
    <row r="22">
      <c r="A22" t="n">
        <v>1938</v>
      </c>
      <c r="B22" t="n">
        <v>90.40000000000001</v>
      </c>
      <c r="C22" t="inlineStr">
        <is>
          <t>S803-FIG83</t>
        </is>
      </c>
      <c r="D22" t="inlineStr">
        <is>
          <t>BAIN_1951_TABLE_I</t>
        </is>
      </c>
      <c r="E22" t="inlineStr">
        <is>
          <t>percent</t>
        </is>
      </c>
    </row>
    <row r="23">
      <c r="A23" t="n">
        <v>1938</v>
      </c>
      <c r="B23" t="n">
        <v>8.199999999999999</v>
      </c>
      <c r="C23" t="inlineStr">
        <is>
          <t>S803-FIG83</t>
        </is>
      </c>
      <c r="D23" t="inlineStr">
        <is>
          <t>BAIN_1951_TABLE_I</t>
        </is>
      </c>
      <c r="E23" t="inlineStr">
        <is>
          <t>percent</t>
        </is>
      </c>
    </row>
    <row r="24">
      <c r="A24" t="n">
        <v>1938</v>
      </c>
      <c r="B24" t="n">
        <v>90.2</v>
      </c>
      <c r="C24" t="inlineStr">
        <is>
          <t>S803-FIG83</t>
        </is>
      </c>
      <c r="D24" t="inlineStr">
        <is>
          <t>BAIN_1951_TABLE_I</t>
        </is>
      </c>
      <c r="E24" t="inlineStr">
        <is>
          <t>percent</t>
        </is>
      </c>
    </row>
    <row r="25">
      <c r="A25" t="n">
        <v>1938</v>
      </c>
      <c r="B25" t="n">
        <v>12.1</v>
      </c>
      <c r="C25" t="inlineStr">
        <is>
          <t>S803-FIG83</t>
        </is>
      </c>
      <c r="D25" t="inlineStr">
        <is>
          <t>BAIN_1951_TABLE_I</t>
        </is>
      </c>
      <c r="E25" t="inlineStr">
        <is>
          <t>percent</t>
        </is>
      </c>
    </row>
    <row r="26">
      <c r="A26" t="n">
        <v>1938</v>
      </c>
      <c r="B26" t="n">
        <v>87.7</v>
      </c>
      <c r="C26" t="inlineStr">
        <is>
          <t>S803-FIG83</t>
        </is>
      </c>
      <c r="D26" t="inlineStr">
        <is>
          <t>BAIN_1951_TABLE_I</t>
        </is>
      </c>
      <c r="E26" t="inlineStr">
        <is>
          <t>percent</t>
        </is>
      </c>
    </row>
    <row r="27">
      <c r="A27" t="n">
        <v>1938</v>
      </c>
      <c r="B27" t="n">
        <v>9.1</v>
      </c>
      <c r="C27" t="inlineStr">
        <is>
          <t>S803-FIG83</t>
        </is>
      </c>
      <c r="D27" t="inlineStr">
        <is>
          <t>BAIN_1951_TABLE_I</t>
        </is>
      </c>
      <c r="E27" t="inlineStr">
        <is>
          <t>percent</t>
        </is>
      </c>
    </row>
    <row r="28">
      <c r="A28" t="n">
        <v>1938</v>
      </c>
      <c r="B28" t="n">
        <v>86.40000000000001</v>
      </c>
      <c r="C28" t="inlineStr">
        <is>
          <t>S803-FIG83</t>
        </is>
      </c>
      <c r="D28" t="inlineStr">
        <is>
          <t>BAIN_1951_TABLE_I</t>
        </is>
      </c>
      <c r="E28" t="inlineStr">
        <is>
          <t>percent</t>
        </is>
      </c>
    </row>
    <row r="29">
      <c r="A29" t="n">
        <v>1938</v>
      </c>
      <c r="B29" t="n">
        <v>10.1</v>
      </c>
      <c r="C29" t="inlineStr">
        <is>
          <t>S803-FIG83</t>
        </is>
      </c>
      <c r="D29" t="inlineStr">
        <is>
          <t>BAIN_1951_TABLE_I</t>
        </is>
      </c>
      <c r="E29" t="inlineStr">
        <is>
          <t>percent</t>
        </is>
      </c>
    </row>
    <row r="30">
      <c r="A30" t="n">
        <v>1938</v>
      </c>
      <c r="B30" t="n">
        <v>85.59999999999999</v>
      </c>
      <c r="C30" t="inlineStr">
        <is>
          <t>S803-FIG83</t>
        </is>
      </c>
      <c r="D30" t="inlineStr">
        <is>
          <t>BAIN_1951_TABLE_I</t>
        </is>
      </c>
      <c r="E30" t="inlineStr">
        <is>
          <t>percent</t>
        </is>
      </c>
    </row>
    <row r="31">
      <c r="A31" t="n">
        <v>1938</v>
      </c>
      <c r="B31" t="n">
        <v>9.1</v>
      </c>
      <c r="C31" t="inlineStr">
        <is>
          <t>S803-FIG83</t>
        </is>
      </c>
      <c r="D31" t="inlineStr">
        <is>
          <t>BAIN_1951_TABLE_I</t>
        </is>
      </c>
      <c r="E31" t="inlineStr">
        <is>
          <t>percent</t>
        </is>
      </c>
    </row>
    <row r="32">
      <c r="A32" t="n">
        <v>1938</v>
      </c>
      <c r="B32" t="n">
        <v>84.90000000000001</v>
      </c>
      <c r="C32" t="inlineStr">
        <is>
          <t>S803-FIG83</t>
        </is>
      </c>
      <c r="D32" t="inlineStr">
        <is>
          <t>BAIN_1951_TABLE_I</t>
        </is>
      </c>
      <c r="E32" t="inlineStr">
        <is>
          <t>percent</t>
        </is>
      </c>
    </row>
    <row r="33">
      <c r="A33" t="n">
        <v>1938</v>
      </c>
      <c r="B33" t="n">
        <v>12.9</v>
      </c>
      <c r="C33" t="inlineStr">
        <is>
          <t>S803-FIG83</t>
        </is>
      </c>
      <c r="D33" t="inlineStr">
        <is>
          <t>BAIN_1951_TABLE_I</t>
        </is>
      </c>
      <c r="E33" t="inlineStr">
        <is>
          <t>percent</t>
        </is>
      </c>
    </row>
    <row r="34">
      <c r="A34" t="n">
        <v>1938</v>
      </c>
      <c r="B34" t="n">
        <v>84.3</v>
      </c>
      <c r="C34" t="inlineStr">
        <is>
          <t>S803-FIG83</t>
        </is>
      </c>
      <c r="D34" t="inlineStr">
        <is>
          <t>BAIN_1951_TABLE_I</t>
        </is>
      </c>
      <c r="E34" t="inlineStr">
        <is>
          <t>percent</t>
        </is>
      </c>
    </row>
    <row r="35">
      <c r="A35" t="n">
        <v>1938</v>
      </c>
      <c r="B35" t="n">
        <v>11.7</v>
      </c>
      <c r="C35" t="inlineStr">
        <is>
          <t>S803-FIG83</t>
        </is>
      </c>
      <c r="D35" t="inlineStr">
        <is>
          <t>BAIN_1951_TABLE_I</t>
        </is>
      </c>
      <c r="E35" t="inlineStr">
        <is>
          <t>percent</t>
        </is>
      </c>
    </row>
    <row r="36">
      <c r="A36" t="n">
        <v>1938</v>
      </c>
      <c r="B36" t="n">
        <v>84</v>
      </c>
      <c r="C36" t="inlineStr">
        <is>
          <t>S803-FIG83</t>
        </is>
      </c>
      <c r="D36" t="inlineStr">
        <is>
          <t>BAIN_1951_TABLE_I</t>
        </is>
      </c>
      <c r="E36" t="inlineStr">
        <is>
          <t>percent</t>
        </is>
      </c>
    </row>
    <row r="37">
      <c r="A37" t="n">
        <v>1938</v>
      </c>
      <c r="B37" t="n">
        <v>2.8</v>
      </c>
      <c r="C37" t="inlineStr">
        <is>
          <t>S803-FIG83</t>
        </is>
      </c>
      <c r="D37" t="inlineStr">
        <is>
          <t>BAIN_1951_TABLE_I</t>
        </is>
      </c>
      <c r="E37" t="inlineStr">
        <is>
          <t>percent</t>
        </is>
      </c>
    </row>
    <row r="38">
      <c r="A38" t="n">
        <v>1938</v>
      </c>
      <c r="B38" t="n">
        <v>83.7</v>
      </c>
      <c r="C38" t="inlineStr">
        <is>
          <t>S803-FIG83</t>
        </is>
      </c>
      <c r="D38" t="inlineStr">
        <is>
          <t>BAIN_1951_TABLE_I</t>
        </is>
      </c>
      <c r="E38" t="inlineStr">
        <is>
          <t>percent</t>
        </is>
      </c>
    </row>
    <row r="39">
      <c r="A39" t="n">
        <v>1938</v>
      </c>
      <c r="B39" t="n">
        <v>9.699999999999999</v>
      </c>
      <c r="C39" t="inlineStr">
        <is>
          <t>S803-FIG83</t>
        </is>
      </c>
      <c r="D39" t="inlineStr">
        <is>
          <t>BAIN_1951_TABLE_I</t>
        </is>
      </c>
      <c r="E39" t="inlineStr">
        <is>
          <t>percent</t>
        </is>
      </c>
    </row>
    <row r="40">
      <c r="A40" t="n">
        <v>1938</v>
      </c>
      <c r="B40" t="n">
        <v>83.09999999999999</v>
      </c>
      <c r="C40" t="inlineStr">
        <is>
          <t>S803-FIG83</t>
        </is>
      </c>
      <c r="D40" t="inlineStr">
        <is>
          <t>BAIN_1951_TABLE_I</t>
        </is>
      </c>
      <c r="E40" t="inlineStr">
        <is>
          <t>percent</t>
        </is>
      </c>
    </row>
    <row r="41">
      <c r="A41" t="n">
        <v>1938</v>
      </c>
      <c r="B41" t="n">
        <v>15.2</v>
      </c>
      <c r="C41" t="inlineStr">
        <is>
          <t>S803-FIG83</t>
        </is>
      </c>
      <c r="D41" t="inlineStr">
        <is>
          <t>BAIN_1951_TABLE_I</t>
        </is>
      </c>
      <c r="E41" t="inlineStr">
        <is>
          <t>percent</t>
        </is>
      </c>
    </row>
    <row r="42">
      <c r="A42" t="n">
        <v>1938</v>
      </c>
      <c r="B42" t="n">
        <v>82.8</v>
      </c>
      <c r="C42" t="inlineStr">
        <is>
          <t>S803-FIG83</t>
        </is>
      </c>
      <c r="D42" t="inlineStr">
        <is>
          <t>BAIN_1951_TABLE_I</t>
        </is>
      </c>
      <c r="E42" t="inlineStr">
        <is>
          <t>percent</t>
        </is>
      </c>
    </row>
    <row r="43">
      <c r="A43" t="n">
        <v>1938</v>
      </c>
      <c r="B43" t="n">
        <v>12.3</v>
      </c>
      <c r="C43" t="inlineStr">
        <is>
          <t>S803-FIG83</t>
        </is>
      </c>
      <c r="D43" t="inlineStr">
        <is>
          <t>BAIN_1951_TABLE_I</t>
        </is>
      </c>
      <c r="E43" t="inlineStr">
        <is>
          <t>percent</t>
        </is>
      </c>
    </row>
    <row r="44">
      <c r="A44" t="n">
        <v>1938</v>
      </c>
      <c r="B44" t="n">
        <v>82.2</v>
      </c>
      <c r="C44" t="inlineStr">
        <is>
          <t>S803-FIG83</t>
        </is>
      </c>
      <c r="D44" t="inlineStr">
        <is>
          <t>BAIN_1951_TABLE_I</t>
        </is>
      </c>
      <c r="E44" t="inlineStr">
        <is>
          <t>percent</t>
        </is>
      </c>
    </row>
    <row r="45">
      <c r="A45" t="n">
        <v>1938</v>
      </c>
      <c r="B45" t="n">
        <v>4.7</v>
      </c>
      <c r="C45" t="inlineStr">
        <is>
          <t>S803-FIG83</t>
        </is>
      </c>
      <c r="D45" t="inlineStr">
        <is>
          <t>BAIN_1951_TABLE_I</t>
        </is>
      </c>
      <c r="E45" t="inlineStr">
        <is>
          <t>percent</t>
        </is>
      </c>
    </row>
    <row r="46">
      <c r="A46" t="n">
        <v>1938</v>
      </c>
      <c r="B46" t="n">
        <v>79.7</v>
      </c>
      <c r="C46" t="inlineStr">
        <is>
          <t>S803-FIG83</t>
        </is>
      </c>
      <c r="D46" t="inlineStr">
        <is>
          <t>BAIN_1951_TABLE_I</t>
        </is>
      </c>
      <c r="E46" t="inlineStr">
        <is>
          <t>percent</t>
        </is>
      </c>
    </row>
    <row r="47">
      <c r="A47" t="n">
        <v>1938</v>
      </c>
      <c r="B47" t="n">
        <v>14</v>
      </c>
      <c r="C47" t="inlineStr">
        <is>
          <t>S803-FIG83</t>
        </is>
      </c>
      <c r="D47" t="inlineStr">
        <is>
          <t>BAIN_1951_TABLE_I</t>
        </is>
      </c>
      <c r="E47" t="inlineStr">
        <is>
          <t>percent</t>
        </is>
      </c>
    </row>
    <row r="48">
      <c r="A48" t="n">
        <v>1938</v>
      </c>
      <c r="B48" t="n">
        <v>72.8</v>
      </c>
      <c r="C48" t="inlineStr">
        <is>
          <t>S803-FIG83</t>
        </is>
      </c>
      <c r="D48" t="inlineStr">
        <is>
          <t>BAIN_1951_TABLE_I</t>
        </is>
      </c>
      <c r="E48" t="inlineStr">
        <is>
          <t>percent</t>
        </is>
      </c>
    </row>
    <row r="49">
      <c r="A49" t="n">
        <v>1938</v>
      </c>
      <c r="B49" t="n">
        <v>20.8</v>
      </c>
      <c r="C49" t="inlineStr">
        <is>
          <t>S803-FIG83</t>
        </is>
      </c>
      <c r="D49" t="inlineStr">
        <is>
          <t>BAIN_1951_TABLE_I</t>
        </is>
      </c>
      <c r="E49" t="inlineStr">
        <is>
          <t>percent</t>
        </is>
      </c>
    </row>
    <row r="50">
      <c r="A50" t="n">
        <v>1938</v>
      </c>
      <c r="B50" t="n">
        <v>71.40000000000001</v>
      </c>
      <c r="C50" t="inlineStr">
        <is>
          <t>S803-FIG83</t>
        </is>
      </c>
      <c r="D50" t="inlineStr">
        <is>
          <t>BAIN_1951_TABLE_I</t>
        </is>
      </c>
      <c r="E50" t="inlineStr">
        <is>
          <t>percent</t>
        </is>
      </c>
    </row>
    <row r="51">
      <c r="A51" t="n">
        <v>1938</v>
      </c>
      <c r="B51" t="n">
        <v>14.2</v>
      </c>
      <c r="C51" t="inlineStr">
        <is>
          <t>S803-FIG83</t>
        </is>
      </c>
      <c r="D51" t="inlineStr">
        <is>
          <t>BAIN_1951_TABLE_I</t>
        </is>
      </c>
      <c r="E51" t="inlineStr">
        <is>
          <t>percent</t>
        </is>
      </c>
    </row>
    <row r="52">
      <c r="A52" t="n">
        <v>1938</v>
      </c>
      <c r="B52" t="n">
        <v>68.2</v>
      </c>
      <c r="C52" t="inlineStr">
        <is>
          <t>S803-FIG83</t>
        </is>
      </c>
      <c r="D52" t="inlineStr">
        <is>
          <t>BAIN_1951_TABLE_I</t>
        </is>
      </c>
      <c r="E52" t="inlineStr">
        <is>
          <t>percent</t>
        </is>
      </c>
    </row>
    <row r="53">
      <c r="A53" t="n">
        <v>1938</v>
      </c>
      <c r="B53" t="n">
        <v>7.4</v>
      </c>
      <c r="C53" t="inlineStr">
        <is>
          <t>S803-FIG83</t>
        </is>
      </c>
      <c r="D53" t="inlineStr">
        <is>
          <t>BAIN_1951_TABLE_I</t>
        </is>
      </c>
      <c r="E53" t="inlineStr">
        <is>
          <t>percent</t>
        </is>
      </c>
    </row>
    <row r="54">
      <c r="A54" t="n">
        <v>1938</v>
      </c>
      <c r="B54" t="n">
        <v>68.2</v>
      </c>
      <c r="C54" t="inlineStr">
        <is>
          <t>S803-FIG83</t>
        </is>
      </c>
      <c r="D54" t="inlineStr">
        <is>
          <t>BAIN_1951_TABLE_I</t>
        </is>
      </c>
      <c r="E54" t="inlineStr">
        <is>
          <t>percent</t>
        </is>
      </c>
    </row>
    <row r="55">
      <c r="A55" t="n">
        <v>1938</v>
      </c>
      <c r="B55" t="n">
        <v>4.7</v>
      </c>
      <c r="C55" t="inlineStr">
        <is>
          <t>S803-FIG83</t>
        </is>
      </c>
      <c r="D55" t="inlineStr">
        <is>
          <t>BAIN_1951_TABLE_I</t>
        </is>
      </c>
      <c r="E55" t="inlineStr">
        <is>
          <t>percent</t>
        </is>
      </c>
    </row>
    <row r="56">
      <c r="A56" t="n">
        <v>1938</v>
      </c>
      <c r="B56" t="n">
        <v>63.8</v>
      </c>
      <c r="C56" t="inlineStr">
        <is>
          <t>S803-FIG83</t>
        </is>
      </c>
      <c r="D56" t="inlineStr">
        <is>
          <t>BAIN_1951_TABLE_I</t>
        </is>
      </c>
      <c r="E56" t="inlineStr">
        <is>
          <t>percent</t>
        </is>
      </c>
    </row>
    <row r="57">
      <c r="A57" t="n">
        <v>1938</v>
      </c>
      <c r="B57" t="n">
        <v>4.9</v>
      </c>
      <c r="C57" t="inlineStr">
        <is>
          <t>S803-FIG83</t>
        </is>
      </c>
      <c r="D57" t="inlineStr">
        <is>
          <t>BAIN_1951_TABLE_I</t>
        </is>
      </c>
      <c r="E57" t="inlineStr">
        <is>
          <t>percent</t>
        </is>
      </c>
    </row>
    <row r="58">
      <c r="A58" t="n">
        <v>1938</v>
      </c>
      <c r="B58" t="n">
        <v>63.5</v>
      </c>
      <c r="C58" t="inlineStr">
        <is>
          <t>S803-FIG83</t>
        </is>
      </c>
      <c r="D58" t="inlineStr">
        <is>
          <t>BAIN_1951_TABLE_I</t>
        </is>
      </c>
      <c r="E58" t="inlineStr">
        <is>
          <t>percent</t>
        </is>
      </c>
    </row>
    <row r="59">
      <c r="A59" t="n">
        <v>1938</v>
      </c>
      <c r="B59" t="n">
        <v>3.6</v>
      </c>
      <c r="C59" t="inlineStr">
        <is>
          <t>S803-FIG83</t>
        </is>
      </c>
      <c r="D59" t="inlineStr">
        <is>
          <t>BAIN_1951_TABLE_I</t>
        </is>
      </c>
      <c r="E59" t="inlineStr">
        <is>
          <t>percent</t>
        </is>
      </c>
    </row>
    <row r="60">
      <c r="A60" t="n">
        <v>1938</v>
      </c>
      <c r="B60" t="n">
        <v>63</v>
      </c>
      <c r="C60" t="inlineStr">
        <is>
          <t>S803-FIG83</t>
        </is>
      </c>
      <c r="D60" t="inlineStr">
        <is>
          <t>BAIN_1951_TABLE_I</t>
        </is>
      </c>
      <c r="E60" t="inlineStr">
        <is>
          <t>percent</t>
        </is>
      </c>
    </row>
    <row r="61">
      <c r="A61" t="n">
        <v>1938</v>
      </c>
      <c r="B61" t="n">
        <v>8.6</v>
      </c>
      <c r="C61" t="inlineStr">
        <is>
          <t>S803-FIG83</t>
        </is>
      </c>
      <c r="D61" t="inlineStr">
        <is>
          <t>BAIN_1951_TABLE_I</t>
        </is>
      </c>
      <c r="E61" t="inlineStr">
        <is>
          <t>percent</t>
        </is>
      </c>
    </row>
    <row r="62">
      <c r="A62" t="n">
        <v>1938</v>
      </c>
      <c r="B62" t="n">
        <v>58.9</v>
      </c>
      <c r="C62" t="inlineStr">
        <is>
          <t>S803-FIG83</t>
        </is>
      </c>
      <c r="D62" t="inlineStr">
        <is>
          <t>BAIN_1951_TABLE_I</t>
        </is>
      </c>
      <c r="E62" t="inlineStr">
        <is>
          <t>percent</t>
        </is>
      </c>
    </row>
    <row r="63">
      <c r="A63" t="n">
        <v>1938</v>
      </c>
      <c r="B63" t="n">
        <v>6.8</v>
      </c>
      <c r="C63" t="inlineStr">
        <is>
          <t>S803-FIG83</t>
        </is>
      </c>
      <c r="D63" t="inlineStr">
        <is>
          <t>BAIN_1951_TABLE_I</t>
        </is>
      </c>
      <c r="E63" t="inlineStr">
        <is>
          <t>percent</t>
        </is>
      </c>
    </row>
    <row r="64">
      <c r="A64" t="n">
        <v>1938</v>
      </c>
      <c r="B64" t="n">
        <v>54</v>
      </c>
      <c r="C64" t="inlineStr">
        <is>
          <t>S803-FIG83</t>
        </is>
      </c>
      <c r="D64" t="inlineStr">
        <is>
          <t>BAIN_1951_TABLE_I</t>
        </is>
      </c>
      <c r="E64" t="inlineStr">
        <is>
          <t>percent</t>
        </is>
      </c>
    </row>
    <row r="65">
      <c r="A65" t="n">
        <v>1938</v>
      </c>
      <c r="B65" t="n">
        <v>7.5</v>
      </c>
      <c r="C65" t="inlineStr">
        <is>
          <t>S803-FIG83</t>
        </is>
      </c>
      <c r="D65" t="inlineStr">
        <is>
          <t>BAIN_1951_TABLE_I</t>
        </is>
      </c>
      <c r="E65" t="inlineStr">
        <is>
          <t>percent</t>
        </is>
      </c>
    </row>
    <row r="66">
      <c r="A66" t="n">
        <v>1938</v>
      </c>
      <c r="B66" t="n">
        <v>54</v>
      </c>
      <c r="C66" t="inlineStr">
        <is>
          <t>S803-FIG83</t>
        </is>
      </c>
      <c r="D66" t="inlineStr">
        <is>
          <t>BAIN_1951_TABLE_I</t>
        </is>
      </c>
      <c r="E66" t="inlineStr">
        <is>
          <t>percent</t>
        </is>
      </c>
    </row>
    <row r="67">
      <c r="A67" t="n">
        <v>1938</v>
      </c>
      <c r="B67" t="n">
        <v>1.8</v>
      </c>
      <c r="C67" t="inlineStr">
        <is>
          <t>S803-FIG83</t>
        </is>
      </c>
      <c r="D67" t="inlineStr">
        <is>
          <t>BAIN_1951_TABLE_I</t>
        </is>
      </c>
      <c r="E67" t="inlineStr">
        <is>
          <t>percent</t>
        </is>
      </c>
    </row>
    <row r="68">
      <c r="A68" t="n">
        <v>1938</v>
      </c>
      <c r="B68" t="n">
        <v>50.7</v>
      </c>
      <c r="C68" t="inlineStr">
        <is>
          <t>S803-FIG83</t>
        </is>
      </c>
      <c r="D68" t="inlineStr">
        <is>
          <t>BAIN_1951_TABLE_I</t>
        </is>
      </c>
      <c r="E68" t="inlineStr">
        <is>
          <t>percent</t>
        </is>
      </c>
    </row>
    <row r="69">
      <c r="A69" t="n">
        <v>1938</v>
      </c>
      <c r="B69" t="n">
        <v>6.9</v>
      </c>
      <c r="C69" t="inlineStr">
        <is>
          <t>S803-FIG83</t>
        </is>
      </c>
      <c r="D69" t="inlineStr">
        <is>
          <t>BAIN_1951_TABLE_I</t>
        </is>
      </c>
      <c r="E69" t="inlineStr">
        <is>
          <t>percent</t>
        </is>
      </c>
    </row>
    <row r="70">
      <c r="A70" t="n">
        <v>1938</v>
      </c>
      <c r="B70" t="n">
        <v>49</v>
      </c>
      <c r="C70" t="inlineStr">
        <is>
          <t>S803-FIG83</t>
        </is>
      </c>
      <c r="D70" t="inlineStr">
        <is>
          <t>BAIN_1951_TABLE_I</t>
        </is>
      </c>
      <c r="E70" t="inlineStr">
        <is>
          <t>percent</t>
        </is>
      </c>
    </row>
    <row r="71">
      <c r="A71" t="n">
        <v>1938</v>
      </c>
      <c r="B71" t="n">
        <v>18.3</v>
      </c>
      <c r="C71" t="inlineStr">
        <is>
          <t>S803-FIG83</t>
        </is>
      </c>
      <c r="D71" t="inlineStr">
        <is>
          <t>BAIN_1951_TABLE_I</t>
        </is>
      </c>
      <c r="E71" t="inlineStr">
        <is>
          <t>percent</t>
        </is>
      </c>
    </row>
    <row r="72">
      <c r="A72" t="n">
        <v>1938</v>
      </c>
      <c r="B72" t="n">
        <v>47.4</v>
      </c>
      <c r="C72" t="inlineStr">
        <is>
          <t>S803-FIG83</t>
        </is>
      </c>
      <c r="D72" t="inlineStr">
        <is>
          <t>BAIN_1951_TABLE_I</t>
        </is>
      </c>
      <c r="E72" t="inlineStr">
        <is>
          <t>percent</t>
        </is>
      </c>
    </row>
    <row r="73">
      <c r="A73" t="n">
        <v>1938</v>
      </c>
      <c r="B73" t="n">
        <v>2.2</v>
      </c>
      <c r="C73" t="inlineStr">
        <is>
          <t>S803-FIG83</t>
        </is>
      </c>
      <c r="D73" t="inlineStr">
        <is>
          <t>BAIN_1951_TABLE_I</t>
        </is>
      </c>
      <c r="E73" t="inlineStr">
        <is>
          <t>percent</t>
        </is>
      </c>
    </row>
    <row r="74">
      <c r="A74" t="n">
        <v>1938</v>
      </c>
      <c r="B74" t="n">
        <v>44.7</v>
      </c>
      <c r="C74" t="inlineStr">
        <is>
          <t>S803-FIG83</t>
        </is>
      </c>
      <c r="D74" t="inlineStr">
        <is>
          <t>BAIN_1951_TABLE_I</t>
        </is>
      </c>
      <c r="E74" t="inlineStr">
        <is>
          <t>percent</t>
        </is>
      </c>
    </row>
    <row r="75">
      <c r="A75" t="n">
        <v>1938</v>
      </c>
      <c r="B75" t="n">
        <v>5.4</v>
      </c>
      <c r="C75" t="inlineStr">
        <is>
          <t>S803-FIG83</t>
        </is>
      </c>
      <c r="D75" t="inlineStr">
        <is>
          <t>BAIN_1951_TABLE_I</t>
        </is>
      </c>
      <c r="E75" t="inlineStr">
        <is>
          <t>percent</t>
        </is>
      </c>
    </row>
    <row r="76">
      <c r="A76" t="n">
        <v>1938</v>
      </c>
      <c r="B76" t="n">
        <v>37</v>
      </c>
      <c r="C76" t="inlineStr">
        <is>
          <t>S803-FIG83</t>
        </is>
      </c>
      <c r="D76" t="inlineStr">
        <is>
          <t>BAIN_1951_TABLE_I</t>
        </is>
      </c>
      <c r="E76" t="inlineStr">
        <is>
          <t>percent</t>
        </is>
      </c>
    </row>
    <row r="77">
      <c r="A77" t="n">
        <v>1938</v>
      </c>
      <c r="B77" t="n">
        <v>7.6</v>
      </c>
      <c r="C77" t="inlineStr">
        <is>
          <t>S803-FIG83</t>
        </is>
      </c>
      <c r="D77" t="inlineStr">
        <is>
          <t>BAIN_1951_TABLE_I</t>
        </is>
      </c>
      <c r="E77" t="inlineStr">
        <is>
          <t>percent</t>
        </is>
      </c>
    </row>
    <row r="78">
      <c r="A78" t="n">
        <v>1938</v>
      </c>
      <c r="B78" t="n">
        <v>34.3</v>
      </c>
      <c r="C78" t="inlineStr">
        <is>
          <t>S803-FIG83</t>
        </is>
      </c>
      <c r="D78" t="inlineStr">
        <is>
          <t>BAIN_1951_TABLE_I</t>
        </is>
      </c>
      <c r="E78" t="inlineStr">
        <is>
          <t>percent</t>
        </is>
      </c>
    </row>
    <row r="79">
      <c r="A79" t="n">
        <v>1938</v>
      </c>
      <c r="B79" t="n">
        <v>0.8</v>
      </c>
      <c r="C79" t="inlineStr">
        <is>
          <t>S803-FIG83</t>
        </is>
      </c>
      <c r="D79" t="inlineStr">
        <is>
          <t>BAIN_1951_TABLE_I</t>
        </is>
      </c>
      <c r="E79" t="inlineStr">
        <is>
          <t>percent</t>
        </is>
      </c>
    </row>
    <row r="80">
      <c r="A80" t="n">
        <v>1938</v>
      </c>
      <c r="B80" t="n">
        <v>32.9</v>
      </c>
      <c r="C80" t="inlineStr">
        <is>
          <t>S803-FIG83</t>
        </is>
      </c>
      <c r="D80" t="inlineStr">
        <is>
          <t>BAIN_1951_TABLE_I</t>
        </is>
      </c>
      <c r="E80" t="inlineStr">
        <is>
          <t>percent</t>
        </is>
      </c>
    </row>
    <row r="81">
      <c r="A81" t="n">
        <v>1938</v>
      </c>
      <c r="B81" t="n">
        <v>8.199999999999999</v>
      </c>
      <c r="C81" t="inlineStr">
        <is>
          <t>S803-FIG83</t>
        </is>
      </c>
      <c r="D81" t="inlineStr">
        <is>
          <t>BAIN_1951_TABLE_I</t>
        </is>
      </c>
      <c r="E81" t="inlineStr">
        <is>
          <t>percent</t>
        </is>
      </c>
    </row>
    <row r="82">
      <c r="A82" t="n">
        <v>1938</v>
      </c>
      <c r="B82" t="n">
        <v>30.8</v>
      </c>
      <c r="C82" t="inlineStr">
        <is>
          <t>S803-FIG83</t>
        </is>
      </c>
      <c r="D82" t="inlineStr">
        <is>
          <t>BAIN_1951_TABLE_I</t>
        </is>
      </c>
      <c r="E82" t="inlineStr">
        <is>
          <t>percent</t>
        </is>
      </c>
    </row>
    <row r="83">
      <c r="A83" t="n">
        <v>1938</v>
      </c>
      <c r="B83" t="n">
        <v>7.5</v>
      </c>
      <c r="C83" t="inlineStr">
        <is>
          <t>S803-FIG83</t>
        </is>
      </c>
      <c r="D83" t="inlineStr">
        <is>
          <t>BAIN_1951_TABLE_I</t>
        </is>
      </c>
      <c r="E83" t="inlineStr">
        <is>
          <t>percent</t>
        </is>
      </c>
    </row>
    <row r="84">
      <c r="A84" t="n">
        <v>1938</v>
      </c>
      <c r="B84" t="n">
        <v>30.4</v>
      </c>
      <c r="C84" t="inlineStr">
        <is>
          <t>S803-FIG83</t>
        </is>
      </c>
      <c r="D84" t="inlineStr">
        <is>
          <t>BAIN_1951_TABLE_I</t>
        </is>
      </c>
      <c r="E84" t="inlineStr">
        <is>
          <t>percent</t>
        </is>
      </c>
    </row>
    <row r="85">
      <c r="A85" t="n">
        <v>1938</v>
      </c>
      <c r="B85" t="n">
        <v>7.4</v>
      </c>
      <c r="C85" t="inlineStr">
        <is>
          <t>S803-FIG83</t>
        </is>
      </c>
      <c r="D85" t="inlineStr">
        <is>
          <t>BAIN_1951_TABLE_I</t>
        </is>
      </c>
      <c r="E85" t="inlineStr">
        <is>
          <t>percent</t>
        </is>
      </c>
    </row>
    <row r="86">
      <c r="A86" t="n">
        <v>1938</v>
      </c>
      <c r="B86" t="n">
        <v>27.1</v>
      </c>
      <c r="C86" t="inlineStr">
        <is>
          <t>S803-FIG83</t>
        </is>
      </c>
      <c r="D86" t="inlineStr">
        <is>
          <t>BAIN_1951_TABLE_I</t>
        </is>
      </c>
      <c r="E86" t="inlineStr">
        <is>
          <t>percent</t>
        </is>
      </c>
    </row>
    <row r="87">
      <c r="A87" t="n">
        <v>1938</v>
      </c>
      <c r="B87" t="n">
        <v>8.4</v>
      </c>
      <c r="C87" t="inlineStr">
        <is>
          <t>S803-FIG83</t>
        </is>
      </c>
      <c r="D87" t="inlineStr">
        <is>
          <t>BAIN_1951_TABLE_I</t>
        </is>
      </c>
      <c r="E87" t="inlineStr">
        <is>
          <t>percent</t>
        </is>
      </c>
    </row>
    <row r="88">
      <c r="A88" t="n">
        <v>1938</v>
      </c>
      <c r="B88" t="n">
        <v>23.7</v>
      </c>
      <c r="C88" t="inlineStr">
        <is>
          <t>S803-FIG83</t>
        </is>
      </c>
      <c r="D88" t="inlineStr">
        <is>
          <t>BAIN_1951_TABLE_I</t>
        </is>
      </c>
      <c r="E88" t="inlineStr">
        <is>
          <t>percent</t>
        </is>
      </c>
    </row>
    <row r="89">
      <c r="A89" t="n">
        <v>1938</v>
      </c>
      <c r="B89" t="n">
        <v>12.4</v>
      </c>
      <c r="C89" t="inlineStr">
        <is>
          <t>S803-FIG83</t>
        </is>
      </c>
      <c r="D89" t="inlineStr">
        <is>
          <t>BAIN_1951_TABLE_I</t>
        </is>
      </c>
      <c r="E89" t="inlineStr">
        <is>
          <t>percent</t>
        </is>
      </c>
    </row>
    <row r="90">
      <c r="A90" t="n">
        <v>1938</v>
      </c>
      <c r="B90" t="n">
        <v>19.9</v>
      </c>
      <c r="C90" t="inlineStr">
        <is>
          <t>S803-FIG83</t>
        </is>
      </c>
      <c r="D90" t="inlineStr">
        <is>
          <t>BAIN_1951_TABLE_I</t>
        </is>
      </c>
      <c r="E90" t="inlineStr">
        <is>
          <t>percent</t>
        </is>
      </c>
    </row>
    <row r="91">
      <c r="A91" t="n">
        <v>1938</v>
      </c>
      <c r="B91" t="n">
        <v>17</v>
      </c>
      <c r="C91" t="inlineStr">
        <is>
          <t>S803-FIG83</t>
        </is>
      </c>
      <c r="D91" t="inlineStr">
        <is>
          <t>BAIN_1951_TABLE_I</t>
        </is>
      </c>
      <c r="E91" t="inlineStr">
        <is>
          <t>percent</t>
        </is>
      </c>
    </row>
    <row r="92">
      <c r="A92" t="n">
        <v>1938</v>
      </c>
      <c r="B92" t="n">
        <v>7.6</v>
      </c>
      <c r="C92" t="inlineStr">
        <is>
          <t>S803-FIG83</t>
        </is>
      </c>
      <c r="D92" t="inlineStr">
        <is>
          <t>BAIN_1951_TABLE_I</t>
        </is>
      </c>
      <c r="E92" t="inlineStr">
        <is>
          <t>percent</t>
        </is>
      </c>
    </row>
    <row r="93">
      <c r="A93" t="n">
        <v>1938</v>
      </c>
      <c r="B93" t="n">
        <v>9.1</v>
      </c>
      <c r="C93" t="inlineStr">
        <is>
          <t>S803-FIG83</t>
        </is>
      </c>
      <c r="D93" t="inlineStr">
        <is>
          <t>BAIN_1951_TABLE_I</t>
        </is>
      </c>
      <c r="E93" t="inlineStr">
        <is>
          <t>percent</t>
        </is>
      </c>
    </row>
    <row r="94">
      <c r="A94" t="n">
        <v>1938</v>
      </c>
      <c r="B94" t="n">
        <v>9.1</v>
      </c>
      <c r="C94" t="inlineStr">
        <is>
          <t>S803-FIG84-BAIN</t>
        </is>
      </c>
      <c r="D94" t="inlineStr">
        <is>
          <t>BAIN_1951_TABLE_II</t>
        </is>
      </c>
      <c r="E94" t="inlineStr">
        <is>
          <t>percent</t>
        </is>
      </c>
    </row>
    <row r="95">
      <c r="A95" t="n">
        <v>1938</v>
      </c>
      <c r="B95" t="n">
        <v>17</v>
      </c>
      <c r="C95" t="inlineStr">
        <is>
          <t>S803-FIG84-BAIN</t>
        </is>
      </c>
      <c r="D95" t="inlineStr">
        <is>
          <t>BAIN_1951_TABLE_II</t>
        </is>
      </c>
      <c r="E95" t="inlineStr">
        <is>
          <t>percent</t>
        </is>
      </c>
    </row>
    <row r="96">
      <c r="A96" t="n">
        <v>1938</v>
      </c>
      <c r="B96" t="n">
        <v>10.4</v>
      </c>
      <c r="C96" t="inlineStr">
        <is>
          <t>S803-FIG84-BAIN</t>
        </is>
      </c>
      <c r="D96" t="inlineStr">
        <is>
          <t>BAIN_1951_TABLE_II</t>
        </is>
      </c>
      <c r="E96" t="inlineStr">
        <is>
          <t>percent</t>
        </is>
      </c>
    </row>
    <row r="97">
      <c r="A97" t="n">
        <v>1938</v>
      </c>
      <c r="B97" t="n">
        <v>6.3</v>
      </c>
      <c r="C97" t="inlineStr">
        <is>
          <t>S803-FIG84-BAIN</t>
        </is>
      </c>
      <c r="D97" t="inlineStr">
        <is>
          <t>BAIN_1951_TABLE_II</t>
        </is>
      </c>
      <c r="E97" t="inlineStr">
        <is>
          <t>percent</t>
        </is>
      </c>
    </row>
    <row r="98">
      <c r="A98" t="n">
        <v>1938</v>
      </c>
      <c r="B98" t="n">
        <v>8.300000000000001</v>
      </c>
      <c r="C98" t="inlineStr">
        <is>
          <t>S803-FIG84-BAIN</t>
        </is>
      </c>
      <c r="D98" t="inlineStr">
        <is>
          <t>BAIN_1951_TABLE_II</t>
        </is>
      </c>
      <c r="E98" t="inlineStr">
        <is>
          <t>percent</t>
        </is>
      </c>
    </row>
    <row r="99">
      <c r="A99" t="n">
        <v>1938</v>
      </c>
      <c r="B99" t="n">
        <v>5.8</v>
      </c>
      <c r="C99" t="inlineStr">
        <is>
          <t>S803-FIG84-BAIN</t>
        </is>
      </c>
      <c r="D99" t="inlineStr">
        <is>
          <t>BAIN_1951_TABLE_II</t>
        </is>
      </c>
      <c r="E99" t="inlineStr">
        <is>
          <t>percent</t>
        </is>
      </c>
    </row>
    <row r="100">
      <c r="A100" t="n">
        <v>1938</v>
      </c>
      <c r="B100" t="n">
        <v>5.8</v>
      </c>
      <c r="C100" t="inlineStr">
        <is>
          <t>S803-FIG84-BAIN</t>
        </is>
      </c>
      <c r="D100" t="inlineStr">
        <is>
          <t>BAIN_1951_TABLE_II</t>
        </is>
      </c>
      <c r="E100" t="inlineStr">
        <is>
          <t>percent</t>
        </is>
      </c>
    </row>
    <row r="101">
      <c r="A101" t="n">
        <v>1938</v>
      </c>
      <c r="B101" t="n">
        <v>16.3</v>
      </c>
      <c r="C101" t="inlineStr">
        <is>
          <t>S803-FIG84-BAIN</t>
        </is>
      </c>
      <c r="D101" t="inlineStr">
        <is>
          <t>BAIN_1951_TABLE_II</t>
        </is>
      </c>
      <c r="E101" t="inlineStr">
        <is>
          <t>percent</t>
        </is>
      </c>
    </row>
    <row r="102">
      <c r="A102" t="n">
        <v>1938</v>
      </c>
      <c r="B102" t="n">
        <v>10.5</v>
      </c>
      <c r="C102" t="inlineStr">
        <is>
          <t>S803-FIG84-BAIN</t>
        </is>
      </c>
      <c r="D102" t="inlineStr">
        <is>
          <t>BAIN_1951_TABLE_II</t>
        </is>
      </c>
      <c r="E102" t="inlineStr">
        <is>
          <t>percent</t>
        </is>
      </c>
    </row>
    <row r="103">
      <c r="A103" t="n">
        <v>1938</v>
      </c>
      <c r="B103" t="n">
        <v>12.7</v>
      </c>
      <c r="C103" t="inlineStr">
        <is>
          <t>S803-FIG84-BAIN</t>
        </is>
      </c>
      <c r="D103" t="inlineStr">
        <is>
          <t>BAIN_1951_TABLE_II</t>
        </is>
      </c>
      <c r="E103" t="inlineStr">
        <is>
          <t>percent</t>
        </is>
      </c>
    </row>
    <row r="104">
      <c r="A104" t="n">
        <v>1938</v>
      </c>
      <c r="B104" t="n">
        <v>9</v>
      </c>
      <c r="C104" t="inlineStr">
        <is>
          <t>S803-FIG84-DEMSETZ</t>
        </is>
      </c>
      <c r="D104" t="inlineStr">
        <is>
          <t>BAIN_DEMSETZ_CORRECTED_GROUPED</t>
        </is>
      </c>
      <c r="E104" t="inlineStr">
        <is>
          <t>percent</t>
        </is>
      </c>
    </row>
    <row r="105">
      <c r="A105" t="n">
        <v>1938</v>
      </c>
      <c r="B105" t="n">
        <v>17</v>
      </c>
      <c r="C105" t="inlineStr">
        <is>
          <t>S803-FIG84-DEMSETZ</t>
        </is>
      </c>
      <c r="D105" t="inlineStr">
        <is>
          <t>BAIN_DEMSETZ_CORRECTED_GROUPED</t>
        </is>
      </c>
      <c r="E105" t="inlineStr">
        <is>
          <t>percent</t>
        </is>
      </c>
    </row>
    <row r="106">
      <c r="A106" t="n">
        <v>1938</v>
      </c>
      <c r="B106" t="n">
        <v>10.5</v>
      </c>
      <c r="C106" t="inlineStr">
        <is>
          <t>S803-FIG84-DEMSETZ</t>
        </is>
      </c>
      <c r="D106" t="inlineStr">
        <is>
          <t>BAIN_DEMSETZ_CORRECTED_GROUPED</t>
        </is>
      </c>
      <c r="E106" t="inlineStr">
        <is>
          <t>percent</t>
        </is>
      </c>
    </row>
    <row r="107">
      <c r="A107" t="n">
        <v>1938</v>
      </c>
      <c r="B107" t="n">
        <v>6.1</v>
      </c>
      <c r="C107" t="inlineStr">
        <is>
          <t>S803-FIG84-DEMSETZ</t>
        </is>
      </c>
      <c r="D107" t="inlineStr">
        <is>
          <t>BAIN_DEMSETZ_CORRECTED_GROUPED</t>
        </is>
      </c>
      <c r="E107" t="inlineStr">
        <is>
          <t>percent</t>
        </is>
      </c>
    </row>
    <row r="108">
      <c r="A108" t="n">
        <v>1938</v>
      </c>
      <c r="B108" t="n">
        <v>8.5</v>
      </c>
      <c r="C108" t="inlineStr">
        <is>
          <t>S803-FIG84-DEMSETZ</t>
        </is>
      </c>
      <c r="D108" t="inlineStr">
        <is>
          <t>BAIN_DEMSETZ_CORRECTED_GROUPED</t>
        </is>
      </c>
      <c r="E108" t="inlineStr">
        <is>
          <t>percent</t>
        </is>
      </c>
    </row>
    <row r="109">
      <c r="A109" t="n">
        <v>1938</v>
      </c>
      <c r="B109" t="n">
        <v>5.9</v>
      </c>
      <c r="C109" t="inlineStr">
        <is>
          <t>S803-FIG84-DEMSETZ</t>
        </is>
      </c>
      <c r="D109" t="inlineStr">
        <is>
          <t>BAIN_DEMSETZ_CORRECTED_GROUPED</t>
        </is>
      </c>
      <c r="E109" t="inlineStr">
        <is>
          <t>percent</t>
        </is>
      </c>
    </row>
    <row r="110">
      <c r="A110" t="n">
        <v>1938</v>
      </c>
      <c r="B110" t="n">
        <v>5.9</v>
      </c>
      <c r="C110" t="inlineStr">
        <is>
          <t>S803-FIG84-DEMSETZ</t>
        </is>
      </c>
      <c r="D110" t="inlineStr">
        <is>
          <t>BAIN_DEMSETZ_CORRECTED_GROUPED</t>
        </is>
      </c>
      <c r="E110" t="inlineStr">
        <is>
          <t>percent</t>
        </is>
      </c>
    </row>
    <row r="111">
      <c r="A111" t="n">
        <v>1938</v>
      </c>
      <c r="B111" t="n">
        <v>16.2</v>
      </c>
      <c r="C111" t="inlineStr">
        <is>
          <t>S803-FIG84-DEMSETZ</t>
        </is>
      </c>
      <c r="D111" t="inlineStr">
        <is>
          <t>BAIN_DEMSETZ_CORRECTED_GROUPED</t>
        </is>
      </c>
      <c r="E111" t="inlineStr">
        <is>
          <t>percent</t>
        </is>
      </c>
    </row>
    <row r="112">
      <c r="A112" t="n">
        <v>1938</v>
      </c>
      <c r="B112" t="n">
        <v>9.9</v>
      </c>
      <c r="C112" t="inlineStr">
        <is>
          <t>S803-FIG84-DEMSETZ</t>
        </is>
      </c>
      <c r="D112" t="inlineStr">
        <is>
          <t>BAIN_DEMSETZ_CORRECTED_GROUPED</t>
        </is>
      </c>
      <c r="E112" t="inlineStr">
        <is>
          <t>percent</t>
        </is>
      </c>
    </row>
    <row r="113">
      <c r="A113" t="n">
        <v>1938</v>
      </c>
      <c r="B113" t="n">
        <v>12.5</v>
      </c>
      <c r="C113" t="inlineStr">
        <is>
          <t>S803-FIG84-DEMSETZ</t>
        </is>
      </c>
      <c r="D113" t="inlineStr">
        <is>
          <t>BAIN_DEMSETZ_CORRECTED_GROUPED</t>
        </is>
      </c>
      <c r="E113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S803 — Methodology</t>
        </is>
      </c>
    </row>
    <row r="3">
      <c r="A3" s="4">
        <f>== DPR: S803_DPR.md ===</f>
        <v/>
      </c>
    </row>
    <row r="4">
      <c r="A4" t="inlineStr">
        <is>
          <t># S803 — Rate of Profit on Equity vs. CR8, Bain 42-Industry Sample, 1936-1940 (Figs 8.3 and 8.4)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S803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Anu automated extraction pipeline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`Technical/research/S803_research.json`</t>
        </is>
      </c>
    </row>
    <row r="14">
      <c r="A14" t="inlineStr">
        <is>
          <t>- Adequacy: `Technical/docs/chapters/CH8_ADEQUACY_REPORT.json`</t>
        </is>
      </c>
    </row>
    <row r="15">
      <c r="A15" t="inlineStr">
        <is>
          <t>- Extension Provenance Record: `Technical/docs/series/S803_EPR.md`</t>
        </is>
      </c>
    </row>
    <row r="16">
      <c r="A16" t="inlineStr">
        <is>
          <t>- Registry entry: `Technical/series_registry.json` → `series.S803`</t>
        </is>
      </c>
    </row>
    <row r="17">
      <c r="A17" t="inlineStr">
        <is>
          <t>- Subsource registry: `Technical/SUBSOURCE_METADATA.json` → `BAIN_1951_TABLE_I`, `BAIN_DEMSETZ_CORRECTED_GROUPED`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**S803** is the single series that consolidates Shaikh's Figures 8.3 and 8.4, both based on Bain (1951, *QJE*, "Relation of Profit Rate to Industry Concentration: American Manufacturing, 1936-1940"). The two panels share the same 42-industry sample:</t>
        </is>
      </c>
    </row>
    <row r="24">
      <c r="A24" t="inlineStr"/>
    </row>
    <row r="25">
      <c r="A25" t="inlineStr">
        <is>
          <t>- **Figure 8.3 (S803-FIG83 scatter)**: 42 (industry, CR8, ROE) triples from Bain 1951 Table I, pp. 309 &amp; 312. ROE = 1936-40 industry-average rate of profit on equity after income taxes; CR8 = proportion of value-product supplied by the top 8 firms in 1935.</t>
        </is>
      </c>
    </row>
    <row r="26">
      <c r="A26" t="inlineStr">
        <is>
          <t>- **Figure 8.4 (S803-FIG84 grouped, Bain orig)**: 10 CR8-decile groupings from Bain 1951 Table II, p. 313 (original Bain values).</t>
        </is>
      </c>
    </row>
    <row r="27">
      <c r="A27" t="inlineStr">
        <is>
          <t>- **Figure 8.4 (S803-FIG84 grouped, Demsetz corrected)**: 10 CR8-decile midpoints with Demsetz 1973b corrected ROE values (Demsetz 1973b, p. 12). The Demsetz correction is **integral**, not optional; Shaikh's Fig 8.4 uses the corrected version.</t>
        </is>
      </c>
    </row>
    <row r="28">
      <c r="A28" t="inlineStr"/>
    </row>
    <row r="29">
      <c r="A29" t="inlineStr">
        <is>
          <t>`content_type = cross_sectional`: the 42 industry observations are a single 1936-1940 cross-section; Fig 8.4 is the same cross-section re-binned, not a second time point.</t>
        </is>
      </c>
    </row>
    <row r="30">
      <c r="A30" t="inlineStr"/>
    </row>
    <row r="31">
      <c r="A31" t="inlineStr">
        <is>
          <t>Per the project's cross-sectional handling convention: tolerance 0.5%, no splice, extension N/A.</t>
        </is>
      </c>
    </row>
    <row r="32">
      <c r="A32" t="inlineStr"/>
    </row>
    <row r="33">
      <c r="A33" t="inlineStr">
        <is>
          <t>## 2. Why it matters in Chapter 8</t>
        </is>
      </c>
    </row>
    <row r="34">
      <c r="A34" t="inlineStr"/>
    </row>
    <row r="35">
      <c r="A35" t="inlineStr">
        <is>
          <t>Bain 1951 is the foundational study of the "structure-conduct-performance" (SCP) literature: the central claim is that concentrated industries enjoy persistently higher profit rates. Section II.5 of Chapter 8 (book pp. 373-375) re-runs Bain's regressions on Bain's own data and finds:</t>
        </is>
      </c>
    </row>
    <row r="36">
      <c r="A36" t="inlineStr"/>
    </row>
    <row r="37">
      <c r="A37" t="inlineStr">
        <is>
          <t>- Linear ROE = a + b·CR8: R² = 0.0781 (text p. 374)</t>
        </is>
      </c>
    </row>
    <row r="38">
      <c r="A38" t="inlineStr">
        <is>
          <t>- Quadratic: R² = 0.1896, critical CR8* = 49.24 (book regression)</t>
        </is>
      </c>
    </row>
    <row r="39">
      <c r="A39" t="inlineStr">
        <is>
          <t>- Corrected decile-grouped: R² = 0.033 (text p. 374; per Demsetz 1973b corrections)</t>
        </is>
      </c>
    </row>
    <row r="40">
      <c r="A40" t="inlineStr"/>
    </row>
    <row r="41">
      <c r="A41" t="inlineStr">
        <is>
          <t>All three regressions are weak; none supports the Bain hypothesis. Shaikh quotes Bain himself: "fit ... is obviously so poor that the inference of a rectilinear or other simple relationship of concentration to profits is not warranted."</t>
        </is>
      </c>
    </row>
    <row r="42">
      <c r="A42" t="inlineStr"/>
    </row>
    <row r="43">
      <c r="A43" t="inlineStr">
        <is>
          <t>## 3. Sources (per subseries)</t>
        </is>
      </c>
    </row>
    <row r="44">
      <c r="A44" t="inlineStr"/>
    </row>
    <row r="45">
      <c r="A45" t="inlineStr">
        <is>
          <t>| Subseries | Coverage | Publisher / Series ID | Native units | Retrieval |</t>
        </is>
      </c>
    </row>
    <row r="46">
      <c r="A46" t="inlineStr">
        <is>
          <t>|---|---|---|---|---|</t>
        </is>
      </c>
    </row>
    <row r="47">
      <c r="A47" t="inlineStr">
        <is>
          <t>| **S803-FIG83** | 42 industries, 1936-40 averages | Bain 1951 Table I, QJE 65(3) | CR8 (percent), ROE (percent) | Salvaged chopped `Appendix8_Bain42IndustryProfit.xlsx` |</t>
        </is>
      </c>
    </row>
    <row r="48">
      <c r="A48" t="inlineStr">
        <is>
          <t>| **S803-FIG84-BAIN** | 10 CR8 deciles (Bain original) | Bain 1951 Table II, p. 313 | Decile range, n industries, mean ROE (percent) | Salvaged chopped `Appendix8_Bain42IndustryAggregates.xlsx` |</t>
        </is>
      </c>
    </row>
    <row r="49">
      <c r="A49" t="inlineStr">
        <is>
          <t>| **S803-FIG84-DEMSETZ** | 10 CR8 midpoints (Demsetz corrected) | Demsetz 1973b, JLE 16(1), p. 12 | CR8 midpoint, mean ROE (percent) | Salvaged chopped `Appendix8_CorrectedBainData.xlsx` |</t>
        </is>
      </c>
    </row>
    <row r="50">
      <c r="A50" t="inlineStr"/>
    </row>
    <row r="51">
      <c r="A51" t="inlineStr">
        <is>
          <t>## 4. Construction</t>
        </is>
      </c>
    </row>
    <row r="52">
      <c r="A52" t="inlineStr"/>
    </row>
    <row r="53">
      <c r="A53" t="inlineStr">
        <is>
          <t>**Composite** in the Anu sense — the series is assembled from multiple non-overlapping source tables.</t>
        </is>
      </c>
    </row>
    <row r="54">
      <c r="A54" t="inlineStr"/>
    </row>
    <row r="55">
      <c r="A55" t="inlineStr">
        <is>
          <t>Per panel:</t>
        </is>
      </c>
    </row>
    <row r="56">
      <c r="A56" t="inlineStr"/>
    </row>
    <row r="57">
      <c r="A57" t="inlineStr">
        <is>
          <t>```</t>
        </is>
      </c>
    </row>
    <row r="58">
      <c r="A58" t="inlineStr">
        <is>
          <t>S803-FIG83 (scatter):</t>
        </is>
      </c>
    </row>
    <row r="59">
      <c r="A59" t="inlineStr">
        <is>
          <t xml:space="preserve">  Read Appendix8_Bain42IndustryProfit.xlsx (Sheet1)</t>
        </is>
      </c>
    </row>
    <row r="60">
      <c r="A60" t="inlineStr">
        <is>
          <t xml:space="preserve">  Row 1: industry names (42 cols)</t>
        </is>
      </c>
    </row>
    <row r="61">
      <c r="A61" t="inlineStr">
        <is>
          <t xml:space="preserve">  Row 2: Census number</t>
        </is>
      </c>
    </row>
    <row r="62">
      <c r="A62" t="inlineStr">
        <is>
          <t xml:space="preserve">  Row 3: CR8 1935 value</t>
        </is>
      </c>
    </row>
    <row r="63">
      <c r="A63" t="inlineStr">
        <is>
          <t xml:space="preserve">  Row 4: 1936-40 ROE value</t>
        </is>
      </c>
    </row>
    <row r="64">
      <c r="A64" t="inlineStr">
        <is>
          <t xml:space="preserve">  Emit one obs per industry: (industry_name, census_number, cr8, roe)</t>
        </is>
      </c>
    </row>
    <row r="65">
      <c r="A65" t="inlineStr">
        <is>
          <t xml:space="preserve">  year = 1938 (midpoint label of 1936-40); axis = 'CR8' / 'ROE'</t>
        </is>
      </c>
    </row>
    <row r="66">
      <c r="A66" t="inlineStr"/>
    </row>
    <row r="67">
      <c r="A67" t="inlineStr">
        <is>
          <t>S803-FIG84-BAIN (Bain original deciles):</t>
        </is>
      </c>
    </row>
    <row r="68">
      <c r="A68" t="inlineStr">
        <is>
          <t xml:space="preserve">  Read Appendix8_Bain42IndustryAggregates.xlsx (Sheet1)</t>
        </is>
      </c>
    </row>
    <row r="69">
      <c r="A69" t="inlineStr">
        <is>
          <t xml:space="preserve">  10 rows: (index, CR_lower, CR_upper, n_industries, mean_ROE)</t>
        </is>
      </c>
    </row>
    <row r="70">
      <c r="A70" t="inlineStr">
        <is>
          <t xml:space="preserve">  Emit one obs per decile</t>
        </is>
      </c>
    </row>
    <row r="71">
      <c r="A71" t="inlineStr"/>
    </row>
    <row r="72">
      <c r="A72" t="inlineStr">
        <is>
          <t>S803-FIG84-DEMSETZ (Demsetz corrected):</t>
        </is>
      </c>
    </row>
    <row r="73">
      <c r="A73" t="inlineStr">
        <is>
          <t xml:space="preserve">  Read Appendix8_CorrectedBainData.xlsx (Sheet1)</t>
        </is>
      </c>
    </row>
    <row r="74">
      <c r="A74" t="inlineStr">
        <is>
          <t xml:space="preserve">  10 rows at odd-decile midpoints CR8 in {5, 15, 25, 35, 45, 55, 65, 75, 85, 95}</t>
        </is>
      </c>
    </row>
    <row r="75">
      <c r="A75" t="inlineStr">
        <is>
          <t xml:space="preserve">  Emit one obs per midpoint</t>
        </is>
      </c>
    </row>
    <row r="76">
      <c r="A76" t="inlineStr">
        <is>
          <t>```</t>
        </is>
      </c>
    </row>
    <row r="77">
      <c r="A77" t="inlineStr"/>
    </row>
    <row r="78">
      <c r="A78" t="inlineStr">
        <is>
          <t>## 5. Year coverage</t>
        </is>
      </c>
    </row>
    <row r="79">
      <c r="A79" t="inlineStr"/>
    </row>
    <row r="80">
      <c r="A80" t="inlineStr">
        <is>
          <t>- **Book period**: 1936-1940 (Bain ROE averages); CR8 from Census 1935</t>
        </is>
      </c>
    </row>
    <row r="81">
      <c r="A81" t="inlineStr">
        <is>
          <t>- **Year label used in chopped CSV**: 1938 (midpoint)</t>
        </is>
      </c>
    </row>
    <row r="82">
      <c r="A82" t="inlineStr">
        <is>
          <t>- **Extension period**: not applicable (cross_sectional)</t>
        </is>
      </c>
    </row>
    <row r="83">
      <c r="A83" t="inlineStr"/>
    </row>
    <row r="84">
      <c r="A84" t="inlineStr">
        <is>
          <t>## 6. Units</t>
        </is>
      </c>
    </row>
    <row r="85">
      <c r="A85" t="inlineStr"/>
    </row>
    <row r="86">
      <c r="A86" t="inlineStr">
        <is>
          <t>`percent` (CR8 and ROE both).</t>
        </is>
      </c>
    </row>
    <row r="87">
      <c r="A87" t="inlineStr"/>
    </row>
    <row r="88">
      <c r="A88" t="inlineStr">
        <is>
          <t>## 7. Caveats</t>
        </is>
      </c>
    </row>
    <row r="89">
      <c r="A89" t="inlineStr"/>
    </row>
    <row r="90">
      <c r="A90" t="inlineStr">
        <is>
          <t>1. **Single series ID consolidates two figures.** Per Phase 3 stub `figures = ["Fig8.3", "Fig8.4"]`. The loader emits all three panels under the single S803 id, distinguished by `subseries_id`.</t>
        </is>
      </c>
    </row>
    <row r="91">
      <c r="A91" t="inlineStr">
        <is>
          <t>2. **Demsetz correction is integral.** Fig 8.4 in Shaikh uses the corrected values from Demsetz 1973b p. 12, NOT Bain's original Table II values. The loader emits both (`S803-FIG84-BAIN` and `S803-FIG84-DEMSETZ`) so the validator can confirm against the chopped truth. Visualization should use the Demsetz-corrected line as the primary.</t>
        </is>
      </c>
    </row>
    <row r="92">
      <c r="A92" t="inlineStr">
        <is>
          <t>3. **Stub-name correction.** Renamed from stale "Interest Rates, Prices, and Equity Data" (CD2 S041 Ch10 carryover). `cd2_id` nulled.</t>
        </is>
      </c>
    </row>
    <row r="93">
      <c r="A93" t="inlineStr">
        <is>
          <t>4. **Firm-level micro data not available.** Only the industry-level averages and decile groupings are in chopped tables.</t>
        </is>
      </c>
    </row>
    <row r="94">
      <c r="A94" t="inlineStr">
        <is>
          <t>5. **R² values from Shaikh's text** (0.0781 linear, 0.1896 quadratic, 0.033 grouped corrected) are reported in the EPR provenance and can be re-computed from the loaded data for sanity-check in downstream analysis if desired (not required by the extraction convention).</t>
        </is>
      </c>
    </row>
    <row r="95">
      <c r="A95" t="inlineStr"/>
    </row>
    <row r="96">
      <c r="A96" t="inlineStr">
        <is>
          <t>## 8. Cross-references</t>
        </is>
      </c>
    </row>
    <row r="97">
      <c r="A97" t="inlineStr"/>
    </row>
    <row r="98">
      <c r="A98" t="inlineStr">
        <is>
          <t>- **CD legacy ID**: `S041` (predecessor link only; CD2 mismap — S041 is a Ch10 series)</t>
        </is>
      </c>
    </row>
    <row r="99">
      <c r="A99" t="inlineStr">
        <is>
          <t>- **CD2 legacy ID**: null</t>
        </is>
      </c>
    </row>
    <row r="100">
      <c r="A100" t="inlineStr">
        <is>
          <t>- **Book reference**: Shaikh (2016), Ch. 8, pp. 373-375 (text + Figs 8.3, 8.4)</t>
        </is>
      </c>
    </row>
    <row r="101">
      <c r="A101" t="inlineStr">
        <is>
          <t>- **Originating publications**:</t>
        </is>
      </c>
    </row>
    <row r="102">
      <c r="A102" t="inlineStr">
        <is>
          <t xml:space="preserve">  - Bain, J.S. (1951), "Relation of Profit Rate to Industry Concentration," *QJE* 65(3): 293-324. DOI 10.2307/1882217.</t>
        </is>
      </c>
    </row>
    <row r="103">
      <c r="A103" t="inlineStr">
        <is>
          <t xml:space="preserve">  - Demsetz, H. (1973b), "Industry Structure, Market Rivalry, and Public Policy," *JLE* 16(1): 1-9. DOI 10.1086/466752.</t>
        </is>
      </c>
    </row>
    <row r="104">
      <c r="A104" t="inlineStr">
        <is>
          <t>- **Shared source with S805** (Demsetz 1973b). Loader for S805 consumes a different Demsetz 1973b table (Table 4).</t>
        </is>
      </c>
    </row>
    <row r="105">
      <c r="A105" t="inlineStr"/>
    </row>
    <row r="106">
      <c r="A106" t="inlineStr">
        <is>
          <t>## 9. Validation expectation</t>
        </is>
      </c>
    </row>
    <row r="107">
      <c r="A107" t="inlineStr"/>
    </row>
    <row r="108">
      <c r="A108" t="inlineStr">
        <is>
          <t>- **Tolerance**: ±0.5% (cross-sectional convention).</t>
        </is>
      </c>
    </row>
    <row r="109">
      <c r="A109" t="inlineStr">
        <is>
          <t>- Compare loaded long-form values to the corresponding xlsx values on the (subseries, key) join.</t>
        </is>
      </c>
    </row>
    <row r="110">
      <c r="A110" t="inlineStr">
        <is>
          <t>- Expected MAE: 0.0 (cells loaded directly from xlsx).</t>
        </is>
      </c>
    </row>
    <row r="113">
      <c r="A113" s="4">
        <f>== EPR: S803_EPR.md ===</f>
        <v/>
      </c>
    </row>
    <row r="114">
      <c r="A114" t="inlineStr">
        <is>
          <t># S803 — Extension Provenance Record</t>
        </is>
      </c>
    </row>
    <row r="115">
      <c r="A115" t="inlineStr"/>
    </row>
    <row r="116">
      <c r="A116" t="inlineStr">
        <is>
          <t>**Series**: S803 — Rate of Profit on Equity vs. CR8, Bain 42-Industry Sample, 1936-1940 (Figs 8.3 and 8.4)</t>
        </is>
      </c>
    </row>
    <row r="117">
      <c r="A117" t="inlineStr">
        <is>
          <t>**Phase**: 6 (Extension)</t>
        </is>
      </c>
    </row>
    <row r="118">
      <c r="A118" t="inlineStr">
        <is>
          <t>**Construction classification**: `composite` (cross_sectional)</t>
        </is>
      </c>
    </row>
    <row r="119">
      <c r="A119" t="inlineStr">
        <is>
          <t>**Extension method**: not applicable — see §1</t>
        </is>
      </c>
    </row>
    <row r="120">
      <c r="A120" t="inlineStr">
        <is>
          <t>**Authored**: 2026-05-18</t>
        </is>
      </c>
    </row>
    <row r="121">
      <c r="A121" t="inlineStr">
        <is>
          <t>**Author**: Anu automated extraction pipeline</t>
        </is>
      </c>
    </row>
    <row r="122">
      <c r="A122" t="inlineStr">
        <is>
          <t>**Related**: `S803_DPR.md`</t>
        </is>
      </c>
    </row>
    <row r="123">
      <c r="A123" t="inlineStr"/>
    </row>
    <row r="124">
      <c r="A124" t="inlineStr">
        <is>
          <t>---</t>
        </is>
      </c>
    </row>
    <row r="125">
      <c r="A125" t="inlineStr"/>
    </row>
    <row r="126">
      <c r="A126" t="inlineStr">
        <is>
          <t>## 1. Classification</t>
        </is>
      </c>
    </row>
    <row r="127">
      <c r="A127" t="inlineStr"/>
    </row>
    <row r="128">
      <c r="A128" t="inlineStr">
        <is>
          <t>`content_type = cross_sectional`. The 42 industry observations are a single 1936-1940 cross-section; Fig 8.4 is the same cross-section re-binned with Demsetz's corrections, not a second time point.</t>
        </is>
      </c>
    </row>
    <row r="129">
      <c r="A129" t="inlineStr"/>
    </row>
    <row r="130">
      <c r="A130" t="inlineStr">
        <is>
          <t>Per the project's cross-sectional handling convention:</t>
        </is>
      </c>
    </row>
    <row r="131">
      <c r="A131" t="inlineStr"/>
    </row>
    <row r="132">
      <c r="A132" t="inlineStr">
        <is>
          <t>&gt; "Extension: explicitly `not_applicable_cross_sectional` in EPR; extension_candidates empty in dossier (already true after Phase 4)."</t>
        </is>
      </c>
    </row>
    <row r="133">
      <c r="A133" t="inlineStr"/>
    </row>
    <row r="134">
      <c r="A134" t="inlineStr">
        <is>
          <t>## 2. Why no extension is attempted</t>
        </is>
      </c>
    </row>
    <row r="135">
      <c r="A135" t="inlineStr"/>
    </row>
    <row r="136">
      <c r="A136" t="inlineStr">
        <is>
          <t>- The Anu rule against extending non-time-series applies.</t>
        </is>
      </c>
    </row>
    <row r="137">
      <c r="A137" t="inlineStr">
        <is>
          <t>- The Bain 1951 sample is a specific 42-industry list constructed for the 1935 Census CR8 / 1936-40 ROE pairing. The industry list itself is partially defined by Bain's exclusion criteria (industries with &lt;3 firms or limited data); reconstructing the same cross-section for a modern year would require matching exclusion rules and is methodologically separate, not an extension.</t>
        </is>
      </c>
    </row>
    <row r="138">
      <c r="A138" t="inlineStr">
        <is>
          <t>- Per Phase 4 Adequacy Report: a "circa-2017" replication would be a NEW cross-sectional series, not an extension of S803.</t>
        </is>
      </c>
    </row>
    <row r="139">
      <c r="A139" t="inlineStr"/>
    </row>
    <row r="140">
      <c r="A140" t="inlineStr">
        <is>
          <t>## 3. Method</t>
        </is>
      </c>
    </row>
    <row r="141">
      <c r="A141" t="inlineStr"/>
    </row>
    <row r="142">
      <c r="A142" t="inlineStr">
        <is>
          <t>N/A.</t>
        </is>
      </c>
    </row>
    <row r="143">
      <c r="A143" t="inlineStr"/>
    </row>
    <row r="144">
      <c r="A144" t="inlineStr">
        <is>
          <t>## 4. No-Proxy disclosure</t>
        </is>
      </c>
    </row>
    <row r="145">
      <c r="A145" t="inlineStr"/>
    </row>
    <row r="146">
      <c r="A146" t="inlineStr">
        <is>
          <t>**None.** The Bain 1951 and Demsetz 1973b published values are loaded directly from the chopped xlsx.</t>
        </is>
      </c>
    </row>
    <row r="147">
      <c r="A147" t="inlineStr"/>
    </row>
    <row r="148">
      <c r="A148" t="inlineStr">
        <is>
          <t>## 5. No-Synthetic disclosure</t>
        </is>
      </c>
    </row>
    <row r="149">
      <c r="A149" t="inlineStr"/>
    </row>
    <row r="150">
      <c r="A150" t="inlineStr">
        <is>
          <t>**None.** No interpolation, no extrapolation. Cells are loaded as published.</t>
        </is>
      </c>
    </row>
    <row r="151">
      <c r="A151" t="inlineStr"/>
    </row>
    <row r="152">
      <c r="A152" t="inlineStr">
        <is>
          <t>## 6. Failure-mode table</t>
        </is>
      </c>
    </row>
    <row r="153">
      <c r="A153" t="inlineStr"/>
    </row>
    <row r="154">
      <c r="A154" t="inlineStr">
        <is>
          <t>| Failure | Action |</t>
        </is>
      </c>
    </row>
    <row r="155">
      <c r="A155" t="inlineStr">
        <is>
          <t>|---|---|</t>
        </is>
      </c>
    </row>
    <row r="156">
      <c r="A156" t="inlineStr">
        <is>
          <t>| Any of three xlsx files missing | Loader returns `{"status": "FAIL", ...}` |</t>
        </is>
      </c>
    </row>
    <row r="157">
      <c r="A157" t="inlineStr">
        <is>
          <t>| Industry name / Census number row mismatch | Loader fails fast |</t>
        </is>
      </c>
    </row>
    <row r="158">
      <c r="A158" t="inlineStr">
        <is>
          <t>| Validator finds divergence &gt; 0.5% | FAIL — investigate xlsx vs. Bain 1951 / Demsetz 1973b |</t>
        </is>
      </c>
    </row>
    <row r="159">
      <c r="A159" t="inlineStr"/>
    </row>
    <row r="160">
      <c r="A160" t="inlineStr">
        <is>
          <t>## 7. CD2 divergence pre-disclosure</t>
        </is>
      </c>
    </row>
    <row r="161">
      <c r="A161" t="inlineStr"/>
    </row>
    <row r="162">
      <c r="A162" t="inlineStr">
        <is>
          <t>No CD2 per-series CSV matches S803 content. The stub's `cd_id = S041` was a stale carryover from a Ch10 interest-rate series and `cd2_id` was nulled.</t>
        </is>
      </c>
    </row>
    <row r="163">
      <c r="A163" t="inlineStr"/>
    </row>
    <row r="164">
      <c r="A164" t="inlineStr">
        <is>
          <t>## 8. Recovery / future-work</t>
        </is>
      </c>
    </row>
    <row r="165">
      <c r="A165" t="inlineStr"/>
    </row>
    <row r="166">
      <c r="A166" t="inlineStr">
        <is>
          <t>A modern (e.g., 2017 Economic Census) replication would require:</t>
        </is>
      </c>
    </row>
    <row r="167">
      <c r="A167" t="inlineStr">
        <is>
          <t>1. IRS SOI Corporation Source Book industry profit rates (NAICS).</t>
        </is>
      </c>
    </row>
    <row r="168">
      <c r="A168" t="inlineStr">
        <is>
          <t>2. U.S. Census Concentration Ratios in Manufacturing (CR8) for the matching Economic Census year.</t>
        </is>
      </c>
    </row>
    <row r="169">
      <c r="A169" t="inlineStr">
        <is>
          <t>3. NAICS-level industry partitioning and matching Bain's exclusion rules.</t>
        </is>
      </c>
    </row>
    <row r="170">
      <c r="A170" t="inlineStr"/>
    </row>
    <row r="171">
      <c r="A171" t="inlineStr">
        <is>
          <t>This would be a NEW cross-sectional series (proposed: S803b), not an extension of S803.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2" customWidth="1" min="3" max="3"/>
    <col width="56" customWidth="1" min="4" max="4"/>
    <col width="33" customWidth="1" min="5" max="5"/>
    <col width="49" customWidth="1" min="6" max="6"/>
    <col width="38" customWidth="1" min="7" max="7"/>
    <col width="58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S803-FIG83</t>
        </is>
      </c>
      <c r="B2" t="inlineStr">
        <is>
          <t>BAIN_1951_QJE</t>
        </is>
      </c>
      <c r="C2" t="inlineStr">
        <is>
          <t>Bain, Joe S. (1951), 'Relation of Profit Rate to Industry Concentration: American Manufacturing, 1936-1940,' Quarterly Journal of Economics 65(3): 293-324</t>
        </is>
      </c>
      <c r="D2" t="inlineStr">
        <is>
          <t>Bain (academic author); corrections by Demsetz (1973b)</t>
        </is>
      </c>
      <c r="E2" t="inlineStr">
        <is>
          <t>https://doi.org/10.2307/1882217</t>
        </is>
      </c>
      <c r="F2" t="inlineStr">
        <is>
          <t>percent (rate of profit on equity); CR8 percent</t>
        </is>
      </c>
      <c r="G2" t="inlineStr">
        <is>
          <t>5-year average benchmark (1936-1940)</t>
        </is>
      </c>
      <c r="H2" t="inlineStr">
        <is>
          <t>Cross-sectional statistics; reproducible under fair use.</t>
        </is>
      </c>
      <c r="I2" t="inlineStr">
        <is>
          <t>salvaged xlsx</t>
        </is>
      </c>
    </row>
    <row r="3">
      <c r="A3" t="inlineStr">
        <is>
          <t>S803-FIG84-BAIN</t>
        </is>
      </c>
      <c r="B3" t="inlineStr">
        <is>
          <t>BAIN_1951_QJE</t>
        </is>
      </c>
      <c r="C3" t="inlineStr">
        <is>
          <t>Bain, Joe S. (1951), 'Relation of Profit Rate to Industry Concentration: American Manufacturing, 1936-1940,' Quarterly Journal of Economics 65(3): 293-324</t>
        </is>
      </c>
      <c r="D3" t="inlineStr">
        <is>
          <t>Bain (academic author); corrections by Demsetz (1973b)</t>
        </is>
      </c>
      <c r="E3" t="inlineStr">
        <is>
          <t>https://doi.org/10.2307/1882217</t>
        </is>
      </c>
      <c r="F3" t="inlineStr">
        <is>
          <t>percent (rate of profit on equity); CR8 percent</t>
        </is>
      </c>
      <c r="G3" t="inlineStr">
        <is>
          <t>5-year average benchmark (1936-1940)</t>
        </is>
      </c>
      <c r="H3" t="inlineStr">
        <is>
          <t>Cross-sectional statistics; reproducible under fair use.</t>
        </is>
      </c>
      <c r="I3" t="inlineStr">
        <is>
          <t>salvaged xlsx</t>
        </is>
      </c>
    </row>
    <row r="4">
      <c r="A4" t="inlineStr">
        <is>
          <t>S803-FIG84-DEMSETZ</t>
        </is>
      </c>
      <c r="B4" t="inlineStr">
        <is>
          <t>BAIN_1951_QJE</t>
        </is>
      </c>
      <c r="C4" t="inlineStr">
        <is>
          <t>Bain, Joe S. (1951), 'Relation of Profit Rate to Industry Concentration: American Manufacturing, 1936-1940,' Quarterly Journal of Economics 65(3): 293-324</t>
        </is>
      </c>
      <c r="D4" t="inlineStr">
        <is>
          <t>Bain (academic author); corrections by Demsetz (1973b)</t>
        </is>
      </c>
      <c r="E4" t="inlineStr">
        <is>
          <t>https://doi.org/10.2307/1882217</t>
        </is>
      </c>
      <c r="F4" t="inlineStr">
        <is>
          <t>percent (rate of profit on equity); CR8 percent</t>
        </is>
      </c>
      <c r="G4" t="inlineStr">
        <is>
          <t>5-year average benchmark (1936-1940)</t>
        </is>
      </c>
      <c r="H4" t="inlineStr">
        <is>
          <t>Cross-sectional statistics; reproducible under fair use.</t>
        </is>
      </c>
      <c r="I4" t="inlineStr">
        <is>
          <t>salvaged 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S803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cross_sectional</t>
        </is>
      </c>
    </row>
    <row r="7">
      <c r="A7" t="inlineStr">
        <is>
          <t>n_compared</t>
        </is>
      </c>
      <c r="B7" t="n">
        <v>104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panels</t>
        </is>
      </c>
      <c r="B12" t="inlineStr">
        <is>
          <t>{"FIG83": {"n_compared": 84, "mae": 0.0, "max_abs_err": 0.0, "max_pct_err": 0.0, "divergence_count": 0}, "FIG84_BAIN": {"n_compared": 10, "mae": 0.0, "max_abs_err": 0.0, "max_pct_err": 0.0, "divergence_count": 0}, "FIG84_DEMSETZ": {"n_compared": 10, "mae": 0.0, "max_abs_err": 0.0, "max_pct_err": 0.0, "divergence_count": 0}}</t>
        </is>
      </c>
    </row>
    <row r="13">
      <c r="A13" t="inlineStr">
        <is>
          <t>validated_at</t>
        </is>
      </c>
      <c r="B13" t="inlineStr">
        <is>
          <t>2026-07-11T03:44:26.341987+00:00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S803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BAIN_1951_QJE</t>
        </is>
      </c>
    </row>
    <row r="5">
      <c r="A5" t="inlineStr">
        <is>
          <t>construction</t>
        </is>
      </c>
      <c r="B5" t="inlineStr">
        <is>
          <t>direct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reconstruction of Shaikh Figures 8.3 and 8.4 (Ch8, pp.374-375) from Bain (1951, QJE) with Demsetz (1973b) corrections: rate of profit on equity (ROE) versus eight-firm concentration ratio (CR8) for 42 US manufacturing industries averaged over 1936-1940 (Fig 8.3 scatter) and the same data grouped by CR8 decile (Fig 8.4). Construction-relevant: Shaikh's centerpiece exhibit that even Bain's own data show no robust positive concentration-profit correlation (beta=0.0521, R^2=0.0781 scatter; R^2=0.033 corrected grouped). COVERAGE_SHORT/COVERAGE_START prescreen flags are STALE FALSE POSITIVES: this is an index-axis cross-section in which year=1938 is a constant placeholder (midpoint of Bain's 1936-40 averaging window); the genuine axes are CR8/ROE (Fig 8.3) and decile/CR8-midpoint (Fig 8.4). There is no time coverage gap to investigate.", "date": "2026-06-11"}</t>
        </is>
      </c>
    </row>
    <row r="9">
      <c r="A9" t="inlineStr">
        <is>
          <t>dpr</t>
        </is>
      </c>
      <c r="B9" t="inlineStr">
        <is>
          <t>Technical/docs/series/S803_DPR.md</t>
        </is>
      </c>
    </row>
    <row r="10">
      <c r="A10" t="inlineStr">
        <is>
          <t>epr</t>
        </is>
      </c>
      <c r="B10" t="inlineStr">
        <is>
          <t>Technical/docs/series/S803_EPR.md</t>
        </is>
      </c>
    </row>
    <row r="11">
      <c r="A11" t="inlineStr">
        <is>
          <t>notes</t>
        </is>
      </c>
      <c r="B11" t="inlineStr">
        <is>
          <t>Combines Bain 1951 Tables I &amp; II plus Demsetz 1973b corrections; 104 rows.</t>
        </is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units</t>
        </is>
      </c>
      <c r="B13" t="inlineStr">
        <is>
          <t>percent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2026-07-19T13:16:12Z</dcterms:created>
  <dcterms:modified xmlns:dcterms="http://purl.org/dc/terms/" xmlns:xsi="http://www.w3.org/2001/XMLSchema-instance" xsi:type="dcterms:W3CDTF">2026-07-19T13:16:12Z</dcterms:modified>
</cp:coreProperties>
</file>
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S201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'Data'!$A$4:$A$169</f>
            </numRef>
          </cat>
          <val>
            <numRef>
              <f>'Data'!$B$4:$B$169</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'Data'!$A$4:$A$169</f>
            </numRef>
          </cat>
          <val>
            <numRef>
              <f>'Data'!$C$4:$C$169</f>
            </numRef>
          </val>
        </ser>
        <ser>
          <idx val="2"/>
          <order val="2"/>
          <tx>
            <strRef>
              <f>'Data'!D3</f>
            </strRef>
          </tx>
          <spPr>
            <a:ln xmlns:a="http://schemas.openxmlformats.org/drawingml/2006/main">
              <a:prstDash val="solid"/>
            </a:ln>
          </spPr>
          <marker>
            <symbol val="none"/>
            <spPr>
              <a:ln xmlns:a="http://schemas.openxmlformats.org/drawingml/2006/main">
                <a:prstDash val="solid"/>
              </a:ln>
            </spPr>
          </marker>
          <cat>
            <numRef>
              <f>'Data'!$A$4:$A$169</f>
            </numRef>
          </cat>
          <val>
            <numRef>
              <f>'Data'!$D$4:$D$169</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340"/>
  <sheetViews>
    <sheetView workbookViewId="0">
      <selection activeCell="A1" sqref="A1"/>
    </sheetView>
  </sheetViews>
  <sheetFormatPr baseColWidth="8" defaultRowHeight="15"/>
  <cols>
    <col width="57" customWidth="1" min="1" max="1"/>
    <col width="20" customWidth="1" min="2" max="2"/>
    <col width="20" customWidth="1" min="3" max="3"/>
    <col width="20" customWidth="1" min="4" max="4"/>
    <col width="16" customWidth="1" min="5" max="5"/>
  </cols>
  <sheetData>
    <row r="1">
      <c r="A1" s="1" t="inlineStr">
        <is>
          <t>S201 — annual values (long form below pivot)</t>
        </is>
      </c>
    </row>
    <row r="2"/>
    <row r="3">
      <c r="A3" s="2" t="inlineStr">
        <is>
          <t>year</t>
        </is>
      </c>
      <c r="B3" s="2" t="inlineStr">
        <is>
          <t>S201-A</t>
        </is>
      </c>
      <c r="C3" s="2" t="inlineStr">
        <is>
          <t>S201-B</t>
        </is>
      </c>
      <c r="D3" s="2" t="inlineStr">
        <is>
          <t>S201-C</t>
        </is>
      </c>
    </row>
    <row r="4">
      <c r="A4" t="n">
        <v>1860</v>
      </c>
      <c r="B4" t="n">
        <v>1.636761487964989</v>
      </c>
      <c r="C4" t="n">
        <v/>
      </c>
      <c r="D4" t="n">
        <v/>
      </c>
    </row>
    <row r="5">
      <c r="A5" t="n">
        <v>1861</v>
      </c>
      <c r="B5" t="n">
        <v>1.638949671772429</v>
      </c>
      <c r="C5" t="n">
        <v/>
      </c>
      <c r="D5" t="n">
        <v/>
      </c>
    </row>
    <row r="6">
      <c r="A6" t="n">
        <v>1862</v>
      </c>
      <c r="B6" t="n">
        <v>1.518599562363239</v>
      </c>
      <c r="C6" t="n">
        <v/>
      </c>
      <c r="D6" t="n">
        <v/>
      </c>
    </row>
    <row r="7">
      <c r="A7" t="n">
        <v>1863</v>
      </c>
      <c r="B7" t="n">
        <v>1.724288840262582</v>
      </c>
      <c r="C7" t="n">
        <v/>
      </c>
      <c r="D7" t="n">
        <v/>
      </c>
    </row>
    <row r="8">
      <c r="A8" t="n">
        <v>1864</v>
      </c>
      <c r="B8" t="n">
        <v>1.827133479212254</v>
      </c>
      <c r="C8" t="n">
        <v/>
      </c>
      <c r="D8" t="n">
        <v/>
      </c>
    </row>
    <row r="9">
      <c r="A9" t="n">
        <v>1865</v>
      </c>
      <c r="B9" t="n">
        <v>1.75054704595186</v>
      </c>
      <c r="C9" t="n">
        <v/>
      </c>
      <c r="D9" t="n">
        <v/>
      </c>
    </row>
    <row r="10">
      <c r="A10" t="n">
        <v>1866</v>
      </c>
      <c r="B10" t="n">
        <v>2.153172866520788</v>
      </c>
      <c r="C10" t="n">
        <v/>
      </c>
      <c r="D10" t="n">
        <v/>
      </c>
    </row>
    <row r="11">
      <c r="A11" t="n">
        <v>1867</v>
      </c>
      <c r="B11" t="n">
        <v>2.25382932166302</v>
      </c>
      <c r="C11" t="n">
        <v/>
      </c>
      <c r="D11" t="n">
        <v/>
      </c>
    </row>
    <row r="12">
      <c r="A12" t="n">
        <v>1868</v>
      </c>
      <c r="B12" t="n">
        <v>2.363238512035011</v>
      </c>
      <c r="C12" t="n">
        <v/>
      </c>
      <c r="D12" t="n">
        <v/>
      </c>
    </row>
    <row r="13">
      <c r="A13" t="n">
        <v>1869</v>
      </c>
      <c r="B13" t="n">
        <v>2.538293216630197</v>
      </c>
      <c r="C13" t="n">
        <v/>
      </c>
      <c r="D13" t="n">
        <v/>
      </c>
    </row>
    <row r="14">
      <c r="A14" t="n">
        <v>1870</v>
      </c>
      <c r="B14" t="n">
        <v>2.560175054704595</v>
      </c>
      <c r="C14" t="n">
        <v/>
      </c>
      <c r="D14" t="n">
        <v/>
      </c>
    </row>
    <row r="15">
      <c r="A15" t="n">
        <v>1871</v>
      </c>
      <c r="B15" t="n">
        <v>2.691466083150985</v>
      </c>
      <c r="C15" t="n">
        <v/>
      </c>
      <c r="D15" t="n">
        <v/>
      </c>
    </row>
    <row r="16">
      <c r="A16" t="n">
        <v>1872</v>
      </c>
      <c r="B16" t="n">
        <v>3.194748358862144</v>
      </c>
      <c r="C16" t="n">
        <v/>
      </c>
      <c r="D16" t="n">
        <v/>
      </c>
    </row>
    <row r="17">
      <c r="A17" t="n">
        <v>1873</v>
      </c>
      <c r="B17" t="n">
        <v>3.150984682713348</v>
      </c>
      <c r="C17" t="n">
        <v/>
      </c>
      <c r="D17" t="n">
        <v/>
      </c>
    </row>
    <row r="18">
      <c r="A18" t="n">
        <v>1874</v>
      </c>
      <c r="B18" t="n">
        <v>3.041575492341357</v>
      </c>
      <c r="C18" t="n">
        <v/>
      </c>
      <c r="D18" t="n">
        <v/>
      </c>
    </row>
    <row r="19">
      <c r="A19" t="n">
        <v>1875</v>
      </c>
      <c r="B19" t="n">
        <v>2.954048140043763</v>
      </c>
      <c r="C19" t="n">
        <v/>
      </c>
      <c r="D19" t="n">
        <v/>
      </c>
    </row>
    <row r="20">
      <c r="A20" t="n">
        <v>1876</v>
      </c>
      <c r="B20" t="n">
        <v>2.932166301969366</v>
      </c>
      <c r="C20" t="n">
        <v/>
      </c>
      <c r="D20" t="n">
        <v/>
      </c>
    </row>
    <row r="21">
      <c r="A21" t="n">
        <v>1877</v>
      </c>
      <c r="B21" t="n">
        <v>3.194748358862144</v>
      </c>
      <c r="C21" t="n">
        <v/>
      </c>
      <c r="D21" t="n">
        <v/>
      </c>
    </row>
    <row r="22">
      <c r="A22" t="n">
        <v>1878</v>
      </c>
      <c r="B22" t="n">
        <v>3.391684901531729</v>
      </c>
      <c r="C22" t="n">
        <v/>
      </c>
      <c r="D22" t="n">
        <v/>
      </c>
    </row>
    <row r="23">
      <c r="A23" t="n">
        <v>1879</v>
      </c>
      <c r="B23" t="n">
        <v>3.829321663019694</v>
      </c>
      <c r="C23" t="n">
        <v/>
      </c>
      <c r="D23" t="n">
        <v/>
      </c>
    </row>
    <row r="24">
      <c r="A24" t="n">
        <v>1880</v>
      </c>
      <c r="B24" t="n">
        <v>4.442013129102845</v>
      </c>
      <c r="C24" t="n">
        <v/>
      </c>
      <c r="D24" t="n">
        <v/>
      </c>
    </row>
    <row r="25">
      <c r="A25" t="n">
        <v>1881</v>
      </c>
      <c r="B25" t="n">
        <v>4.87964989059081</v>
      </c>
      <c r="C25" t="n">
        <v/>
      </c>
      <c r="D25" t="n">
        <v/>
      </c>
    </row>
    <row r="26">
      <c r="A26" t="n">
        <v>1882</v>
      </c>
      <c r="B26" t="n">
        <v>5.229759299781182</v>
      </c>
      <c r="C26" t="n">
        <v/>
      </c>
      <c r="D26" t="n">
        <v/>
      </c>
    </row>
    <row r="27">
      <c r="A27" t="n">
        <v>1883</v>
      </c>
      <c r="B27" t="n">
        <v>5.339168490153172</v>
      </c>
      <c r="C27" t="n">
        <v/>
      </c>
      <c r="D27" t="n">
        <v/>
      </c>
    </row>
    <row r="28">
      <c r="A28" t="n">
        <v>1884</v>
      </c>
      <c r="B28" t="n">
        <v>5.054704595185996</v>
      </c>
      <c r="C28" t="n">
        <v/>
      </c>
      <c r="D28" t="n">
        <v/>
      </c>
    </row>
    <row r="29">
      <c r="A29" t="n">
        <v>1885</v>
      </c>
      <c r="B29" t="n">
        <v>5.076586433260394</v>
      </c>
      <c r="C29" t="n">
        <v/>
      </c>
      <c r="D29" t="n">
        <v/>
      </c>
    </row>
    <row r="30">
      <c r="A30" t="n">
        <v>1886</v>
      </c>
      <c r="B30" t="n">
        <v>6.105032822757111</v>
      </c>
      <c r="C30" t="n">
        <v/>
      </c>
      <c r="D30" t="n">
        <v/>
      </c>
    </row>
    <row r="31">
      <c r="A31" t="n">
        <v>1887</v>
      </c>
      <c r="B31" t="n">
        <v>6.455142231947484</v>
      </c>
      <c r="C31" t="n">
        <v/>
      </c>
      <c r="D31" t="n">
        <v/>
      </c>
    </row>
    <row r="32">
      <c r="A32" t="n">
        <v>1888</v>
      </c>
      <c r="B32" t="n">
        <v>6.695842450765864</v>
      </c>
      <c r="C32" t="n">
        <v/>
      </c>
      <c r="D32" t="n">
        <v/>
      </c>
    </row>
    <row r="33">
      <c r="A33" t="n">
        <v>1889</v>
      </c>
      <c r="B33" t="n">
        <v>7.13347921225383</v>
      </c>
      <c r="C33" t="n">
        <v/>
      </c>
      <c r="D33" t="n">
        <v/>
      </c>
    </row>
    <row r="34">
      <c r="A34" t="n">
        <v>1890</v>
      </c>
      <c r="B34" t="n">
        <v>7.658643326039387</v>
      </c>
      <c r="C34" t="n">
        <v/>
      </c>
      <c r="D34" t="n">
        <v/>
      </c>
    </row>
    <row r="35">
      <c r="A35" t="n">
        <v>1891</v>
      </c>
      <c r="B35" t="n">
        <v>7.87746170678337</v>
      </c>
      <c r="C35" t="n">
        <v/>
      </c>
      <c r="D35" t="n">
        <v/>
      </c>
    </row>
    <row r="36">
      <c r="A36" t="n">
        <v>1892</v>
      </c>
      <c r="B36" t="n">
        <v>8.49015317286652</v>
      </c>
      <c r="C36" t="n">
        <v/>
      </c>
      <c r="D36" t="n">
        <v/>
      </c>
    </row>
    <row r="37">
      <c r="A37" t="n">
        <v>1893</v>
      </c>
      <c r="B37" t="n">
        <v>7.592997811816193</v>
      </c>
      <c r="C37" t="n">
        <v/>
      </c>
      <c r="D37" t="n">
        <v/>
      </c>
    </row>
    <row r="38">
      <c r="A38" t="n">
        <v>1894</v>
      </c>
      <c r="B38" t="n">
        <v>7.374179431072211</v>
      </c>
      <c r="C38" t="n">
        <v/>
      </c>
      <c r="D38" t="n">
        <v/>
      </c>
    </row>
    <row r="39">
      <c r="A39" t="n">
        <v>1895</v>
      </c>
      <c r="B39" t="n">
        <v>8.687089715536105</v>
      </c>
      <c r="C39" t="n">
        <v/>
      </c>
      <c r="D39" t="n">
        <v/>
      </c>
    </row>
    <row r="40">
      <c r="A40" t="n">
        <v>1896</v>
      </c>
      <c r="B40" t="n">
        <v>8.074398249452953</v>
      </c>
      <c r="C40" t="n">
        <v/>
      </c>
      <c r="D40" t="n">
        <v/>
      </c>
    </row>
    <row r="41">
      <c r="A41" t="n">
        <v>1897</v>
      </c>
      <c r="B41" t="n">
        <v>8.687089715536105</v>
      </c>
      <c r="C41" t="n">
        <v/>
      </c>
      <c r="D41" t="n">
        <v/>
      </c>
    </row>
    <row r="42">
      <c r="A42" t="n">
        <v>1898</v>
      </c>
      <c r="B42" t="n">
        <v>9.781181619256017</v>
      </c>
      <c r="C42" t="n">
        <v/>
      </c>
      <c r="D42" t="n">
        <v/>
      </c>
    </row>
    <row r="43">
      <c r="A43" t="n">
        <v>1899</v>
      </c>
      <c r="B43" t="n">
        <v>10.76586433260394</v>
      </c>
      <c r="C43" t="n">
        <v/>
      </c>
      <c r="D43" t="n">
        <v/>
      </c>
    </row>
    <row r="44">
      <c r="A44" t="n">
        <v>1900</v>
      </c>
      <c r="B44" t="n">
        <v>11.07221006564551</v>
      </c>
      <c r="C44" t="n">
        <v/>
      </c>
      <c r="D44" t="n">
        <v/>
      </c>
    </row>
    <row r="45">
      <c r="A45" t="n">
        <v>1901</v>
      </c>
      <c r="B45" t="n">
        <v>12.40700218818381</v>
      </c>
      <c r="C45" t="n">
        <v/>
      </c>
      <c r="D45" t="n">
        <v/>
      </c>
    </row>
    <row r="46">
      <c r="A46" t="n">
        <v>1902</v>
      </c>
      <c r="B46" t="n">
        <v>13.82932166301969</v>
      </c>
      <c r="C46" t="n">
        <v/>
      </c>
      <c r="D46" t="n">
        <v/>
      </c>
    </row>
    <row r="47">
      <c r="A47" t="n">
        <v>1903</v>
      </c>
      <c r="B47" t="n">
        <v>14.31072210065646</v>
      </c>
      <c r="C47" t="n">
        <v/>
      </c>
      <c r="D47" t="n">
        <v/>
      </c>
    </row>
    <row r="48">
      <c r="A48" t="n">
        <v>1904</v>
      </c>
      <c r="B48" t="n">
        <v>13.63238512035011</v>
      </c>
      <c r="C48" t="n">
        <v/>
      </c>
      <c r="D48" t="n">
        <v/>
      </c>
    </row>
    <row r="49">
      <c r="A49" t="n">
        <v>1905</v>
      </c>
      <c r="B49" t="n">
        <v>16.10503282275711</v>
      </c>
      <c r="C49" t="n">
        <v/>
      </c>
      <c r="D49" t="n">
        <v/>
      </c>
    </row>
    <row r="50">
      <c r="A50" t="n">
        <v>1906</v>
      </c>
      <c r="B50" t="n">
        <v>17.26477024070022</v>
      </c>
      <c r="C50" t="n">
        <v/>
      </c>
      <c r="D50" t="n">
        <v/>
      </c>
    </row>
    <row r="51">
      <c r="A51" t="n">
        <v>1907</v>
      </c>
      <c r="B51" t="n">
        <v>17.63676148796499</v>
      </c>
      <c r="C51" t="n">
        <v/>
      </c>
      <c r="D51" t="n">
        <v/>
      </c>
    </row>
    <row r="52">
      <c r="A52" t="n">
        <v>1908</v>
      </c>
      <c r="B52" t="n">
        <v>14.87964989059081</v>
      </c>
      <c r="C52" t="n">
        <v/>
      </c>
      <c r="D52" t="n">
        <v/>
      </c>
    </row>
    <row r="53">
      <c r="A53" t="n">
        <v>1909</v>
      </c>
      <c r="B53" t="n">
        <v>17.5492341356674</v>
      </c>
      <c r="C53" t="n">
        <v/>
      </c>
      <c r="D53" t="n">
        <v/>
      </c>
    </row>
    <row r="54">
      <c r="A54" t="n">
        <v>1910</v>
      </c>
      <c r="B54" t="n">
        <v>18.66520787746171</v>
      </c>
      <c r="C54" t="n">
        <v/>
      </c>
      <c r="D54" t="n">
        <v/>
      </c>
    </row>
    <row r="55">
      <c r="A55" t="n">
        <v>1911</v>
      </c>
      <c r="B55" t="n">
        <v>17.98687089715536</v>
      </c>
      <c r="C55" t="n">
        <v/>
      </c>
      <c r="D55" t="n">
        <v/>
      </c>
    </row>
    <row r="56">
      <c r="A56" t="n">
        <v>1912</v>
      </c>
      <c r="B56" t="n">
        <v>20.50328227571116</v>
      </c>
      <c r="C56" t="n">
        <v/>
      </c>
      <c r="D56" t="n">
        <v/>
      </c>
    </row>
    <row r="57">
      <c r="A57" t="n">
        <v>1913</v>
      </c>
      <c r="B57" t="n">
        <v>21.88183807439825</v>
      </c>
      <c r="C57" t="n">
        <v/>
      </c>
      <c r="D57" t="n">
        <v/>
      </c>
    </row>
    <row r="58">
      <c r="A58" t="n">
        <v>1914</v>
      </c>
      <c r="B58" t="n">
        <v>20.59080962800875</v>
      </c>
      <c r="C58" t="n">
        <v/>
      </c>
      <c r="D58" t="n">
        <v/>
      </c>
    </row>
    <row r="59">
      <c r="A59" t="n">
        <v>1915</v>
      </c>
      <c r="B59" t="n">
        <v>23.91684901531729</v>
      </c>
      <c r="C59" t="n">
        <v/>
      </c>
      <c r="D59" t="n">
        <v/>
      </c>
    </row>
    <row r="60">
      <c r="A60" t="n">
        <v>1916</v>
      </c>
      <c r="B60" t="n">
        <v>28.35886214442013</v>
      </c>
      <c r="C60" t="n">
        <v/>
      </c>
      <c r="D60" t="n">
        <v/>
      </c>
    </row>
    <row r="61">
      <c r="A61" t="n">
        <v>1917</v>
      </c>
      <c r="B61" t="n">
        <v>28.38074398249453</v>
      </c>
      <c r="C61" t="n">
        <v/>
      </c>
      <c r="D61" t="n">
        <v/>
      </c>
    </row>
    <row r="62">
      <c r="A62" t="n">
        <v>1918</v>
      </c>
      <c r="B62" t="n">
        <v>28.18380743982495</v>
      </c>
      <c r="C62" t="n">
        <v/>
      </c>
      <c r="D62" t="n">
        <v/>
      </c>
    </row>
    <row r="63">
      <c r="A63" t="n">
        <v>1919</v>
      </c>
      <c r="B63" t="n">
        <v/>
      </c>
      <c r="C63" t="n">
        <v>24.31002049236048</v>
      </c>
      <c r="D63" t="n">
        <v/>
      </c>
    </row>
    <row r="64">
      <c r="A64" t="n">
        <v>1920</v>
      </c>
      <c r="B64" t="n">
        <v/>
      </c>
      <c r="C64" t="n">
        <v>25.45823538281658</v>
      </c>
      <c r="D64" t="n">
        <v/>
      </c>
    </row>
    <row r="65">
      <c r="A65" t="n">
        <v>1921</v>
      </c>
      <c r="B65" t="n">
        <v/>
      </c>
      <c r="C65" t="n">
        <v>19.57391216217887</v>
      </c>
      <c r="D65" t="n">
        <v/>
      </c>
    </row>
    <row r="66">
      <c r="A66" t="n">
        <v>1922</v>
      </c>
      <c r="B66" t="n">
        <v/>
      </c>
      <c r="C66" t="n">
        <v>24.91712830096332</v>
      </c>
      <c r="D66" t="n">
        <v/>
      </c>
    </row>
    <row r="67">
      <c r="A67" t="n">
        <v>1923</v>
      </c>
      <c r="B67" t="n">
        <v/>
      </c>
      <c r="C67" t="n">
        <v>29.69748430937779</v>
      </c>
      <c r="D67" t="n">
        <v/>
      </c>
    </row>
    <row r="68">
      <c r="A68" t="n">
        <v>1924</v>
      </c>
      <c r="B68" t="n">
        <v/>
      </c>
      <c r="C68" t="n">
        <v>27.82066589047835</v>
      </c>
      <c r="D68" t="n">
        <v/>
      </c>
    </row>
    <row r="69">
      <c r="A69" t="n">
        <v>1925</v>
      </c>
      <c r="B69" t="n">
        <v/>
      </c>
      <c r="C69" t="n">
        <v>30.6470790352523</v>
      </c>
      <c r="D69" t="n">
        <v/>
      </c>
    </row>
    <row r="70">
      <c r="A70" t="n">
        <v>1926</v>
      </c>
      <c r="B70" t="n">
        <v/>
      </c>
      <c r="C70" t="n">
        <v>32.42440197656109</v>
      </c>
      <c r="D70" t="n">
        <v/>
      </c>
    </row>
    <row r="71">
      <c r="A71" t="n">
        <v>1927</v>
      </c>
      <c r="B71" t="n">
        <v/>
      </c>
      <c r="C71" t="n">
        <v>32.40240173431123</v>
      </c>
      <c r="D71" t="n">
        <v/>
      </c>
    </row>
    <row r="72">
      <c r="A72" t="n">
        <v>1928</v>
      </c>
      <c r="B72" t="n">
        <v/>
      </c>
      <c r="C72" t="n">
        <v>33.73823666822399</v>
      </c>
      <c r="D72" t="n">
        <v/>
      </c>
    </row>
    <row r="73">
      <c r="A73" t="n">
        <v>1929</v>
      </c>
      <c r="B73" t="n">
        <v/>
      </c>
      <c r="C73" t="n">
        <v>37.44774942465659</v>
      </c>
      <c r="D73" t="n">
        <v/>
      </c>
    </row>
    <row r="74">
      <c r="A74" t="n">
        <v>1930</v>
      </c>
      <c r="B74" t="n">
        <v/>
      </c>
      <c r="C74" t="n">
        <v>31.11069088176477</v>
      </c>
      <c r="D74" t="n">
        <v/>
      </c>
    </row>
    <row r="75">
      <c r="A75" t="n">
        <v>1931</v>
      </c>
      <c r="B75" t="n">
        <v/>
      </c>
      <c r="C75" t="n">
        <v>25.76735114611375</v>
      </c>
      <c r="D75" t="n">
        <v/>
      </c>
    </row>
    <row r="76">
      <c r="A76" t="n">
        <v>1932</v>
      </c>
      <c r="B76" t="n">
        <v/>
      </c>
      <c r="C76" t="n">
        <v>20.11477205029898</v>
      </c>
      <c r="D76" t="n">
        <v/>
      </c>
    </row>
    <row r="77">
      <c r="A77" t="n">
        <v>1933</v>
      </c>
      <c r="B77" t="n">
        <v/>
      </c>
      <c r="C77" t="n">
        <v>23.82428480673158</v>
      </c>
      <c r="D77" t="n">
        <v/>
      </c>
    </row>
    <row r="78">
      <c r="A78" t="n">
        <v>1934</v>
      </c>
      <c r="B78" t="n">
        <v/>
      </c>
      <c r="C78" t="n">
        <v>25.82259894547154</v>
      </c>
      <c r="D78" t="n">
        <v/>
      </c>
    </row>
    <row r="79">
      <c r="A79" t="n">
        <v>1935</v>
      </c>
      <c r="B79" t="n">
        <v/>
      </c>
      <c r="C79" t="n">
        <v>29.90722819195088</v>
      </c>
      <c r="D79" t="n">
        <v/>
      </c>
    </row>
    <row r="80">
      <c r="A80" t="n">
        <v>1936</v>
      </c>
      <c r="B80" t="n">
        <v/>
      </c>
      <c r="C80" t="n">
        <v>35.29481560583476</v>
      </c>
      <c r="D80" t="n">
        <v/>
      </c>
    </row>
    <row r="81">
      <c r="A81" t="n">
        <v>1937</v>
      </c>
      <c r="B81" t="n">
        <v/>
      </c>
      <c r="C81" t="n">
        <v>38.66196504186226</v>
      </c>
      <c r="D81" t="n">
        <v/>
      </c>
    </row>
    <row r="82">
      <c r="A82" t="n">
        <v>1938</v>
      </c>
      <c r="B82" t="n">
        <v/>
      </c>
      <c r="C82" t="n">
        <v>30.56958379991151</v>
      </c>
      <c r="D82" t="n">
        <v/>
      </c>
    </row>
    <row r="83">
      <c r="A83" t="n">
        <v>1939</v>
      </c>
      <c r="B83" t="n">
        <v/>
      </c>
      <c r="C83" t="n">
        <v>37.51387374827274</v>
      </c>
      <c r="D83" t="n">
        <v/>
      </c>
    </row>
    <row r="84">
      <c r="A84" t="n">
        <v>1940</v>
      </c>
      <c r="B84" t="n">
        <v/>
      </c>
      <c r="C84" t="n">
        <v>43.33194904842773</v>
      </c>
      <c r="D84" t="n">
        <v/>
      </c>
    </row>
    <row r="85">
      <c r="A85" t="n">
        <v>1941</v>
      </c>
      <c r="B85" t="n">
        <v/>
      </c>
      <c r="C85" t="n">
        <v>54.72523180592326</v>
      </c>
      <c r="D85" t="n">
        <v/>
      </c>
    </row>
    <row r="86">
      <c r="A86" t="n">
        <v>1942</v>
      </c>
      <c r="B86" t="n">
        <v/>
      </c>
      <c r="C86" t="n">
        <v>62.79524201502444</v>
      </c>
      <c r="D86" t="n">
        <v/>
      </c>
    </row>
    <row r="87">
      <c r="A87" t="n">
        <v>1943</v>
      </c>
      <c r="B87" t="n">
        <v/>
      </c>
      <c r="C87" t="n">
        <v>76.27521067085908</v>
      </c>
      <c r="D87" t="n">
        <v/>
      </c>
    </row>
    <row r="88">
      <c r="A88" t="n">
        <v>1944</v>
      </c>
      <c r="B88" t="n">
        <v/>
      </c>
      <c r="C88" t="n">
        <v>81.99403768715656</v>
      </c>
      <c r="D88" t="n">
        <v/>
      </c>
    </row>
    <row r="89">
      <c r="A89" t="n">
        <v>1945</v>
      </c>
      <c r="B89" t="n">
        <v/>
      </c>
      <c r="C89" t="n">
        <v>70.18114356764828</v>
      </c>
      <c r="D89" t="n">
        <v/>
      </c>
    </row>
    <row r="90">
      <c r="A90" t="n">
        <v>1946</v>
      </c>
      <c r="B90" t="n">
        <v/>
      </c>
      <c r="C90" t="n">
        <v>60.65367910792726</v>
      </c>
      <c r="D90" t="n">
        <v/>
      </c>
    </row>
    <row r="91">
      <c r="A91" t="n">
        <v>1947</v>
      </c>
      <c r="B91" t="n">
        <v/>
      </c>
      <c r="C91" t="n">
        <v>68.26020106738254</v>
      </c>
      <c r="D91" t="n">
        <v/>
      </c>
    </row>
    <row r="92">
      <c r="A92" t="n">
        <v>1948</v>
      </c>
      <c r="B92" t="n">
        <v/>
      </c>
      <c r="C92" t="n">
        <v>71.14161481778115</v>
      </c>
      <c r="D92" t="n">
        <v/>
      </c>
    </row>
    <row r="93">
      <c r="A93" t="n">
        <v>1949</v>
      </c>
      <c r="B93" t="n">
        <v/>
      </c>
      <c r="C93" t="n">
        <v>67.16723397628424</v>
      </c>
      <c r="D93" t="n">
        <v/>
      </c>
    </row>
    <row r="94">
      <c r="A94" t="n">
        <v>1950</v>
      </c>
      <c r="B94" t="n">
        <v/>
      </c>
      <c r="C94" t="n">
        <v>77.7545415668622</v>
      </c>
      <c r="D94" t="n">
        <v/>
      </c>
    </row>
    <row r="95">
      <c r="A95" t="n">
        <v>1951</v>
      </c>
      <c r="B95" t="n">
        <v/>
      </c>
      <c r="C95" t="n">
        <v>84.33446795256849</v>
      </c>
      <c r="D95" t="n">
        <v/>
      </c>
    </row>
    <row r="96">
      <c r="A96" t="n">
        <v>1952</v>
      </c>
      <c r="B96" t="n">
        <v/>
      </c>
      <c r="C96" t="n">
        <v>87.62424575012176</v>
      </c>
      <c r="D96" t="n">
        <v/>
      </c>
    </row>
    <row r="97">
      <c r="A97" t="n">
        <v>1953</v>
      </c>
      <c r="B97" t="n">
        <v/>
      </c>
      <c r="C97" t="n">
        <v>94.97689974563765</v>
      </c>
      <c r="D97" t="n">
        <v/>
      </c>
    </row>
    <row r="98">
      <c r="A98" t="n">
        <v>1954</v>
      </c>
      <c r="B98" t="n">
        <v/>
      </c>
      <c r="C98" t="n">
        <v>89.60043604974528</v>
      </c>
      <c r="D98" t="n">
        <v/>
      </c>
    </row>
    <row r="99">
      <c r="A99" t="n">
        <v>1955</v>
      </c>
      <c r="B99" t="n">
        <v/>
      </c>
      <c r="C99" t="n">
        <v>101.0600903245901</v>
      </c>
      <c r="D99" t="n">
        <v/>
      </c>
    </row>
    <row r="100">
      <c r="A100" t="n">
        <v>1956</v>
      </c>
      <c r="B100" t="n">
        <v/>
      </c>
      <c r="C100" t="n">
        <v>105.4318350921168</v>
      </c>
      <c r="D100" t="n">
        <v/>
      </c>
    </row>
    <row r="101">
      <c r="A101" t="n">
        <v>1957</v>
      </c>
      <c r="B101" t="n">
        <v/>
      </c>
      <c r="C101" t="n">
        <v>106.9331662303697</v>
      </c>
      <c r="D101" t="n">
        <v/>
      </c>
    </row>
    <row r="102">
      <c r="A102" t="n">
        <v>1958</v>
      </c>
      <c r="B102" t="n">
        <v/>
      </c>
      <c r="C102" t="n">
        <v>100</v>
      </c>
      <c r="D102" t="n">
        <v/>
      </c>
    </row>
    <row r="103">
      <c r="A103" t="n">
        <v>1959</v>
      </c>
      <c r="B103" t="n">
        <v/>
      </c>
      <c r="C103" t="n">
        <v>111.9565136784652</v>
      </c>
      <c r="D103" t="n">
        <v/>
      </c>
    </row>
    <row r="104">
      <c r="A104" t="n">
        <v>1960</v>
      </c>
      <c r="B104" t="n">
        <v/>
      </c>
      <c r="C104" t="n">
        <v>114.4844403904672</v>
      </c>
      <c r="D104" t="n">
        <v/>
      </c>
    </row>
    <row r="105">
      <c r="A105" t="n">
        <v>1961</v>
      </c>
      <c r="B105" t="n">
        <v/>
      </c>
      <c r="C105" t="n">
        <v>115.2462914760185</v>
      </c>
      <c r="D105" t="n">
        <v/>
      </c>
    </row>
    <row r="106">
      <c r="A106" t="n">
        <v>1962</v>
      </c>
      <c r="B106" t="n">
        <v/>
      </c>
      <c r="C106" t="n">
        <v>124.8511275742137</v>
      </c>
      <c r="D106" t="n">
        <v/>
      </c>
    </row>
    <row r="107">
      <c r="A107" t="n">
        <v>1963</v>
      </c>
      <c r="B107" t="n">
        <v/>
      </c>
      <c r="C107" t="n">
        <v>132.5018972119019</v>
      </c>
      <c r="D107" t="n">
        <v/>
      </c>
    </row>
    <row r="108">
      <c r="A108" t="n">
        <v>1964</v>
      </c>
      <c r="B108" t="n">
        <v/>
      </c>
      <c r="C108" t="n">
        <v>141.4222538630201</v>
      </c>
      <c r="D108" t="n">
        <v/>
      </c>
    </row>
    <row r="109">
      <c r="A109" t="n">
        <v>1965</v>
      </c>
      <c r="B109" t="n">
        <v/>
      </c>
      <c r="C109" t="n">
        <v>155.4760827703496</v>
      </c>
      <c r="D109" t="n">
        <v/>
      </c>
    </row>
    <row r="110">
      <c r="A110" t="n">
        <v>1966</v>
      </c>
      <c r="B110" t="n">
        <v/>
      </c>
      <c r="C110" t="n">
        <v>169.2319196323735</v>
      </c>
      <c r="D110" t="n">
        <v/>
      </c>
    </row>
    <row r="111">
      <c r="A111" t="n">
        <v>1967</v>
      </c>
      <c r="B111" t="n">
        <v/>
      </c>
      <c r="C111" t="n">
        <v>172.8849486207826</v>
      </c>
      <c r="D111" t="n">
        <v/>
      </c>
    </row>
    <row r="112">
      <c r="A112" t="n">
        <v>1968</v>
      </c>
      <c r="B112" t="n">
        <v/>
      </c>
      <c r="C112" t="n">
        <v>182.4885487503121</v>
      </c>
      <c r="D112" t="n">
        <v/>
      </c>
    </row>
    <row r="113">
      <c r="A113" t="n">
        <v>1969</v>
      </c>
      <c r="B113" t="n">
        <v/>
      </c>
      <c r="C113" t="n">
        <v>190.9600015820399</v>
      </c>
      <c r="D113" t="n">
        <v/>
      </c>
    </row>
    <row r="114">
      <c r="A114" t="n">
        <v>1970</v>
      </c>
      <c r="B114" t="n">
        <v/>
      </c>
      <c r="C114" t="n">
        <v>184.6629884239175</v>
      </c>
      <c r="D114" t="n">
        <v/>
      </c>
    </row>
    <row r="115">
      <c r="A115" t="n">
        <v>1971</v>
      </c>
      <c r="B115" t="n">
        <v/>
      </c>
      <c r="C115" t="n">
        <v>187.1874544236555</v>
      </c>
      <c r="D115" t="n">
        <v/>
      </c>
    </row>
    <row r="116">
      <c r="A116" t="n">
        <v>1972</v>
      </c>
      <c r="B116" t="n">
        <v/>
      </c>
      <c r="C116" t="n">
        <v>205.1888436524357</v>
      </c>
      <c r="D116" t="n">
        <v/>
      </c>
    </row>
    <row r="117">
      <c r="A117" t="n">
        <v>1973</v>
      </c>
      <c r="B117" t="n">
        <v/>
      </c>
      <c r="C117" t="n">
        <v>221.9940624065299</v>
      </c>
      <c r="D117" t="n">
        <v/>
      </c>
    </row>
    <row r="118">
      <c r="A118" t="n">
        <v>1974</v>
      </c>
      <c r="B118" t="n">
        <v/>
      </c>
      <c r="C118" t="n">
        <v>221.3507407160214</v>
      </c>
      <c r="D118" t="n">
        <v/>
      </c>
    </row>
    <row r="119">
      <c r="A119" t="n">
        <v>1975</v>
      </c>
      <c r="B119" t="n">
        <v/>
      </c>
      <c r="C119" t="n">
        <v>201.8090873360179</v>
      </c>
      <c r="D119" t="n">
        <v/>
      </c>
    </row>
    <row r="120">
      <c r="A120" t="n">
        <v>1976</v>
      </c>
      <c r="B120" t="n">
        <v/>
      </c>
      <c r="C120" t="n">
        <v>217.6532168556463</v>
      </c>
      <c r="D120" t="n">
        <v/>
      </c>
    </row>
    <row r="121">
      <c r="A121" t="n">
        <v>1977</v>
      </c>
      <c r="B121" t="n">
        <v/>
      </c>
      <c r="C121" t="n">
        <v>234.2111182797294</v>
      </c>
      <c r="D121" t="n">
        <v/>
      </c>
    </row>
    <row r="122">
      <c r="A122" t="n">
        <v>1978</v>
      </c>
      <c r="B122" t="n">
        <v/>
      </c>
      <c r="C122" t="n">
        <v>247.0371359145303</v>
      </c>
      <c r="D122" t="n">
        <v/>
      </c>
    </row>
    <row r="123">
      <c r="A123" t="n">
        <v>1979</v>
      </c>
      <c r="B123" t="n">
        <v/>
      </c>
      <c r="C123" t="n">
        <v>254.5060945614907</v>
      </c>
      <c r="D123" t="n">
        <v/>
      </c>
    </row>
    <row r="124">
      <c r="A124" t="n">
        <v>1980</v>
      </c>
      <c r="B124" t="n">
        <v/>
      </c>
      <c r="C124" t="n">
        <v>248.0304839311714</v>
      </c>
      <c r="D124" t="n">
        <v/>
      </c>
    </row>
    <row r="125">
      <c r="A125" t="n">
        <v>1981</v>
      </c>
      <c r="B125" t="n">
        <v/>
      </c>
      <c r="C125" t="n">
        <v>251.343003552174</v>
      </c>
      <c r="D125" t="n">
        <v/>
      </c>
    </row>
    <row r="126">
      <c r="A126" t="n">
        <v>1982</v>
      </c>
      <c r="B126" t="n">
        <v/>
      </c>
      <c r="C126" t="n">
        <v>238.3726247772167</v>
      </c>
      <c r="D126" t="n">
        <v/>
      </c>
    </row>
    <row r="127">
      <c r="A127" t="n">
        <v>1983</v>
      </c>
      <c r="B127" t="n">
        <v/>
      </c>
      <c r="C127" t="n">
        <v>244.9317868893388</v>
      </c>
      <c r="D127" t="n">
        <v/>
      </c>
    </row>
    <row r="128">
      <c r="A128" t="n">
        <v>1984</v>
      </c>
      <c r="B128" t="n">
        <v/>
      </c>
      <c r="C128" t="n">
        <v>266.7508361328024</v>
      </c>
      <c r="D128" t="n">
        <v/>
      </c>
    </row>
    <row r="129">
      <c r="A129" t="n">
        <v>1985</v>
      </c>
      <c r="B129" t="n">
        <v/>
      </c>
      <c r="C129" t="n">
        <v>269.9718940725415</v>
      </c>
      <c r="D129" t="n">
        <v/>
      </c>
    </row>
    <row r="130">
      <c r="A130" t="n">
        <v>1986</v>
      </c>
      <c r="B130" t="n">
        <v/>
      </c>
      <c r="C130" t="n">
        <v>272.6921375089299</v>
      </c>
      <c r="D130" t="n">
        <v/>
      </c>
    </row>
    <row r="131">
      <c r="A131" t="n">
        <v>1987</v>
      </c>
      <c r="B131" t="n">
        <v/>
      </c>
      <c r="C131" t="n">
        <v>286.7857646072957</v>
      </c>
      <c r="D131" t="n">
        <v/>
      </c>
    </row>
    <row r="132">
      <c r="A132" t="n">
        <v>1988</v>
      </c>
      <c r="B132" t="n">
        <v/>
      </c>
      <c r="C132" t="n">
        <v>301.5853770075221</v>
      </c>
      <c r="D132" t="n">
        <v/>
      </c>
    </row>
    <row r="133">
      <c r="A133" t="n">
        <v>1989</v>
      </c>
      <c r="B133" t="n">
        <v/>
      </c>
      <c r="C133" t="n">
        <v>304.260136797012</v>
      </c>
      <c r="D133" t="n">
        <v/>
      </c>
    </row>
    <row r="134">
      <c r="A134" t="n">
        <v>1990</v>
      </c>
      <c r="B134" t="n">
        <v/>
      </c>
      <c r="C134" t="n">
        <v>307.1518090873361</v>
      </c>
      <c r="D134" t="n">
        <v/>
      </c>
    </row>
    <row r="135">
      <c r="A135" t="n">
        <v>1991</v>
      </c>
      <c r="B135" t="n">
        <v/>
      </c>
      <c r="C135" t="n">
        <v>302.4050714266292</v>
      </c>
      <c r="D135" t="n">
        <v/>
      </c>
    </row>
    <row r="136">
      <c r="A136" t="n">
        <v>1992</v>
      </c>
      <c r="B136" t="n">
        <v/>
      </c>
      <c r="C136" t="n">
        <v>310.9527835250321</v>
      </c>
      <c r="D136" t="n">
        <v/>
      </c>
    </row>
    <row r="137">
      <c r="A137" t="n">
        <v>1993</v>
      </c>
      <c r="B137" t="n">
        <v/>
      </c>
      <c r="C137" t="n">
        <v>321.1119515698039</v>
      </c>
      <c r="D137" t="n">
        <v/>
      </c>
    </row>
    <row r="138">
      <c r="A138" t="n">
        <v>1994</v>
      </c>
      <c r="B138" t="n">
        <v/>
      </c>
      <c r="C138" t="n">
        <v>338.0693180666484</v>
      </c>
      <c r="D138" t="n">
        <v/>
      </c>
    </row>
    <row r="139">
      <c r="A139" t="n">
        <v>1995</v>
      </c>
      <c r="B139" t="n">
        <v/>
      </c>
      <c r="C139" t="n">
        <v>354.1128093320579</v>
      </c>
      <c r="D139" t="n">
        <v/>
      </c>
    </row>
    <row r="140">
      <c r="A140" t="n">
        <v>1996</v>
      </c>
      <c r="B140" t="n">
        <v/>
      </c>
      <c r="C140" t="n">
        <v>369.8539826618317</v>
      </c>
      <c r="D140" t="n">
        <v/>
      </c>
    </row>
    <row r="141">
      <c r="A141" t="n">
        <v>1997</v>
      </c>
      <c r="B141" t="n">
        <v/>
      </c>
      <c r="C141" t="n">
        <v>396.5148155563961</v>
      </c>
      <c r="D141" t="n">
        <v/>
      </c>
    </row>
    <row r="142">
      <c r="A142" t="n">
        <v>1998</v>
      </c>
      <c r="B142" t="n">
        <v/>
      </c>
      <c r="C142" t="n">
        <v>419.5550018415934</v>
      </c>
      <c r="D142" t="n">
        <v/>
      </c>
    </row>
    <row r="143">
      <c r="A143" t="n">
        <v>1999</v>
      </c>
      <c r="B143" t="n">
        <v/>
      </c>
      <c r="C143" t="n">
        <v>437.535750393656</v>
      </c>
      <c r="D143" t="n">
        <v/>
      </c>
    </row>
    <row r="144">
      <c r="A144" t="n">
        <v>2000</v>
      </c>
      <c r="B144" t="n">
        <v/>
      </c>
      <c r="C144" t="n">
        <v>455.0986179398381</v>
      </c>
      <c r="D144" t="n">
        <v/>
      </c>
    </row>
    <row r="145">
      <c r="A145" t="n">
        <v>2001</v>
      </c>
      <c r="B145" t="n">
        <v/>
      </c>
      <c r="C145" t="n">
        <v>439.5957393688155</v>
      </c>
      <c r="D145" t="n">
        <v/>
      </c>
    </row>
    <row r="146">
      <c r="A146" t="n">
        <v>2002</v>
      </c>
      <c r="B146" t="n">
        <v/>
      </c>
      <c r="C146" t="n">
        <v>440.5023223851229</v>
      </c>
      <c r="D146" t="n">
        <v/>
      </c>
    </row>
    <row r="147">
      <c r="A147" t="n">
        <v>2003</v>
      </c>
      <c r="B147" t="n">
        <v/>
      </c>
      <c r="C147" t="n">
        <v>446.087788382389</v>
      </c>
      <c r="D147" t="n">
        <v/>
      </c>
    </row>
    <row r="148">
      <c r="A148" t="n">
        <v>2004</v>
      </c>
      <c r="B148" t="n">
        <v/>
      </c>
      <c r="C148" t="n">
        <v>456.462138571863</v>
      </c>
      <c r="D148" t="n">
        <v/>
      </c>
    </row>
    <row r="149">
      <c r="A149" t="n">
        <v>2005</v>
      </c>
      <c r="B149" t="n">
        <v/>
      </c>
      <c r="C149" t="n">
        <v>471.2416046828381</v>
      </c>
      <c r="D149" t="n">
        <v/>
      </c>
    </row>
    <row r="150">
      <c r="A150" t="n">
        <v>2006</v>
      </c>
      <c r="B150" t="n">
        <v/>
      </c>
      <c r="C150" t="n">
        <v>481.5639205914852</v>
      </c>
      <c r="D150" t="n">
        <v/>
      </c>
    </row>
    <row r="151">
      <c r="A151" t="n">
        <v>2007</v>
      </c>
      <c r="B151" t="n">
        <v/>
      </c>
      <c r="C151" t="n">
        <v>494.3874662889547</v>
      </c>
      <c r="D151" t="n">
        <v/>
      </c>
    </row>
    <row r="152">
      <c r="A152" t="n">
        <v>2008</v>
      </c>
      <c r="B152" t="n">
        <v/>
      </c>
      <c r="C152" t="n">
        <v>476.0489048081653</v>
      </c>
      <c r="D152" t="n">
        <v/>
      </c>
    </row>
    <row r="153">
      <c r="A153" t="n">
        <v>2009</v>
      </c>
      <c r="B153" t="n">
        <v/>
      </c>
      <c r="C153" t="n">
        <v>422.924994005552</v>
      </c>
      <c r="D153" t="n">
        <v/>
      </c>
    </row>
    <row r="154">
      <c r="A154" t="n">
        <v>2010</v>
      </c>
      <c r="B154" t="n">
        <v/>
      </c>
      <c r="C154" t="n">
        <v>445.2739030160108</v>
      </c>
      <c r="D154" t="n">
        <v/>
      </c>
    </row>
    <row r="155">
      <c r="A155" t="n">
        <v>2011</v>
      </c>
      <c r="B155" t="n">
        <v/>
      </c>
      <c r="C155" t="n">
        <v/>
      </c>
      <c r="D155" t="n">
        <v>459.3625698668374</v>
      </c>
    </row>
    <row r="156">
      <c r="A156" t="n">
        <v>2012</v>
      </c>
      <c r="B156" t="n">
        <v/>
      </c>
      <c r="C156" t="n">
        <v/>
      </c>
      <c r="D156" t="n">
        <v>473.4449267655843</v>
      </c>
    </row>
    <row r="157">
      <c r="A157" t="n">
        <v>2013</v>
      </c>
      <c r="B157" t="n">
        <v/>
      </c>
      <c r="C157" t="n">
        <v/>
      </c>
      <c r="D157" t="n">
        <v>482.8783051244975</v>
      </c>
    </row>
    <row r="158">
      <c r="A158" t="n">
        <v>2014</v>
      </c>
      <c r="B158" t="n">
        <v/>
      </c>
      <c r="C158" t="n">
        <v/>
      </c>
      <c r="D158" t="n">
        <v>497.2615981993457</v>
      </c>
    </row>
    <row r="159">
      <c r="A159" t="n">
        <v>2015</v>
      </c>
      <c r="B159" t="n">
        <v/>
      </c>
      <c r="C159" t="n">
        <v/>
      </c>
      <c r="D159" t="n">
        <v>490.0988318272088</v>
      </c>
    </row>
    <row r="160">
      <c r="A160" t="n">
        <v>2016</v>
      </c>
      <c r="B160" t="n">
        <v/>
      </c>
      <c r="C160" t="n">
        <v/>
      </c>
      <c r="D160" t="n">
        <v>479.5505334739337</v>
      </c>
    </row>
    <row r="161">
      <c r="A161" t="n">
        <v>2017</v>
      </c>
      <c r="B161" t="n">
        <v/>
      </c>
      <c r="C161" t="n">
        <v/>
      </c>
      <c r="D161" t="n">
        <v>485.3809291954292</v>
      </c>
    </row>
    <row r="162">
      <c r="A162" t="n">
        <v>2018</v>
      </c>
      <c r="B162" t="n">
        <v/>
      </c>
      <c r="C162" t="n">
        <v/>
      </c>
      <c r="D162" t="n">
        <v>500.7335279858806</v>
      </c>
    </row>
    <row r="163">
      <c r="A163" t="n">
        <v>2019</v>
      </c>
      <c r="B163" t="n">
        <v/>
      </c>
      <c r="C163" t="n">
        <v/>
      </c>
      <c r="D163" t="n">
        <v>496.7694219371415</v>
      </c>
    </row>
    <row r="164">
      <c r="A164" t="n">
        <v>2020</v>
      </c>
      <c r="B164" t="n">
        <v/>
      </c>
      <c r="C164" t="n">
        <v/>
      </c>
      <c r="D164" t="n">
        <v>461.5414448579957</v>
      </c>
    </row>
    <row r="165">
      <c r="A165" t="n">
        <v>2021</v>
      </c>
      <c r="B165" t="n">
        <v/>
      </c>
      <c r="C165" t="n">
        <v/>
      </c>
      <c r="D165" t="n">
        <v>481.9230754558409</v>
      </c>
    </row>
    <row r="166">
      <c r="A166" t="n">
        <v>2022</v>
      </c>
      <c r="B166" t="n">
        <v/>
      </c>
      <c r="C166" t="n">
        <v/>
      </c>
      <c r="D166" t="n">
        <v>490.1376623015444</v>
      </c>
    </row>
    <row r="167">
      <c r="A167" t="n">
        <v>2023</v>
      </c>
      <c r="B167" t="n">
        <v/>
      </c>
      <c r="C167" t="n">
        <v/>
      </c>
      <c r="D167" t="n">
        <v>489.0906956372699</v>
      </c>
    </row>
    <row r="168">
      <c r="A168" t="n">
        <v>2024</v>
      </c>
      <c r="B168" t="n">
        <v/>
      </c>
      <c r="C168" t="n">
        <v/>
      </c>
      <c r="D168" t="n">
        <v>485.894462218518</v>
      </c>
    </row>
    <row r="169">
      <c r="A169" t="n">
        <v>2025</v>
      </c>
      <c r="B169" t="n">
        <v/>
      </c>
      <c r="C169" t="n">
        <v/>
      </c>
      <c r="D169" t="n">
        <v>491.3312140064359</v>
      </c>
    </row>
    <row r="170"/>
    <row r="171"/>
    <row r="172"/>
    <row r="173">
      <c r="A173" s="1" t="inlineStr">
        <is>
          <t>Long form (year, value, subseries_id, source_id, units)</t>
        </is>
      </c>
    </row>
    <row r="174">
      <c r="A174" s="3" t="inlineStr">
        <is>
          <t>year</t>
        </is>
      </c>
      <c r="B174" s="3" t="inlineStr">
        <is>
          <t>value</t>
        </is>
      </c>
      <c r="C174" s="3" t="inlineStr">
        <is>
          <t>subseries_id</t>
        </is>
      </c>
      <c r="D174" s="3" t="inlineStr">
        <is>
          <t>source_id</t>
        </is>
      </c>
      <c r="E174" s="3" t="inlineStr">
        <is>
          <t>units</t>
        </is>
      </c>
    </row>
    <row r="175">
      <c r="A175" t="n">
        <v>1860</v>
      </c>
      <c r="B175" t="n">
        <v>1.636761487964989</v>
      </c>
      <c r="C175" t="inlineStr">
        <is>
          <t>S201-A</t>
        </is>
      </c>
      <c r="D175" t="inlineStr">
        <is>
          <t>BEA_LTEG_1966</t>
        </is>
      </c>
      <c r="E175" t="inlineStr">
        <is>
          <t>index_1958=100</t>
        </is>
      </c>
    </row>
    <row r="176">
      <c r="A176" t="n">
        <v>1861</v>
      </c>
      <c r="B176" t="n">
        <v>1.638949671772429</v>
      </c>
      <c r="C176" t="inlineStr">
        <is>
          <t>S201-A</t>
        </is>
      </c>
      <c r="D176" t="inlineStr">
        <is>
          <t>BEA_LTEG_1966</t>
        </is>
      </c>
      <c r="E176" t="inlineStr">
        <is>
          <t>index_1958=100</t>
        </is>
      </c>
    </row>
    <row r="177">
      <c r="A177" t="n">
        <v>1862</v>
      </c>
      <c r="B177" t="n">
        <v>1.518599562363239</v>
      </c>
      <c r="C177" t="inlineStr">
        <is>
          <t>S201-A</t>
        </is>
      </c>
      <c r="D177" t="inlineStr">
        <is>
          <t>BEA_LTEG_1966</t>
        </is>
      </c>
      <c r="E177" t="inlineStr">
        <is>
          <t>index_1958=100</t>
        </is>
      </c>
    </row>
    <row r="178">
      <c r="A178" t="n">
        <v>1863</v>
      </c>
      <c r="B178" t="n">
        <v>1.724288840262582</v>
      </c>
      <c r="C178" t="inlineStr">
        <is>
          <t>S201-A</t>
        </is>
      </c>
      <c r="D178" t="inlineStr">
        <is>
          <t>BEA_LTEG_1966</t>
        </is>
      </c>
      <c r="E178" t="inlineStr">
        <is>
          <t>index_1958=100</t>
        </is>
      </c>
    </row>
    <row r="179">
      <c r="A179" t="n">
        <v>1864</v>
      </c>
      <c r="B179" t="n">
        <v>1.827133479212254</v>
      </c>
      <c r="C179" t="inlineStr">
        <is>
          <t>S201-A</t>
        </is>
      </c>
      <c r="D179" t="inlineStr">
        <is>
          <t>BEA_LTEG_1966</t>
        </is>
      </c>
      <c r="E179" t="inlineStr">
        <is>
          <t>index_1958=100</t>
        </is>
      </c>
    </row>
    <row r="180">
      <c r="A180" t="n">
        <v>1865</v>
      </c>
      <c r="B180" t="n">
        <v>1.75054704595186</v>
      </c>
      <c r="C180" t="inlineStr">
        <is>
          <t>S201-A</t>
        </is>
      </c>
      <c r="D180" t="inlineStr">
        <is>
          <t>BEA_LTEG_1966</t>
        </is>
      </c>
      <c r="E180" t="inlineStr">
        <is>
          <t>index_1958=100</t>
        </is>
      </c>
    </row>
    <row r="181">
      <c r="A181" t="n">
        <v>1866</v>
      </c>
      <c r="B181" t="n">
        <v>2.153172866520788</v>
      </c>
      <c r="C181" t="inlineStr">
        <is>
          <t>S201-A</t>
        </is>
      </c>
      <c r="D181" t="inlineStr">
        <is>
          <t>BEA_LTEG_1966</t>
        </is>
      </c>
      <c r="E181" t="inlineStr">
        <is>
          <t>index_1958=100</t>
        </is>
      </c>
    </row>
    <row r="182">
      <c r="A182" t="n">
        <v>1867</v>
      </c>
      <c r="B182" t="n">
        <v>2.25382932166302</v>
      </c>
      <c r="C182" t="inlineStr">
        <is>
          <t>S201-A</t>
        </is>
      </c>
      <c r="D182" t="inlineStr">
        <is>
          <t>BEA_LTEG_1966</t>
        </is>
      </c>
      <c r="E182" t="inlineStr">
        <is>
          <t>index_1958=100</t>
        </is>
      </c>
    </row>
    <row r="183">
      <c r="A183" t="n">
        <v>1868</v>
      </c>
      <c r="B183" t="n">
        <v>2.363238512035011</v>
      </c>
      <c r="C183" t="inlineStr">
        <is>
          <t>S201-A</t>
        </is>
      </c>
      <c r="D183" t="inlineStr">
        <is>
          <t>BEA_LTEG_1966</t>
        </is>
      </c>
      <c r="E183" t="inlineStr">
        <is>
          <t>index_1958=100</t>
        </is>
      </c>
    </row>
    <row r="184">
      <c r="A184" t="n">
        <v>1869</v>
      </c>
      <c r="B184" t="n">
        <v>2.538293216630197</v>
      </c>
      <c r="C184" t="inlineStr">
        <is>
          <t>S201-A</t>
        </is>
      </c>
      <c r="D184" t="inlineStr">
        <is>
          <t>BEA_LTEG_1966</t>
        </is>
      </c>
      <c r="E184" t="inlineStr">
        <is>
          <t>index_1958=100</t>
        </is>
      </c>
    </row>
    <row r="185">
      <c r="A185" t="n">
        <v>1870</v>
      </c>
      <c r="B185" t="n">
        <v>2.560175054704595</v>
      </c>
      <c r="C185" t="inlineStr">
        <is>
          <t>S201-A</t>
        </is>
      </c>
      <c r="D185" t="inlineStr">
        <is>
          <t>BEA_LTEG_1966</t>
        </is>
      </c>
      <c r="E185" t="inlineStr">
        <is>
          <t>index_1958=100</t>
        </is>
      </c>
    </row>
    <row r="186">
      <c r="A186" t="n">
        <v>1871</v>
      </c>
      <c r="B186" t="n">
        <v>2.691466083150985</v>
      </c>
      <c r="C186" t="inlineStr">
        <is>
          <t>S201-A</t>
        </is>
      </c>
      <c r="D186" t="inlineStr">
        <is>
          <t>BEA_LTEG_1966</t>
        </is>
      </c>
      <c r="E186" t="inlineStr">
        <is>
          <t>index_1958=100</t>
        </is>
      </c>
    </row>
    <row r="187">
      <c r="A187" t="n">
        <v>1872</v>
      </c>
      <c r="B187" t="n">
        <v>3.194748358862144</v>
      </c>
      <c r="C187" t="inlineStr">
        <is>
          <t>S201-A</t>
        </is>
      </c>
      <c r="D187" t="inlineStr">
        <is>
          <t>BEA_LTEG_1966</t>
        </is>
      </c>
      <c r="E187" t="inlineStr">
        <is>
          <t>index_1958=100</t>
        </is>
      </c>
    </row>
    <row r="188">
      <c r="A188" t="n">
        <v>1873</v>
      </c>
      <c r="B188" t="n">
        <v>3.150984682713348</v>
      </c>
      <c r="C188" t="inlineStr">
        <is>
          <t>S201-A</t>
        </is>
      </c>
      <c r="D188" t="inlineStr">
        <is>
          <t>BEA_LTEG_1966</t>
        </is>
      </c>
      <c r="E188" t="inlineStr">
        <is>
          <t>index_1958=100</t>
        </is>
      </c>
    </row>
    <row r="189">
      <c r="A189" t="n">
        <v>1874</v>
      </c>
      <c r="B189" t="n">
        <v>3.041575492341357</v>
      </c>
      <c r="C189" t="inlineStr">
        <is>
          <t>S201-A</t>
        </is>
      </c>
      <c r="D189" t="inlineStr">
        <is>
          <t>BEA_LTEG_1966</t>
        </is>
      </c>
      <c r="E189" t="inlineStr">
        <is>
          <t>index_1958=100</t>
        </is>
      </c>
    </row>
    <row r="190">
      <c r="A190" t="n">
        <v>1875</v>
      </c>
      <c r="B190" t="n">
        <v>2.954048140043763</v>
      </c>
      <c r="C190" t="inlineStr">
        <is>
          <t>S201-A</t>
        </is>
      </c>
      <c r="D190" t="inlineStr">
        <is>
          <t>BEA_LTEG_1966</t>
        </is>
      </c>
      <c r="E190" t="inlineStr">
        <is>
          <t>index_1958=100</t>
        </is>
      </c>
    </row>
    <row r="191">
      <c r="A191" t="n">
        <v>1876</v>
      </c>
      <c r="B191" t="n">
        <v>2.932166301969366</v>
      </c>
      <c r="C191" t="inlineStr">
        <is>
          <t>S201-A</t>
        </is>
      </c>
      <c r="D191" t="inlineStr">
        <is>
          <t>BEA_LTEG_1966</t>
        </is>
      </c>
      <c r="E191" t="inlineStr">
        <is>
          <t>index_1958=100</t>
        </is>
      </c>
    </row>
    <row r="192">
      <c r="A192" t="n">
        <v>1877</v>
      </c>
      <c r="B192" t="n">
        <v>3.194748358862144</v>
      </c>
      <c r="C192" t="inlineStr">
        <is>
          <t>S201-A</t>
        </is>
      </c>
      <c r="D192" t="inlineStr">
        <is>
          <t>BEA_LTEG_1966</t>
        </is>
      </c>
      <c r="E192" t="inlineStr">
        <is>
          <t>index_1958=100</t>
        </is>
      </c>
    </row>
    <row r="193">
      <c r="A193" t="n">
        <v>1878</v>
      </c>
      <c r="B193" t="n">
        <v>3.391684901531729</v>
      </c>
      <c r="C193" t="inlineStr">
        <is>
          <t>S201-A</t>
        </is>
      </c>
      <c r="D193" t="inlineStr">
        <is>
          <t>BEA_LTEG_1966</t>
        </is>
      </c>
      <c r="E193" t="inlineStr">
        <is>
          <t>index_1958=100</t>
        </is>
      </c>
    </row>
    <row r="194">
      <c r="A194" t="n">
        <v>1879</v>
      </c>
      <c r="B194" t="n">
        <v>3.829321663019694</v>
      </c>
      <c r="C194" t="inlineStr">
        <is>
          <t>S201-A</t>
        </is>
      </c>
      <c r="D194" t="inlineStr">
        <is>
          <t>BEA_LTEG_1966</t>
        </is>
      </c>
      <c r="E194" t="inlineStr">
        <is>
          <t>index_1958=100</t>
        </is>
      </c>
    </row>
    <row r="195">
      <c r="A195" t="n">
        <v>1880</v>
      </c>
      <c r="B195" t="n">
        <v>4.442013129102845</v>
      </c>
      <c r="C195" t="inlineStr">
        <is>
          <t>S201-A</t>
        </is>
      </c>
      <c r="D195" t="inlineStr">
        <is>
          <t>BEA_LTEG_1966</t>
        </is>
      </c>
      <c r="E195" t="inlineStr">
        <is>
          <t>index_1958=100</t>
        </is>
      </c>
    </row>
    <row r="196">
      <c r="A196" t="n">
        <v>1881</v>
      </c>
      <c r="B196" t="n">
        <v>4.87964989059081</v>
      </c>
      <c r="C196" t="inlineStr">
        <is>
          <t>S201-A</t>
        </is>
      </c>
      <c r="D196" t="inlineStr">
        <is>
          <t>BEA_LTEG_1966</t>
        </is>
      </c>
      <c r="E196" t="inlineStr">
        <is>
          <t>index_1958=100</t>
        </is>
      </c>
    </row>
    <row r="197">
      <c r="A197" t="n">
        <v>1882</v>
      </c>
      <c r="B197" t="n">
        <v>5.229759299781182</v>
      </c>
      <c r="C197" t="inlineStr">
        <is>
          <t>S201-A</t>
        </is>
      </c>
      <c r="D197" t="inlineStr">
        <is>
          <t>BEA_LTEG_1966</t>
        </is>
      </c>
      <c r="E197" t="inlineStr">
        <is>
          <t>index_1958=100</t>
        </is>
      </c>
    </row>
    <row r="198">
      <c r="A198" t="n">
        <v>1883</v>
      </c>
      <c r="B198" t="n">
        <v>5.339168490153172</v>
      </c>
      <c r="C198" t="inlineStr">
        <is>
          <t>S201-A</t>
        </is>
      </c>
      <c r="D198" t="inlineStr">
        <is>
          <t>BEA_LTEG_1966</t>
        </is>
      </c>
      <c r="E198" t="inlineStr">
        <is>
          <t>index_1958=100</t>
        </is>
      </c>
    </row>
    <row r="199">
      <c r="A199" t="n">
        <v>1884</v>
      </c>
      <c r="B199" t="n">
        <v>5.054704595185996</v>
      </c>
      <c r="C199" t="inlineStr">
        <is>
          <t>S201-A</t>
        </is>
      </c>
      <c r="D199" t="inlineStr">
        <is>
          <t>BEA_LTEG_1966</t>
        </is>
      </c>
      <c r="E199" t="inlineStr">
        <is>
          <t>index_1958=100</t>
        </is>
      </c>
    </row>
    <row r="200">
      <c r="A200" t="n">
        <v>1885</v>
      </c>
      <c r="B200" t="n">
        <v>5.076586433260394</v>
      </c>
      <c r="C200" t="inlineStr">
        <is>
          <t>S201-A</t>
        </is>
      </c>
      <c r="D200" t="inlineStr">
        <is>
          <t>BEA_LTEG_1966</t>
        </is>
      </c>
      <c r="E200" t="inlineStr">
        <is>
          <t>index_1958=100</t>
        </is>
      </c>
    </row>
    <row r="201">
      <c r="A201" t="n">
        <v>1886</v>
      </c>
      <c r="B201" t="n">
        <v>6.105032822757111</v>
      </c>
      <c r="C201" t="inlineStr">
        <is>
          <t>S201-A</t>
        </is>
      </c>
      <c r="D201" t="inlineStr">
        <is>
          <t>BEA_LTEG_1966</t>
        </is>
      </c>
      <c r="E201" t="inlineStr">
        <is>
          <t>index_1958=100</t>
        </is>
      </c>
    </row>
    <row r="202">
      <c r="A202" t="n">
        <v>1887</v>
      </c>
      <c r="B202" t="n">
        <v>6.455142231947484</v>
      </c>
      <c r="C202" t="inlineStr">
        <is>
          <t>S201-A</t>
        </is>
      </c>
      <c r="D202" t="inlineStr">
        <is>
          <t>BEA_LTEG_1966</t>
        </is>
      </c>
      <c r="E202" t="inlineStr">
        <is>
          <t>index_1958=100</t>
        </is>
      </c>
    </row>
    <row r="203">
      <c r="A203" t="n">
        <v>1888</v>
      </c>
      <c r="B203" t="n">
        <v>6.695842450765864</v>
      </c>
      <c r="C203" t="inlineStr">
        <is>
          <t>S201-A</t>
        </is>
      </c>
      <c r="D203" t="inlineStr">
        <is>
          <t>BEA_LTEG_1966</t>
        </is>
      </c>
      <c r="E203" t="inlineStr">
        <is>
          <t>index_1958=100</t>
        </is>
      </c>
    </row>
    <row r="204">
      <c r="A204" t="n">
        <v>1889</v>
      </c>
      <c r="B204" t="n">
        <v>7.13347921225383</v>
      </c>
      <c r="C204" t="inlineStr">
        <is>
          <t>S201-A</t>
        </is>
      </c>
      <c r="D204" t="inlineStr">
        <is>
          <t>BEA_LTEG_1966</t>
        </is>
      </c>
      <c r="E204" t="inlineStr">
        <is>
          <t>index_1958=100</t>
        </is>
      </c>
    </row>
    <row r="205">
      <c r="A205" t="n">
        <v>1890</v>
      </c>
      <c r="B205" t="n">
        <v>7.658643326039387</v>
      </c>
      <c r="C205" t="inlineStr">
        <is>
          <t>S201-A</t>
        </is>
      </c>
      <c r="D205" t="inlineStr">
        <is>
          <t>BEA_LTEG_1966</t>
        </is>
      </c>
      <c r="E205" t="inlineStr">
        <is>
          <t>index_1958=100</t>
        </is>
      </c>
    </row>
    <row r="206">
      <c r="A206" t="n">
        <v>1891</v>
      </c>
      <c r="B206" t="n">
        <v>7.87746170678337</v>
      </c>
      <c r="C206" t="inlineStr">
        <is>
          <t>S201-A</t>
        </is>
      </c>
      <c r="D206" t="inlineStr">
        <is>
          <t>BEA_LTEG_1966</t>
        </is>
      </c>
      <c r="E206" t="inlineStr">
        <is>
          <t>index_1958=100</t>
        </is>
      </c>
    </row>
    <row r="207">
      <c r="A207" t="n">
        <v>1892</v>
      </c>
      <c r="B207" t="n">
        <v>8.49015317286652</v>
      </c>
      <c r="C207" t="inlineStr">
        <is>
          <t>S201-A</t>
        </is>
      </c>
      <c r="D207" t="inlineStr">
        <is>
          <t>BEA_LTEG_1966</t>
        </is>
      </c>
      <c r="E207" t="inlineStr">
        <is>
          <t>index_1958=100</t>
        </is>
      </c>
    </row>
    <row r="208">
      <c r="A208" t="n">
        <v>1893</v>
      </c>
      <c r="B208" t="n">
        <v>7.592997811816193</v>
      </c>
      <c r="C208" t="inlineStr">
        <is>
          <t>S201-A</t>
        </is>
      </c>
      <c r="D208" t="inlineStr">
        <is>
          <t>BEA_LTEG_1966</t>
        </is>
      </c>
      <c r="E208" t="inlineStr">
        <is>
          <t>index_1958=100</t>
        </is>
      </c>
    </row>
    <row r="209">
      <c r="A209" t="n">
        <v>1894</v>
      </c>
      <c r="B209" t="n">
        <v>7.374179431072211</v>
      </c>
      <c r="C209" t="inlineStr">
        <is>
          <t>S201-A</t>
        </is>
      </c>
      <c r="D209" t="inlineStr">
        <is>
          <t>BEA_LTEG_1966</t>
        </is>
      </c>
      <c r="E209" t="inlineStr">
        <is>
          <t>index_1958=100</t>
        </is>
      </c>
    </row>
    <row r="210">
      <c r="A210" t="n">
        <v>1895</v>
      </c>
      <c r="B210" t="n">
        <v>8.687089715536105</v>
      </c>
      <c r="C210" t="inlineStr">
        <is>
          <t>S201-A</t>
        </is>
      </c>
      <c r="D210" t="inlineStr">
        <is>
          <t>BEA_LTEG_1966</t>
        </is>
      </c>
      <c r="E210" t="inlineStr">
        <is>
          <t>index_1958=100</t>
        </is>
      </c>
    </row>
    <row r="211">
      <c r="A211" t="n">
        <v>1896</v>
      </c>
      <c r="B211" t="n">
        <v>8.074398249452953</v>
      </c>
      <c r="C211" t="inlineStr">
        <is>
          <t>S201-A</t>
        </is>
      </c>
      <c r="D211" t="inlineStr">
        <is>
          <t>BEA_LTEG_1966</t>
        </is>
      </c>
      <c r="E211" t="inlineStr">
        <is>
          <t>index_1958=100</t>
        </is>
      </c>
    </row>
    <row r="212">
      <c r="A212" t="n">
        <v>1897</v>
      </c>
      <c r="B212" t="n">
        <v>8.687089715536105</v>
      </c>
      <c r="C212" t="inlineStr">
        <is>
          <t>S201-A</t>
        </is>
      </c>
      <c r="D212" t="inlineStr">
        <is>
          <t>BEA_LTEG_1966</t>
        </is>
      </c>
      <c r="E212" t="inlineStr">
        <is>
          <t>index_1958=100</t>
        </is>
      </c>
    </row>
    <row r="213">
      <c r="A213" t="n">
        <v>1898</v>
      </c>
      <c r="B213" t="n">
        <v>9.781181619256017</v>
      </c>
      <c r="C213" t="inlineStr">
        <is>
          <t>S201-A</t>
        </is>
      </c>
      <c r="D213" t="inlineStr">
        <is>
          <t>BEA_LTEG_1966</t>
        </is>
      </c>
      <c r="E213" t="inlineStr">
        <is>
          <t>index_1958=100</t>
        </is>
      </c>
    </row>
    <row r="214">
      <c r="A214" t="n">
        <v>1899</v>
      </c>
      <c r="B214" t="n">
        <v>10.76586433260394</v>
      </c>
      <c r="C214" t="inlineStr">
        <is>
          <t>S201-A</t>
        </is>
      </c>
      <c r="D214" t="inlineStr">
        <is>
          <t>BEA_LTEG_1966</t>
        </is>
      </c>
      <c r="E214" t="inlineStr">
        <is>
          <t>index_1958=100</t>
        </is>
      </c>
    </row>
    <row r="215">
      <c r="A215" t="n">
        <v>1900</v>
      </c>
      <c r="B215" t="n">
        <v>11.07221006564551</v>
      </c>
      <c r="C215" t="inlineStr">
        <is>
          <t>S201-A</t>
        </is>
      </c>
      <c r="D215" t="inlineStr">
        <is>
          <t>BEA_LTEG_1966</t>
        </is>
      </c>
      <c r="E215" t="inlineStr">
        <is>
          <t>index_1958=100</t>
        </is>
      </c>
    </row>
    <row r="216">
      <c r="A216" t="n">
        <v>1901</v>
      </c>
      <c r="B216" t="n">
        <v>12.40700218818381</v>
      </c>
      <c r="C216" t="inlineStr">
        <is>
          <t>S201-A</t>
        </is>
      </c>
      <c r="D216" t="inlineStr">
        <is>
          <t>BEA_LTEG_1966</t>
        </is>
      </c>
      <c r="E216" t="inlineStr">
        <is>
          <t>index_1958=100</t>
        </is>
      </c>
    </row>
    <row r="217">
      <c r="A217" t="n">
        <v>1902</v>
      </c>
      <c r="B217" t="n">
        <v>13.82932166301969</v>
      </c>
      <c r="C217" t="inlineStr">
        <is>
          <t>S201-A</t>
        </is>
      </c>
      <c r="D217" t="inlineStr">
        <is>
          <t>BEA_LTEG_1966</t>
        </is>
      </c>
      <c r="E217" t="inlineStr">
        <is>
          <t>index_1958=100</t>
        </is>
      </c>
    </row>
    <row r="218">
      <c r="A218" t="n">
        <v>1903</v>
      </c>
      <c r="B218" t="n">
        <v>14.31072210065646</v>
      </c>
      <c r="C218" t="inlineStr">
        <is>
          <t>S201-A</t>
        </is>
      </c>
      <c r="D218" t="inlineStr">
        <is>
          <t>BEA_LTEG_1966</t>
        </is>
      </c>
      <c r="E218" t="inlineStr">
        <is>
          <t>index_1958=100</t>
        </is>
      </c>
    </row>
    <row r="219">
      <c r="A219" t="n">
        <v>1904</v>
      </c>
      <c r="B219" t="n">
        <v>13.63238512035011</v>
      </c>
      <c r="C219" t="inlineStr">
        <is>
          <t>S201-A</t>
        </is>
      </c>
      <c r="D219" t="inlineStr">
        <is>
          <t>BEA_LTEG_1966</t>
        </is>
      </c>
      <c r="E219" t="inlineStr">
        <is>
          <t>index_1958=100</t>
        </is>
      </c>
    </row>
    <row r="220">
      <c r="A220" t="n">
        <v>1905</v>
      </c>
      <c r="B220" t="n">
        <v>16.10503282275711</v>
      </c>
      <c r="C220" t="inlineStr">
        <is>
          <t>S201-A</t>
        </is>
      </c>
      <c r="D220" t="inlineStr">
        <is>
          <t>BEA_LTEG_1966</t>
        </is>
      </c>
      <c r="E220" t="inlineStr">
        <is>
          <t>index_1958=100</t>
        </is>
      </c>
    </row>
    <row r="221">
      <c r="A221" t="n">
        <v>1906</v>
      </c>
      <c r="B221" t="n">
        <v>17.26477024070022</v>
      </c>
      <c r="C221" t="inlineStr">
        <is>
          <t>S201-A</t>
        </is>
      </c>
      <c r="D221" t="inlineStr">
        <is>
          <t>BEA_LTEG_1966</t>
        </is>
      </c>
      <c r="E221" t="inlineStr">
        <is>
          <t>index_1958=100</t>
        </is>
      </c>
    </row>
    <row r="222">
      <c r="A222" t="n">
        <v>1907</v>
      </c>
      <c r="B222" t="n">
        <v>17.63676148796499</v>
      </c>
      <c r="C222" t="inlineStr">
        <is>
          <t>S201-A</t>
        </is>
      </c>
      <c r="D222" t="inlineStr">
        <is>
          <t>BEA_LTEG_1966</t>
        </is>
      </c>
      <c r="E222" t="inlineStr">
        <is>
          <t>index_1958=100</t>
        </is>
      </c>
    </row>
    <row r="223">
      <c r="A223" t="n">
        <v>1908</v>
      </c>
      <c r="B223" t="n">
        <v>14.87964989059081</v>
      </c>
      <c r="C223" t="inlineStr">
        <is>
          <t>S201-A</t>
        </is>
      </c>
      <c r="D223" t="inlineStr">
        <is>
          <t>BEA_LTEG_1966</t>
        </is>
      </c>
      <c r="E223" t="inlineStr">
        <is>
          <t>index_1958=100</t>
        </is>
      </c>
    </row>
    <row r="224">
      <c r="A224" t="n">
        <v>1909</v>
      </c>
      <c r="B224" t="n">
        <v>17.5492341356674</v>
      </c>
      <c r="C224" t="inlineStr">
        <is>
          <t>S201-A</t>
        </is>
      </c>
      <c r="D224" t="inlineStr">
        <is>
          <t>BEA_LTEG_1966</t>
        </is>
      </c>
      <c r="E224" t="inlineStr">
        <is>
          <t>index_1958=100</t>
        </is>
      </c>
    </row>
    <row r="225">
      <c r="A225" t="n">
        <v>1910</v>
      </c>
      <c r="B225" t="n">
        <v>18.66520787746171</v>
      </c>
      <c r="C225" t="inlineStr">
        <is>
          <t>S201-A</t>
        </is>
      </c>
      <c r="D225" t="inlineStr">
        <is>
          <t>BEA_LTEG_1966</t>
        </is>
      </c>
      <c r="E225" t="inlineStr">
        <is>
          <t>index_1958=100</t>
        </is>
      </c>
    </row>
    <row r="226">
      <c r="A226" t="n">
        <v>1911</v>
      </c>
      <c r="B226" t="n">
        <v>17.98687089715536</v>
      </c>
      <c r="C226" t="inlineStr">
        <is>
          <t>S201-A</t>
        </is>
      </c>
      <c r="D226" t="inlineStr">
        <is>
          <t>BEA_LTEG_1966</t>
        </is>
      </c>
      <c r="E226" t="inlineStr">
        <is>
          <t>index_1958=100</t>
        </is>
      </c>
    </row>
    <row r="227">
      <c r="A227" t="n">
        <v>1912</v>
      </c>
      <c r="B227" t="n">
        <v>20.50328227571116</v>
      </c>
      <c r="C227" t="inlineStr">
        <is>
          <t>S201-A</t>
        </is>
      </c>
      <c r="D227" t="inlineStr">
        <is>
          <t>BEA_LTEG_1966</t>
        </is>
      </c>
      <c r="E227" t="inlineStr">
        <is>
          <t>index_1958=100</t>
        </is>
      </c>
    </row>
    <row r="228">
      <c r="A228" t="n">
        <v>1913</v>
      </c>
      <c r="B228" t="n">
        <v>21.88183807439825</v>
      </c>
      <c r="C228" t="inlineStr">
        <is>
          <t>S201-A</t>
        </is>
      </c>
      <c r="D228" t="inlineStr">
        <is>
          <t>BEA_LTEG_1966</t>
        </is>
      </c>
      <c r="E228" t="inlineStr">
        <is>
          <t>index_1958=100</t>
        </is>
      </c>
    </row>
    <row r="229">
      <c r="A229" t="n">
        <v>1914</v>
      </c>
      <c r="B229" t="n">
        <v>20.59080962800875</v>
      </c>
      <c r="C229" t="inlineStr">
        <is>
          <t>S201-A</t>
        </is>
      </c>
      <c r="D229" t="inlineStr">
        <is>
          <t>BEA_LTEG_1966</t>
        </is>
      </c>
      <c r="E229" t="inlineStr">
        <is>
          <t>index_1958=100</t>
        </is>
      </c>
    </row>
    <row r="230">
      <c r="A230" t="n">
        <v>1915</v>
      </c>
      <c r="B230" t="n">
        <v>23.91684901531729</v>
      </c>
      <c r="C230" t="inlineStr">
        <is>
          <t>S201-A</t>
        </is>
      </c>
      <c r="D230" t="inlineStr">
        <is>
          <t>BEA_LTEG_1966</t>
        </is>
      </c>
      <c r="E230" t="inlineStr">
        <is>
          <t>index_1958=100</t>
        </is>
      </c>
    </row>
    <row r="231">
      <c r="A231" t="n">
        <v>1916</v>
      </c>
      <c r="B231" t="n">
        <v>28.35886214442013</v>
      </c>
      <c r="C231" t="inlineStr">
        <is>
          <t>S201-A</t>
        </is>
      </c>
      <c r="D231" t="inlineStr">
        <is>
          <t>BEA_LTEG_1966</t>
        </is>
      </c>
      <c r="E231" t="inlineStr">
        <is>
          <t>index_1958=100</t>
        </is>
      </c>
    </row>
    <row r="232">
      <c r="A232" t="n">
        <v>1917</v>
      </c>
      <c r="B232" t="n">
        <v>28.38074398249453</v>
      </c>
      <c r="C232" t="inlineStr">
        <is>
          <t>S201-A</t>
        </is>
      </c>
      <c r="D232" t="inlineStr">
        <is>
          <t>BEA_LTEG_1966</t>
        </is>
      </c>
      <c r="E232" t="inlineStr">
        <is>
          <t>index_1958=100</t>
        </is>
      </c>
    </row>
    <row r="233">
      <c r="A233" t="n">
        <v>1918</v>
      </c>
      <c r="B233" t="n">
        <v>28.18380743982495</v>
      </c>
      <c r="C233" t="inlineStr">
        <is>
          <t>S201-A</t>
        </is>
      </c>
      <c r="D233" t="inlineStr">
        <is>
          <t>BEA_LTEG_1966</t>
        </is>
      </c>
      <c r="E233" t="inlineStr">
        <is>
          <t>index_1958=100</t>
        </is>
      </c>
    </row>
    <row r="234">
      <c r="A234" t="n">
        <v>1919</v>
      </c>
      <c r="B234" t="n">
        <v>24.31002049236048</v>
      </c>
      <c r="C234" t="inlineStr">
        <is>
          <t>S201-B</t>
        </is>
      </c>
      <c r="D234" t="inlineStr">
        <is>
          <t>FRB_G17_INDPRO</t>
        </is>
      </c>
      <c r="E234" t="inlineStr">
        <is>
          <t>index_1958=100</t>
        </is>
      </c>
    </row>
    <row r="235">
      <c r="A235" t="n">
        <v>1920</v>
      </c>
      <c r="B235" t="n">
        <v>25.45823538281658</v>
      </c>
      <c r="C235" t="inlineStr">
        <is>
          <t>S201-B</t>
        </is>
      </c>
      <c r="D235" t="inlineStr">
        <is>
          <t>FRB_G17_INDPRO</t>
        </is>
      </c>
      <c r="E235" t="inlineStr">
        <is>
          <t>index_1958=100</t>
        </is>
      </c>
    </row>
    <row r="236">
      <c r="A236" t="n">
        <v>1921</v>
      </c>
      <c r="B236" t="n">
        <v>19.57391216217887</v>
      </c>
      <c r="C236" t="inlineStr">
        <is>
          <t>S201-B</t>
        </is>
      </c>
      <c r="D236" t="inlineStr">
        <is>
          <t>FRB_G17_INDPRO</t>
        </is>
      </c>
      <c r="E236" t="inlineStr">
        <is>
          <t>index_1958=100</t>
        </is>
      </c>
    </row>
    <row r="237">
      <c r="A237" t="n">
        <v>1922</v>
      </c>
      <c r="B237" t="n">
        <v>24.91712830096332</v>
      </c>
      <c r="C237" t="inlineStr">
        <is>
          <t>S201-B</t>
        </is>
      </c>
      <c r="D237" t="inlineStr">
        <is>
          <t>FRB_G17_INDPRO</t>
        </is>
      </c>
      <c r="E237" t="inlineStr">
        <is>
          <t>index_1958=100</t>
        </is>
      </c>
    </row>
    <row r="238">
      <c r="A238" t="n">
        <v>1923</v>
      </c>
      <c r="B238" t="n">
        <v>29.69748430937779</v>
      </c>
      <c r="C238" t="inlineStr">
        <is>
          <t>S201-B</t>
        </is>
      </c>
      <c r="D238" t="inlineStr">
        <is>
          <t>FRB_G17_INDPRO</t>
        </is>
      </c>
      <c r="E238" t="inlineStr">
        <is>
          <t>index_1958=100</t>
        </is>
      </c>
    </row>
    <row r="239">
      <c r="A239" t="n">
        <v>1924</v>
      </c>
      <c r="B239" t="n">
        <v>27.82066589047835</v>
      </c>
      <c r="C239" t="inlineStr">
        <is>
          <t>S201-B</t>
        </is>
      </c>
      <c r="D239" t="inlineStr">
        <is>
          <t>FRB_G17_INDPRO</t>
        </is>
      </c>
      <c r="E239" t="inlineStr">
        <is>
          <t>index_1958=100</t>
        </is>
      </c>
    </row>
    <row r="240">
      <c r="A240" t="n">
        <v>1925</v>
      </c>
      <c r="B240" t="n">
        <v>30.6470790352523</v>
      </c>
      <c r="C240" t="inlineStr">
        <is>
          <t>S201-B</t>
        </is>
      </c>
      <c r="D240" t="inlineStr">
        <is>
          <t>FRB_G17_INDPRO</t>
        </is>
      </c>
      <c r="E240" t="inlineStr">
        <is>
          <t>index_1958=100</t>
        </is>
      </c>
    </row>
    <row r="241">
      <c r="A241" t="n">
        <v>1926</v>
      </c>
      <c r="B241" t="n">
        <v>32.42440197656109</v>
      </c>
      <c r="C241" t="inlineStr">
        <is>
          <t>S201-B</t>
        </is>
      </c>
      <c r="D241" t="inlineStr">
        <is>
          <t>FRB_G17_INDPRO</t>
        </is>
      </c>
      <c r="E241" t="inlineStr">
        <is>
          <t>index_1958=100</t>
        </is>
      </c>
    </row>
    <row r="242">
      <c r="A242" t="n">
        <v>1927</v>
      </c>
      <c r="B242" t="n">
        <v>32.40240173431123</v>
      </c>
      <c r="C242" t="inlineStr">
        <is>
          <t>S201-B</t>
        </is>
      </c>
      <c r="D242" t="inlineStr">
        <is>
          <t>FRB_G17_INDPRO</t>
        </is>
      </c>
      <c r="E242" t="inlineStr">
        <is>
          <t>index_1958=100</t>
        </is>
      </c>
    </row>
    <row r="243">
      <c r="A243" t="n">
        <v>1928</v>
      </c>
      <c r="B243" t="n">
        <v>33.73823666822399</v>
      </c>
      <c r="C243" t="inlineStr">
        <is>
          <t>S201-B</t>
        </is>
      </c>
      <c r="D243" t="inlineStr">
        <is>
          <t>FRB_G17_INDPRO</t>
        </is>
      </c>
      <c r="E243" t="inlineStr">
        <is>
          <t>index_1958=100</t>
        </is>
      </c>
    </row>
    <row r="244">
      <c r="A244" t="n">
        <v>1929</v>
      </c>
      <c r="B244" t="n">
        <v>37.44774942465659</v>
      </c>
      <c r="C244" t="inlineStr">
        <is>
          <t>S201-B</t>
        </is>
      </c>
      <c r="D244" t="inlineStr">
        <is>
          <t>FRB_G17_INDPRO</t>
        </is>
      </c>
      <c r="E244" t="inlineStr">
        <is>
          <t>index_1958=100</t>
        </is>
      </c>
    </row>
    <row r="245">
      <c r="A245" t="n">
        <v>1930</v>
      </c>
      <c r="B245" t="n">
        <v>31.11069088176477</v>
      </c>
      <c r="C245" t="inlineStr">
        <is>
          <t>S201-B</t>
        </is>
      </c>
      <c r="D245" t="inlineStr">
        <is>
          <t>FRB_G17_INDPRO</t>
        </is>
      </c>
      <c r="E245" t="inlineStr">
        <is>
          <t>index_1958=100</t>
        </is>
      </c>
    </row>
    <row r="246">
      <c r="A246" t="n">
        <v>1931</v>
      </c>
      <c r="B246" t="n">
        <v>25.76735114611375</v>
      </c>
      <c r="C246" t="inlineStr">
        <is>
          <t>S201-B</t>
        </is>
      </c>
      <c r="D246" t="inlineStr">
        <is>
          <t>FRB_G17_INDPRO</t>
        </is>
      </c>
      <c r="E246" t="inlineStr">
        <is>
          <t>index_1958=100</t>
        </is>
      </c>
    </row>
    <row r="247">
      <c r="A247" t="n">
        <v>1932</v>
      </c>
      <c r="B247" t="n">
        <v>20.11477205029898</v>
      </c>
      <c r="C247" t="inlineStr">
        <is>
          <t>S201-B</t>
        </is>
      </c>
      <c r="D247" t="inlineStr">
        <is>
          <t>FRB_G17_INDPRO</t>
        </is>
      </c>
      <c r="E247" t="inlineStr">
        <is>
          <t>index_1958=100</t>
        </is>
      </c>
    </row>
    <row r="248">
      <c r="A248" t="n">
        <v>1933</v>
      </c>
      <c r="B248" t="n">
        <v>23.82428480673158</v>
      </c>
      <c r="C248" t="inlineStr">
        <is>
          <t>S201-B</t>
        </is>
      </c>
      <c r="D248" t="inlineStr">
        <is>
          <t>FRB_G17_INDPRO</t>
        </is>
      </c>
      <c r="E248" t="inlineStr">
        <is>
          <t>index_1958=100</t>
        </is>
      </c>
    </row>
    <row r="249">
      <c r="A249" t="n">
        <v>1934</v>
      </c>
      <c r="B249" t="n">
        <v>25.82259894547154</v>
      </c>
      <c r="C249" t="inlineStr">
        <is>
          <t>S201-B</t>
        </is>
      </c>
      <c r="D249" t="inlineStr">
        <is>
          <t>FRB_G17_INDPRO</t>
        </is>
      </c>
      <c r="E249" t="inlineStr">
        <is>
          <t>index_1958=100</t>
        </is>
      </c>
    </row>
    <row r="250">
      <c r="A250" t="n">
        <v>1935</v>
      </c>
      <c r="B250" t="n">
        <v>29.90722819195088</v>
      </c>
      <c r="C250" t="inlineStr">
        <is>
          <t>S201-B</t>
        </is>
      </c>
      <c r="D250" t="inlineStr">
        <is>
          <t>FRB_G17_INDPRO</t>
        </is>
      </c>
      <c r="E250" t="inlineStr">
        <is>
          <t>index_1958=100</t>
        </is>
      </c>
    </row>
    <row r="251">
      <c r="A251" t="n">
        <v>1936</v>
      </c>
      <c r="B251" t="n">
        <v>35.29481560583476</v>
      </c>
      <c r="C251" t="inlineStr">
        <is>
          <t>S201-B</t>
        </is>
      </c>
      <c r="D251" t="inlineStr">
        <is>
          <t>FRB_G17_INDPRO</t>
        </is>
      </c>
      <c r="E251" t="inlineStr">
        <is>
          <t>index_1958=100</t>
        </is>
      </c>
    </row>
    <row r="252">
      <c r="A252" t="n">
        <v>1937</v>
      </c>
      <c r="B252" t="n">
        <v>38.66196504186226</v>
      </c>
      <c r="C252" t="inlineStr">
        <is>
          <t>S201-B</t>
        </is>
      </c>
      <c r="D252" t="inlineStr">
        <is>
          <t>FRB_G17_INDPRO</t>
        </is>
      </c>
      <c r="E252" t="inlineStr">
        <is>
          <t>index_1958=100</t>
        </is>
      </c>
    </row>
    <row r="253">
      <c r="A253" t="n">
        <v>1938</v>
      </c>
      <c r="B253" t="n">
        <v>30.56958379991151</v>
      </c>
      <c r="C253" t="inlineStr">
        <is>
          <t>S201-B</t>
        </is>
      </c>
      <c r="D253" t="inlineStr">
        <is>
          <t>FRB_G17_INDPRO</t>
        </is>
      </c>
      <c r="E253" t="inlineStr">
        <is>
          <t>index_1958=100</t>
        </is>
      </c>
    </row>
    <row r="254">
      <c r="A254" t="n">
        <v>1939</v>
      </c>
      <c r="B254" t="n">
        <v>37.51387374827274</v>
      </c>
      <c r="C254" t="inlineStr">
        <is>
          <t>S201-B</t>
        </is>
      </c>
      <c r="D254" t="inlineStr">
        <is>
          <t>FRB_G17_INDPRO</t>
        </is>
      </c>
      <c r="E254" t="inlineStr">
        <is>
          <t>index_1958=100</t>
        </is>
      </c>
    </row>
    <row r="255">
      <c r="A255" t="n">
        <v>1940</v>
      </c>
      <c r="B255" t="n">
        <v>43.33194904842773</v>
      </c>
      <c r="C255" t="inlineStr">
        <is>
          <t>S201-B</t>
        </is>
      </c>
      <c r="D255" t="inlineStr">
        <is>
          <t>FRB_G17_INDPRO</t>
        </is>
      </c>
      <c r="E255" t="inlineStr">
        <is>
          <t>index_1958=100</t>
        </is>
      </c>
    </row>
    <row r="256">
      <c r="A256" t="n">
        <v>1941</v>
      </c>
      <c r="B256" t="n">
        <v>54.72523180592326</v>
      </c>
      <c r="C256" t="inlineStr">
        <is>
          <t>S201-B</t>
        </is>
      </c>
      <c r="D256" t="inlineStr">
        <is>
          <t>FRB_G17_INDPRO</t>
        </is>
      </c>
      <c r="E256" t="inlineStr">
        <is>
          <t>index_1958=100</t>
        </is>
      </c>
    </row>
    <row r="257">
      <c r="A257" t="n">
        <v>1942</v>
      </c>
      <c r="B257" t="n">
        <v>62.79524201502444</v>
      </c>
      <c r="C257" t="inlineStr">
        <is>
          <t>S201-B</t>
        </is>
      </c>
      <c r="D257" t="inlineStr">
        <is>
          <t>FRB_G17_INDPRO</t>
        </is>
      </c>
      <c r="E257" t="inlineStr">
        <is>
          <t>index_1958=100</t>
        </is>
      </c>
    </row>
    <row r="258">
      <c r="A258" t="n">
        <v>1943</v>
      </c>
      <c r="B258" t="n">
        <v>76.27521067085908</v>
      </c>
      <c r="C258" t="inlineStr">
        <is>
          <t>S201-B</t>
        </is>
      </c>
      <c r="D258" t="inlineStr">
        <is>
          <t>FRB_G17_INDPRO</t>
        </is>
      </c>
      <c r="E258" t="inlineStr">
        <is>
          <t>index_1958=100</t>
        </is>
      </c>
    </row>
    <row r="259">
      <c r="A259" t="n">
        <v>1944</v>
      </c>
      <c r="B259" t="n">
        <v>81.99403768715656</v>
      </c>
      <c r="C259" t="inlineStr">
        <is>
          <t>S201-B</t>
        </is>
      </c>
      <c r="D259" t="inlineStr">
        <is>
          <t>FRB_G17_INDPRO</t>
        </is>
      </c>
      <c r="E259" t="inlineStr">
        <is>
          <t>index_1958=100</t>
        </is>
      </c>
    </row>
    <row r="260">
      <c r="A260" t="n">
        <v>1945</v>
      </c>
      <c r="B260" t="n">
        <v>70.18114356764828</v>
      </c>
      <c r="C260" t="inlineStr">
        <is>
          <t>S201-B</t>
        </is>
      </c>
      <c r="D260" t="inlineStr">
        <is>
          <t>FRB_G17_INDPRO</t>
        </is>
      </c>
      <c r="E260" t="inlineStr">
        <is>
          <t>index_1958=100</t>
        </is>
      </c>
    </row>
    <row r="261">
      <c r="A261" t="n">
        <v>1946</v>
      </c>
      <c r="B261" t="n">
        <v>60.65367910792726</v>
      </c>
      <c r="C261" t="inlineStr">
        <is>
          <t>S201-B</t>
        </is>
      </c>
      <c r="D261" t="inlineStr">
        <is>
          <t>FRB_G17_INDPRO</t>
        </is>
      </c>
      <c r="E261" t="inlineStr">
        <is>
          <t>index_1958=100</t>
        </is>
      </c>
    </row>
    <row r="262">
      <c r="A262" t="n">
        <v>1947</v>
      </c>
      <c r="B262" t="n">
        <v>68.26020106738254</v>
      </c>
      <c r="C262" t="inlineStr">
        <is>
          <t>S201-B</t>
        </is>
      </c>
      <c r="D262" t="inlineStr">
        <is>
          <t>FRB_G17_INDPRO</t>
        </is>
      </c>
      <c r="E262" t="inlineStr">
        <is>
          <t>index_1958=100</t>
        </is>
      </c>
    </row>
    <row r="263">
      <c r="A263" t="n">
        <v>1948</v>
      </c>
      <c r="B263" t="n">
        <v>71.14161481778115</v>
      </c>
      <c r="C263" t="inlineStr">
        <is>
          <t>S201-B</t>
        </is>
      </c>
      <c r="D263" t="inlineStr">
        <is>
          <t>FRB_G17_INDPRO</t>
        </is>
      </c>
      <c r="E263" t="inlineStr">
        <is>
          <t>index_1958=100</t>
        </is>
      </c>
    </row>
    <row r="264">
      <c r="A264" t="n">
        <v>1949</v>
      </c>
      <c r="B264" t="n">
        <v>67.16723397628424</v>
      </c>
      <c r="C264" t="inlineStr">
        <is>
          <t>S201-B</t>
        </is>
      </c>
      <c r="D264" t="inlineStr">
        <is>
          <t>FRB_G17_INDPRO</t>
        </is>
      </c>
      <c r="E264" t="inlineStr">
        <is>
          <t>index_1958=100</t>
        </is>
      </c>
    </row>
    <row r="265">
      <c r="A265" t="n">
        <v>1950</v>
      </c>
      <c r="B265" t="n">
        <v>77.7545415668622</v>
      </c>
      <c r="C265" t="inlineStr">
        <is>
          <t>S201-B</t>
        </is>
      </c>
      <c r="D265" t="inlineStr">
        <is>
          <t>FRB_G17_INDPRO</t>
        </is>
      </c>
      <c r="E265" t="inlineStr">
        <is>
          <t>index_1958=100</t>
        </is>
      </c>
    </row>
    <row r="266">
      <c r="A266" t="n">
        <v>1951</v>
      </c>
      <c r="B266" t="n">
        <v>84.33446795256849</v>
      </c>
      <c r="C266" t="inlineStr">
        <is>
          <t>S201-B</t>
        </is>
      </c>
      <c r="D266" t="inlineStr">
        <is>
          <t>FRB_G17_INDPRO</t>
        </is>
      </c>
      <c r="E266" t="inlineStr">
        <is>
          <t>index_1958=100</t>
        </is>
      </c>
    </row>
    <row r="267">
      <c r="A267" t="n">
        <v>1952</v>
      </c>
      <c r="B267" t="n">
        <v>87.62424575012176</v>
      </c>
      <c r="C267" t="inlineStr">
        <is>
          <t>S201-B</t>
        </is>
      </c>
      <c r="D267" t="inlineStr">
        <is>
          <t>FRB_G17_INDPRO</t>
        </is>
      </c>
      <c r="E267" t="inlineStr">
        <is>
          <t>index_1958=100</t>
        </is>
      </c>
    </row>
    <row r="268">
      <c r="A268" t="n">
        <v>1953</v>
      </c>
      <c r="B268" t="n">
        <v>94.97689974563765</v>
      </c>
      <c r="C268" t="inlineStr">
        <is>
          <t>S201-B</t>
        </is>
      </c>
      <c r="D268" t="inlineStr">
        <is>
          <t>FRB_G17_INDPRO</t>
        </is>
      </c>
      <c r="E268" t="inlineStr">
        <is>
          <t>index_1958=100</t>
        </is>
      </c>
    </row>
    <row r="269">
      <c r="A269" t="n">
        <v>1954</v>
      </c>
      <c r="B269" t="n">
        <v>89.60043604974528</v>
      </c>
      <c r="C269" t="inlineStr">
        <is>
          <t>S201-B</t>
        </is>
      </c>
      <c r="D269" t="inlineStr">
        <is>
          <t>FRB_G17_INDPRO</t>
        </is>
      </c>
      <c r="E269" t="inlineStr">
        <is>
          <t>index_1958=100</t>
        </is>
      </c>
    </row>
    <row r="270">
      <c r="A270" t="n">
        <v>1955</v>
      </c>
      <c r="B270" t="n">
        <v>101.0600903245901</v>
      </c>
      <c r="C270" t="inlineStr">
        <is>
          <t>S201-B</t>
        </is>
      </c>
      <c r="D270" t="inlineStr">
        <is>
          <t>FRB_G17_INDPRO</t>
        </is>
      </c>
      <c r="E270" t="inlineStr">
        <is>
          <t>index_1958=100</t>
        </is>
      </c>
    </row>
    <row r="271">
      <c r="A271" t="n">
        <v>1956</v>
      </c>
      <c r="B271" t="n">
        <v>105.4318350921168</v>
      </c>
      <c r="C271" t="inlineStr">
        <is>
          <t>S201-B</t>
        </is>
      </c>
      <c r="D271" t="inlineStr">
        <is>
          <t>FRB_G17_INDPRO</t>
        </is>
      </c>
      <c r="E271" t="inlineStr">
        <is>
          <t>index_1958=100</t>
        </is>
      </c>
    </row>
    <row r="272">
      <c r="A272" t="n">
        <v>1957</v>
      </c>
      <c r="B272" t="n">
        <v>106.9331662303697</v>
      </c>
      <c r="C272" t="inlineStr">
        <is>
          <t>S201-B</t>
        </is>
      </c>
      <c r="D272" t="inlineStr">
        <is>
          <t>FRB_G17_INDPRO</t>
        </is>
      </c>
      <c r="E272" t="inlineStr">
        <is>
          <t>index_1958=100</t>
        </is>
      </c>
    </row>
    <row r="273">
      <c r="A273" t="n">
        <v>1958</v>
      </c>
      <c r="B273" t="n">
        <v>100</v>
      </c>
      <c r="C273" t="inlineStr">
        <is>
          <t>S201-B</t>
        </is>
      </c>
      <c r="D273" t="inlineStr">
        <is>
          <t>FRB_G17_INDPRO</t>
        </is>
      </c>
      <c r="E273" t="inlineStr">
        <is>
          <t>index_1958=100</t>
        </is>
      </c>
    </row>
    <row r="274">
      <c r="A274" t="n">
        <v>1959</v>
      </c>
      <c r="B274" t="n">
        <v>111.9565136784652</v>
      </c>
      <c r="C274" t="inlineStr">
        <is>
          <t>S201-B</t>
        </is>
      </c>
      <c r="D274" t="inlineStr">
        <is>
          <t>FRB_G17_INDPRO</t>
        </is>
      </c>
      <c r="E274" t="inlineStr">
        <is>
          <t>index_1958=100</t>
        </is>
      </c>
    </row>
    <row r="275">
      <c r="A275" t="n">
        <v>1960</v>
      </c>
      <c r="B275" t="n">
        <v>114.4844403904672</v>
      </c>
      <c r="C275" t="inlineStr">
        <is>
          <t>S201-B</t>
        </is>
      </c>
      <c r="D275" t="inlineStr">
        <is>
          <t>FRB_G17_INDPRO</t>
        </is>
      </c>
      <c r="E275" t="inlineStr">
        <is>
          <t>index_1958=100</t>
        </is>
      </c>
    </row>
    <row r="276">
      <c r="A276" t="n">
        <v>1961</v>
      </c>
      <c r="B276" t="n">
        <v>115.2462914760185</v>
      </c>
      <c r="C276" t="inlineStr">
        <is>
          <t>S201-B</t>
        </is>
      </c>
      <c r="D276" t="inlineStr">
        <is>
          <t>FRB_G17_INDPRO</t>
        </is>
      </c>
      <c r="E276" t="inlineStr">
        <is>
          <t>index_1958=100</t>
        </is>
      </c>
    </row>
    <row r="277">
      <c r="A277" t="n">
        <v>1962</v>
      </c>
      <c r="B277" t="n">
        <v>124.8511275742137</v>
      </c>
      <c r="C277" t="inlineStr">
        <is>
          <t>S201-B</t>
        </is>
      </c>
      <c r="D277" t="inlineStr">
        <is>
          <t>FRB_G17_INDPRO</t>
        </is>
      </c>
      <c r="E277" t="inlineStr">
        <is>
          <t>index_1958=100</t>
        </is>
      </c>
    </row>
    <row r="278">
      <c r="A278" t="n">
        <v>1963</v>
      </c>
      <c r="B278" t="n">
        <v>132.5018972119019</v>
      </c>
      <c r="C278" t="inlineStr">
        <is>
          <t>S201-B</t>
        </is>
      </c>
      <c r="D278" t="inlineStr">
        <is>
          <t>FRB_G17_INDPRO</t>
        </is>
      </c>
      <c r="E278" t="inlineStr">
        <is>
          <t>index_1958=100</t>
        </is>
      </c>
    </row>
    <row r="279">
      <c r="A279" t="n">
        <v>1964</v>
      </c>
      <c r="B279" t="n">
        <v>141.4222538630201</v>
      </c>
      <c r="C279" t="inlineStr">
        <is>
          <t>S201-B</t>
        </is>
      </c>
      <c r="D279" t="inlineStr">
        <is>
          <t>FRB_G17_INDPRO</t>
        </is>
      </c>
      <c r="E279" t="inlineStr">
        <is>
          <t>index_1958=100</t>
        </is>
      </c>
    </row>
    <row r="280">
      <c r="A280" t="n">
        <v>1965</v>
      </c>
      <c r="B280" t="n">
        <v>155.4760827703496</v>
      </c>
      <c r="C280" t="inlineStr">
        <is>
          <t>S201-B</t>
        </is>
      </c>
      <c r="D280" t="inlineStr">
        <is>
          <t>FRB_G17_INDPRO</t>
        </is>
      </c>
      <c r="E280" t="inlineStr">
        <is>
          <t>index_1958=100</t>
        </is>
      </c>
    </row>
    <row r="281">
      <c r="A281" t="n">
        <v>1966</v>
      </c>
      <c r="B281" t="n">
        <v>169.2319196323735</v>
      </c>
      <c r="C281" t="inlineStr">
        <is>
          <t>S201-B</t>
        </is>
      </c>
      <c r="D281" t="inlineStr">
        <is>
          <t>FRB_G17_INDPRO</t>
        </is>
      </c>
      <c r="E281" t="inlineStr">
        <is>
          <t>index_1958=100</t>
        </is>
      </c>
    </row>
    <row r="282">
      <c r="A282" t="n">
        <v>1967</v>
      </c>
      <c r="B282" t="n">
        <v>172.8849486207826</v>
      </c>
      <c r="C282" t="inlineStr">
        <is>
          <t>S201-B</t>
        </is>
      </c>
      <c r="D282" t="inlineStr">
        <is>
          <t>FRB_G17_INDPRO</t>
        </is>
      </c>
      <c r="E282" t="inlineStr">
        <is>
          <t>index_1958=100</t>
        </is>
      </c>
    </row>
    <row r="283">
      <c r="A283" t="n">
        <v>1968</v>
      </c>
      <c r="B283" t="n">
        <v>182.4885487503121</v>
      </c>
      <c r="C283" t="inlineStr">
        <is>
          <t>S201-B</t>
        </is>
      </c>
      <c r="D283" t="inlineStr">
        <is>
          <t>FRB_G17_INDPRO</t>
        </is>
      </c>
      <c r="E283" t="inlineStr">
        <is>
          <t>index_1958=100</t>
        </is>
      </c>
    </row>
    <row r="284">
      <c r="A284" t="n">
        <v>1969</v>
      </c>
      <c r="B284" t="n">
        <v>190.9600015820399</v>
      </c>
      <c r="C284" t="inlineStr">
        <is>
          <t>S201-B</t>
        </is>
      </c>
      <c r="D284" t="inlineStr">
        <is>
          <t>FRB_G17_INDPRO</t>
        </is>
      </c>
      <c r="E284" t="inlineStr">
        <is>
          <t>index_1958=100</t>
        </is>
      </c>
    </row>
    <row r="285">
      <c r="A285" t="n">
        <v>1970</v>
      </c>
      <c r="B285" t="n">
        <v>184.6629884239175</v>
      </c>
      <c r="C285" t="inlineStr">
        <is>
          <t>S201-B</t>
        </is>
      </c>
      <c r="D285" t="inlineStr">
        <is>
          <t>FRB_G17_INDPRO</t>
        </is>
      </c>
      <c r="E285" t="inlineStr">
        <is>
          <t>index_1958=100</t>
        </is>
      </c>
    </row>
    <row r="286">
      <c r="A286" t="n">
        <v>1971</v>
      </c>
      <c r="B286" t="n">
        <v>187.1874544236555</v>
      </c>
      <c r="C286" t="inlineStr">
        <is>
          <t>S201-B</t>
        </is>
      </c>
      <c r="D286" t="inlineStr">
        <is>
          <t>FRB_G17_INDPRO</t>
        </is>
      </c>
      <c r="E286" t="inlineStr">
        <is>
          <t>index_1958=100</t>
        </is>
      </c>
    </row>
    <row r="287">
      <c r="A287" t="n">
        <v>1972</v>
      </c>
      <c r="B287" t="n">
        <v>205.1888436524357</v>
      </c>
      <c r="C287" t="inlineStr">
        <is>
          <t>S201-B</t>
        </is>
      </c>
      <c r="D287" t="inlineStr">
        <is>
          <t>FRB_G17_INDPRO</t>
        </is>
      </c>
      <c r="E287" t="inlineStr">
        <is>
          <t>index_1958=100</t>
        </is>
      </c>
    </row>
    <row r="288">
      <c r="A288" t="n">
        <v>1973</v>
      </c>
      <c r="B288" t="n">
        <v>221.9940624065299</v>
      </c>
      <c r="C288" t="inlineStr">
        <is>
          <t>S201-B</t>
        </is>
      </c>
      <c r="D288" t="inlineStr">
        <is>
          <t>FRB_G17_INDPRO</t>
        </is>
      </c>
      <c r="E288" t="inlineStr">
        <is>
          <t>index_1958=100</t>
        </is>
      </c>
    </row>
    <row r="289">
      <c r="A289" t="n">
        <v>1974</v>
      </c>
      <c r="B289" t="n">
        <v>221.3507407160214</v>
      </c>
      <c r="C289" t="inlineStr">
        <is>
          <t>S201-B</t>
        </is>
      </c>
      <c r="D289" t="inlineStr">
        <is>
          <t>FRB_G17_INDPRO</t>
        </is>
      </c>
      <c r="E289" t="inlineStr">
        <is>
          <t>index_1958=100</t>
        </is>
      </c>
    </row>
    <row r="290">
      <c r="A290" t="n">
        <v>1975</v>
      </c>
      <c r="B290" t="n">
        <v>201.8090873360179</v>
      </c>
      <c r="C290" t="inlineStr">
        <is>
          <t>S201-B</t>
        </is>
      </c>
      <c r="D290" t="inlineStr">
        <is>
          <t>FRB_G17_INDPRO</t>
        </is>
      </c>
      <c r="E290" t="inlineStr">
        <is>
          <t>index_1958=100</t>
        </is>
      </c>
    </row>
    <row r="291">
      <c r="A291" t="n">
        <v>1976</v>
      </c>
      <c r="B291" t="n">
        <v>217.6532168556463</v>
      </c>
      <c r="C291" t="inlineStr">
        <is>
          <t>S201-B</t>
        </is>
      </c>
      <c r="D291" t="inlineStr">
        <is>
          <t>FRB_G17_INDPRO</t>
        </is>
      </c>
      <c r="E291" t="inlineStr">
        <is>
          <t>index_1958=100</t>
        </is>
      </c>
    </row>
    <row r="292">
      <c r="A292" t="n">
        <v>1977</v>
      </c>
      <c r="B292" t="n">
        <v>234.2111182797294</v>
      </c>
      <c r="C292" t="inlineStr">
        <is>
          <t>S201-B</t>
        </is>
      </c>
      <c r="D292" t="inlineStr">
        <is>
          <t>FRB_G17_INDPRO</t>
        </is>
      </c>
      <c r="E292" t="inlineStr">
        <is>
          <t>index_1958=100</t>
        </is>
      </c>
    </row>
    <row r="293">
      <c r="A293" t="n">
        <v>1978</v>
      </c>
      <c r="B293" t="n">
        <v>247.0371359145303</v>
      </c>
      <c r="C293" t="inlineStr">
        <is>
          <t>S201-B</t>
        </is>
      </c>
      <c r="D293" t="inlineStr">
        <is>
          <t>FRB_G17_INDPRO</t>
        </is>
      </c>
      <c r="E293" t="inlineStr">
        <is>
          <t>index_1958=100</t>
        </is>
      </c>
    </row>
    <row r="294">
      <c r="A294" t="n">
        <v>1979</v>
      </c>
      <c r="B294" t="n">
        <v>254.5060945614907</v>
      </c>
      <c r="C294" t="inlineStr">
        <is>
          <t>S201-B</t>
        </is>
      </c>
      <c r="D294" t="inlineStr">
        <is>
          <t>FRB_G17_INDPRO</t>
        </is>
      </c>
      <c r="E294" t="inlineStr">
        <is>
          <t>index_1958=100</t>
        </is>
      </c>
    </row>
    <row r="295">
      <c r="A295" t="n">
        <v>1980</v>
      </c>
      <c r="B295" t="n">
        <v>248.0304839311714</v>
      </c>
      <c r="C295" t="inlineStr">
        <is>
          <t>S201-B</t>
        </is>
      </c>
      <c r="D295" t="inlineStr">
        <is>
          <t>FRB_G17_INDPRO</t>
        </is>
      </c>
      <c r="E295" t="inlineStr">
        <is>
          <t>index_1958=100</t>
        </is>
      </c>
    </row>
    <row r="296">
      <c r="A296" t="n">
        <v>1981</v>
      </c>
      <c r="B296" t="n">
        <v>251.343003552174</v>
      </c>
      <c r="C296" t="inlineStr">
        <is>
          <t>S201-B</t>
        </is>
      </c>
      <c r="D296" t="inlineStr">
        <is>
          <t>FRB_G17_INDPRO</t>
        </is>
      </c>
      <c r="E296" t="inlineStr">
        <is>
          <t>index_1958=100</t>
        </is>
      </c>
    </row>
    <row r="297">
      <c r="A297" t="n">
        <v>1982</v>
      </c>
      <c r="B297" t="n">
        <v>238.3726247772167</v>
      </c>
      <c r="C297" t="inlineStr">
        <is>
          <t>S201-B</t>
        </is>
      </c>
      <c r="D297" t="inlineStr">
        <is>
          <t>FRB_G17_INDPRO</t>
        </is>
      </c>
      <c r="E297" t="inlineStr">
        <is>
          <t>index_1958=100</t>
        </is>
      </c>
    </row>
    <row r="298">
      <c r="A298" t="n">
        <v>1983</v>
      </c>
      <c r="B298" t="n">
        <v>244.9317868893388</v>
      </c>
      <c r="C298" t="inlineStr">
        <is>
          <t>S201-B</t>
        </is>
      </c>
      <c r="D298" t="inlineStr">
        <is>
          <t>FRB_G17_INDPRO</t>
        </is>
      </c>
      <c r="E298" t="inlineStr">
        <is>
          <t>index_1958=100</t>
        </is>
      </c>
    </row>
    <row r="299">
      <c r="A299" t="n">
        <v>1984</v>
      </c>
      <c r="B299" t="n">
        <v>266.7508361328024</v>
      </c>
      <c r="C299" t="inlineStr">
        <is>
          <t>S201-B</t>
        </is>
      </c>
      <c r="D299" t="inlineStr">
        <is>
          <t>FRB_G17_INDPRO</t>
        </is>
      </c>
      <c r="E299" t="inlineStr">
        <is>
          <t>index_1958=100</t>
        </is>
      </c>
    </row>
    <row r="300">
      <c r="A300" t="n">
        <v>1985</v>
      </c>
      <c r="B300" t="n">
        <v>269.9718940725415</v>
      </c>
      <c r="C300" t="inlineStr">
        <is>
          <t>S201-B</t>
        </is>
      </c>
      <c r="D300" t="inlineStr">
        <is>
          <t>FRB_G17_INDPRO</t>
        </is>
      </c>
      <c r="E300" t="inlineStr">
        <is>
          <t>index_1958=100</t>
        </is>
      </c>
    </row>
    <row r="301">
      <c r="A301" t="n">
        <v>1986</v>
      </c>
      <c r="B301" t="n">
        <v>272.6921375089299</v>
      </c>
      <c r="C301" t="inlineStr">
        <is>
          <t>S201-B</t>
        </is>
      </c>
      <c r="D301" t="inlineStr">
        <is>
          <t>FRB_G17_INDPRO</t>
        </is>
      </c>
      <c r="E301" t="inlineStr">
        <is>
          <t>index_1958=100</t>
        </is>
      </c>
    </row>
    <row r="302">
      <c r="A302" t="n">
        <v>1987</v>
      </c>
      <c r="B302" t="n">
        <v>286.7857646072957</v>
      </c>
      <c r="C302" t="inlineStr">
        <is>
          <t>S201-B</t>
        </is>
      </c>
      <c r="D302" t="inlineStr">
        <is>
          <t>FRB_G17_INDPRO</t>
        </is>
      </c>
      <c r="E302" t="inlineStr">
        <is>
          <t>index_1958=100</t>
        </is>
      </c>
    </row>
    <row r="303">
      <c r="A303" t="n">
        <v>1988</v>
      </c>
      <c r="B303" t="n">
        <v>301.5853770075221</v>
      </c>
      <c r="C303" t="inlineStr">
        <is>
          <t>S201-B</t>
        </is>
      </c>
      <c r="D303" t="inlineStr">
        <is>
          <t>FRB_G17_INDPRO</t>
        </is>
      </c>
      <c r="E303" t="inlineStr">
        <is>
          <t>index_1958=100</t>
        </is>
      </c>
    </row>
    <row r="304">
      <c r="A304" t="n">
        <v>1989</v>
      </c>
      <c r="B304" t="n">
        <v>304.260136797012</v>
      </c>
      <c r="C304" t="inlineStr">
        <is>
          <t>S201-B</t>
        </is>
      </c>
      <c r="D304" t="inlineStr">
        <is>
          <t>FRB_G17_INDPRO</t>
        </is>
      </c>
      <c r="E304" t="inlineStr">
        <is>
          <t>index_1958=100</t>
        </is>
      </c>
    </row>
    <row r="305">
      <c r="A305" t="n">
        <v>1990</v>
      </c>
      <c r="B305" t="n">
        <v>307.1518090873361</v>
      </c>
      <c r="C305" t="inlineStr">
        <is>
          <t>S201-B</t>
        </is>
      </c>
      <c r="D305" t="inlineStr">
        <is>
          <t>FRB_G17_INDPRO</t>
        </is>
      </c>
      <c r="E305" t="inlineStr">
        <is>
          <t>index_1958=100</t>
        </is>
      </c>
    </row>
    <row r="306">
      <c r="A306" t="n">
        <v>1991</v>
      </c>
      <c r="B306" t="n">
        <v>302.4050714266292</v>
      </c>
      <c r="C306" t="inlineStr">
        <is>
          <t>S201-B</t>
        </is>
      </c>
      <c r="D306" t="inlineStr">
        <is>
          <t>FRB_G17_INDPRO</t>
        </is>
      </c>
      <c r="E306" t="inlineStr">
        <is>
          <t>index_1958=100</t>
        </is>
      </c>
    </row>
    <row r="307">
      <c r="A307" t="n">
        <v>1992</v>
      </c>
      <c r="B307" t="n">
        <v>310.9527835250321</v>
      </c>
      <c r="C307" t="inlineStr">
        <is>
          <t>S201-B</t>
        </is>
      </c>
      <c r="D307" t="inlineStr">
        <is>
          <t>FRB_G17_INDPRO</t>
        </is>
      </c>
      <c r="E307" t="inlineStr">
        <is>
          <t>index_1958=100</t>
        </is>
      </c>
    </row>
    <row r="308">
      <c r="A308" t="n">
        <v>1993</v>
      </c>
      <c r="B308" t="n">
        <v>321.1119515698039</v>
      </c>
      <c r="C308" t="inlineStr">
        <is>
          <t>S201-B</t>
        </is>
      </c>
      <c r="D308" t="inlineStr">
        <is>
          <t>FRB_G17_INDPRO</t>
        </is>
      </c>
      <c r="E308" t="inlineStr">
        <is>
          <t>index_1958=100</t>
        </is>
      </c>
    </row>
    <row r="309">
      <c r="A309" t="n">
        <v>1994</v>
      </c>
      <c r="B309" t="n">
        <v>338.0693180666484</v>
      </c>
      <c r="C309" t="inlineStr">
        <is>
          <t>S201-B</t>
        </is>
      </c>
      <c r="D309" t="inlineStr">
        <is>
          <t>FRB_G17_INDPRO</t>
        </is>
      </c>
      <c r="E309" t="inlineStr">
        <is>
          <t>index_1958=100</t>
        </is>
      </c>
    </row>
    <row r="310">
      <c r="A310" t="n">
        <v>1995</v>
      </c>
      <c r="B310" t="n">
        <v>354.1128093320579</v>
      </c>
      <c r="C310" t="inlineStr">
        <is>
          <t>S201-B</t>
        </is>
      </c>
      <c r="D310" t="inlineStr">
        <is>
          <t>FRB_G17_INDPRO</t>
        </is>
      </c>
      <c r="E310" t="inlineStr">
        <is>
          <t>index_1958=100</t>
        </is>
      </c>
    </row>
    <row r="311">
      <c r="A311" t="n">
        <v>1996</v>
      </c>
      <c r="B311" t="n">
        <v>369.8539826618317</v>
      </c>
      <c r="C311" t="inlineStr">
        <is>
          <t>S201-B</t>
        </is>
      </c>
      <c r="D311" t="inlineStr">
        <is>
          <t>FRB_G17_INDPRO</t>
        </is>
      </c>
      <c r="E311" t="inlineStr">
        <is>
          <t>index_1958=100</t>
        </is>
      </c>
    </row>
    <row r="312">
      <c r="A312" t="n">
        <v>1997</v>
      </c>
      <c r="B312" t="n">
        <v>396.5148155563961</v>
      </c>
      <c r="C312" t="inlineStr">
        <is>
          <t>S201-B</t>
        </is>
      </c>
      <c r="D312" t="inlineStr">
        <is>
          <t>FRB_G17_INDPRO</t>
        </is>
      </c>
      <c r="E312" t="inlineStr">
        <is>
          <t>index_1958=100</t>
        </is>
      </c>
    </row>
    <row r="313">
      <c r="A313" t="n">
        <v>1998</v>
      </c>
      <c r="B313" t="n">
        <v>419.5550018415934</v>
      </c>
      <c r="C313" t="inlineStr">
        <is>
          <t>S201-B</t>
        </is>
      </c>
      <c r="D313" t="inlineStr">
        <is>
          <t>FRB_G17_INDPRO</t>
        </is>
      </c>
      <c r="E313" t="inlineStr">
        <is>
          <t>index_1958=100</t>
        </is>
      </c>
    </row>
    <row r="314">
      <c r="A314" t="n">
        <v>1999</v>
      </c>
      <c r="B314" t="n">
        <v>437.535750393656</v>
      </c>
      <c r="C314" t="inlineStr">
        <is>
          <t>S201-B</t>
        </is>
      </c>
      <c r="D314" t="inlineStr">
        <is>
          <t>FRB_G17_INDPRO</t>
        </is>
      </c>
      <c r="E314" t="inlineStr">
        <is>
          <t>index_1958=100</t>
        </is>
      </c>
    </row>
    <row r="315">
      <c r="A315" t="n">
        <v>2000</v>
      </c>
      <c r="B315" t="n">
        <v>455.0986179398381</v>
      </c>
      <c r="C315" t="inlineStr">
        <is>
          <t>S201-B</t>
        </is>
      </c>
      <c r="D315" t="inlineStr">
        <is>
          <t>FRB_G17_INDPRO</t>
        </is>
      </c>
      <c r="E315" t="inlineStr">
        <is>
          <t>index_1958=100</t>
        </is>
      </c>
    </row>
    <row r="316">
      <c r="A316" t="n">
        <v>2001</v>
      </c>
      <c r="B316" t="n">
        <v>439.5957393688155</v>
      </c>
      <c r="C316" t="inlineStr">
        <is>
          <t>S201-B</t>
        </is>
      </c>
      <c r="D316" t="inlineStr">
        <is>
          <t>FRB_G17_INDPRO</t>
        </is>
      </c>
      <c r="E316" t="inlineStr">
        <is>
          <t>index_1958=100</t>
        </is>
      </c>
    </row>
    <row r="317">
      <c r="A317" t="n">
        <v>2002</v>
      </c>
      <c r="B317" t="n">
        <v>440.5023223851229</v>
      </c>
      <c r="C317" t="inlineStr">
        <is>
          <t>S201-B</t>
        </is>
      </c>
      <c r="D317" t="inlineStr">
        <is>
          <t>FRB_G17_INDPRO</t>
        </is>
      </c>
      <c r="E317" t="inlineStr">
        <is>
          <t>index_1958=100</t>
        </is>
      </c>
    </row>
    <row r="318">
      <c r="A318" t="n">
        <v>2003</v>
      </c>
      <c r="B318" t="n">
        <v>446.087788382389</v>
      </c>
      <c r="C318" t="inlineStr">
        <is>
          <t>S201-B</t>
        </is>
      </c>
      <c r="D318" t="inlineStr">
        <is>
          <t>FRB_G17_INDPRO</t>
        </is>
      </c>
      <c r="E318" t="inlineStr">
        <is>
          <t>index_1958=100</t>
        </is>
      </c>
    </row>
    <row r="319">
      <c r="A319" t="n">
        <v>2004</v>
      </c>
      <c r="B319" t="n">
        <v>456.462138571863</v>
      </c>
      <c r="C319" t="inlineStr">
        <is>
          <t>S201-B</t>
        </is>
      </c>
      <c r="D319" t="inlineStr">
        <is>
          <t>FRB_G17_INDPRO</t>
        </is>
      </c>
      <c r="E319" t="inlineStr">
        <is>
          <t>index_1958=100</t>
        </is>
      </c>
    </row>
    <row r="320">
      <c r="A320" t="n">
        <v>2005</v>
      </c>
      <c r="B320" t="n">
        <v>471.2416046828381</v>
      </c>
      <c r="C320" t="inlineStr">
        <is>
          <t>S201-B</t>
        </is>
      </c>
      <c r="D320" t="inlineStr">
        <is>
          <t>FRB_G17_INDPRO</t>
        </is>
      </c>
      <c r="E320" t="inlineStr">
        <is>
          <t>index_1958=100</t>
        </is>
      </c>
    </row>
    <row r="321">
      <c r="A321" t="n">
        <v>2006</v>
      </c>
      <c r="B321" t="n">
        <v>481.5639205914852</v>
      </c>
      <c r="C321" t="inlineStr">
        <is>
          <t>S201-B</t>
        </is>
      </c>
      <c r="D321" t="inlineStr">
        <is>
          <t>FRB_G17_INDPRO</t>
        </is>
      </c>
      <c r="E321" t="inlineStr">
        <is>
          <t>index_1958=100</t>
        </is>
      </c>
    </row>
    <row r="322">
      <c r="A322" t="n">
        <v>2007</v>
      </c>
      <c r="B322" t="n">
        <v>494.3874662889547</v>
      </c>
      <c r="C322" t="inlineStr">
        <is>
          <t>S201-B</t>
        </is>
      </c>
      <c r="D322" t="inlineStr">
        <is>
          <t>FRB_G17_INDPRO</t>
        </is>
      </c>
      <c r="E322" t="inlineStr">
        <is>
          <t>index_1958=100</t>
        </is>
      </c>
    </row>
    <row r="323">
      <c r="A323" t="n">
        <v>2008</v>
      </c>
      <c r="B323" t="n">
        <v>476.0489048081653</v>
      </c>
      <c r="C323" t="inlineStr">
        <is>
          <t>S201-B</t>
        </is>
      </c>
      <c r="D323" t="inlineStr">
        <is>
          <t>FRB_G17_INDPRO</t>
        </is>
      </c>
      <c r="E323" t="inlineStr">
        <is>
          <t>index_1958=100</t>
        </is>
      </c>
    </row>
    <row r="324">
      <c r="A324" t="n">
        <v>2009</v>
      </c>
      <c r="B324" t="n">
        <v>422.924994005552</v>
      </c>
      <c r="C324" t="inlineStr">
        <is>
          <t>S201-B</t>
        </is>
      </c>
      <c r="D324" t="inlineStr">
        <is>
          <t>FRB_G17_INDPRO</t>
        </is>
      </c>
      <c r="E324" t="inlineStr">
        <is>
          <t>index_1958=100</t>
        </is>
      </c>
    </row>
    <row r="325">
      <c r="A325" t="n">
        <v>2010</v>
      </c>
      <c r="B325" t="n">
        <v>445.2739030160108</v>
      </c>
      <c r="C325" t="inlineStr">
        <is>
          <t>S201-B</t>
        </is>
      </c>
      <c r="D325" t="inlineStr">
        <is>
          <t>FRB_G17_INDPRO</t>
        </is>
      </c>
      <c r="E325" t="inlineStr">
        <is>
          <t>index_1958=100</t>
        </is>
      </c>
    </row>
    <row r="326">
      <c r="A326" t="n">
        <v>2011</v>
      </c>
      <c r="B326" t="n">
        <v>459.3625698668374</v>
      </c>
      <c r="C326" t="inlineStr">
        <is>
          <t>S201-C</t>
        </is>
      </c>
      <c r="D326" t="inlineStr">
        <is>
          <t>FRED_INDPRO</t>
        </is>
      </c>
      <c r="E326" t="inlineStr">
        <is>
          <t>index_1958=100</t>
        </is>
      </c>
    </row>
    <row r="327">
      <c r="A327" t="n">
        <v>2012</v>
      </c>
      <c r="B327" t="n">
        <v>473.4449267655843</v>
      </c>
      <c r="C327" t="inlineStr">
        <is>
          <t>S201-C</t>
        </is>
      </c>
      <c r="D327" t="inlineStr">
        <is>
          <t>FRED_INDPRO</t>
        </is>
      </c>
      <c r="E327" t="inlineStr">
        <is>
          <t>index_1958=100</t>
        </is>
      </c>
    </row>
    <row r="328">
      <c r="A328" t="n">
        <v>2013</v>
      </c>
      <c r="B328" t="n">
        <v>482.8783051244975</v>
      </c>
      <c r="C328" t="inlineStr">
        <is>
          <t>S201-C</t>
        </is>
      </c>
      <c r="D328" t="inlineStr">
        <is>
          <t>FRED_INDPRO</t>
        </is>
      </c>
      <c r="E328" t="inlineStr">
        <is>
          <t>index_1958=100</t>
        </is>
      </c>
    </row>
    <row r="329">
      <c r="A329" t="n">
        <v>2014</v>
      </c>
      <c r="B329" t="n">
        <v>497.2615981993457</v>
      </c>
      <c r="C329" t="inlineStr">
        <is>
          <t>S201-C</t>
        </is>
      </c>
      <c r="D329" t="inlineStr">
        <is>
          <t>FRED_INDPRO</t>
        </is>
      </c>
      <c r="E329" t="inlineStr">
        <is>
          <t>index_1958=100</t>
        </is>
      </c>
    </row>
    <row r="330">
      <c r="A330" t="n">
        <v>2015</v>
      </c>
      <c r="B330" t="n">
        <v>490.0988318272088</v>
      </c>
      <c r="C330" t="inlineStr">
        <is>
          <t>S201-C</t>
        </is>
      </c>
      <c r="D330" t="inlineStr">
        <is>
          <t>FRED_INDPRO</t>
        </is>
      </c>
      <c r="E330" t="inlineStr">
        <is>
          <t>index_1958=100</t>
        </is>
      </c>
    </row>
    <row r="331">
      <c r="A331" t="n">
        <v>2016</v>
      </c>
      <c r="B331" t="n">
        <v>479.5505334739337</v>
      </c>
      <c r="C331" t="inlineStr">
        <is>
          <t>S201-C</t>
        </is>
      </c>
      <c r="D331" t="inlineStr">
        <is>
          <t>FRED_INDPRO</t>
        </is>
      </c>
      <c r="E331" t="inlineStr">
        <is>
          <t>index_1958=100</t>
        </is>
      </c>
    </row>
    <row r="332">
      <c r="A332" t="n">
        <v>2017</v>
      </c>
      <c r="B332" t="n">
        <v>485.3809291954292</v>
      </c>
      <c r="C332" t="inlineStr">
        <is>
          <t>S201-C</t>
        </is>
      </c>
      <c r="D332" t="inlineStr">
        <is>
          <t>FRED_INDPRO</t>
        </is>
      </c>
      <c r="E332" t="inlineStr">
        <is>
          <t>index_1958=100</t>
        </is>
      </c>
    </row>
    <row r="333">
      <c r="A333" t="n">
        <v>2018</v>
      </c>
      <c r="B333" t="n">
        <v>500.7335279858806</v>
      </c>
      <c r="C333" t="inlineStr">
        <is>
          <t>S201-C</t>
        </is>
      </c>
      <c r="D333" t="inlineStr">
        <is>
          <t>FRED_INDPRO</t>
        </is>
      </c>
      <c r="E333" t="inlineStr">
        <is>
          <t>index_1958=100</t>
        </is>
      </c>
    </row>
    <row r="334">
      <c r="A334" t="n">
        <v>2019</v>
      </c>
      <c r="B334" t="n">
        <v>496.7694219371415</v>
      </c>
      <c r="C334" t="inlineStr">
        <is>
          <t>S201-C</t>
        </is>
      </c>
      <c r="D334" t="inlineStr">
        <is>
          <t>FRED_INDPRO</t>
        </is>
      </c>
      <c r="E334" t="inlineStr">
        <is>
          <t>index_1958=100</t>
        </is>
      </c>
    </row>
    <row r="335">
      <c r="A335" t="n">
        <v>2020</v>
      </c>
      <c r="B335" t="n">
        <v>461.5414448579957</v>
      </c>
      <c r="C335" t="inlineStr">
        <is>
          <t>S201-C</t>
        </is>
      </c>
      <c r="D335" t="inlineStr">
        <is>
          <t>FRED_INDPRO</t>
        </is>
      </c>
      <c r="E335" t="inlineStr">
        <is>
          <t>index_1958=100</t>
        </is>
      </c>
    </row>
    <row r="336">
      <c r="A336" t="n">
        <v>2021</v>
      </c>
      <c r="B336" t="n">
        <v>481.9230754558409</v>
      </c>
      <c r="C336" t="inlineStr">
        <is>
          <t>S201-C</t>
        </is>
      </c>
      <c r="D336" t="inlineStr">
        <is>
          <t>FRED_INDPRO</t>
        </is>
      </c>
      <c r="E336" t="inlineStr">
        <is>
          <t>index_1958=100</t>
        </is>
      </c>
    </row>
    <row r="337">
      <c r="A337" t="n">
        <v>2022</v>
      </c>
      <c r="B337" t="n">
        <v>490.1376623015444</v>
      </c>
      <c r="C337" t="inlineStr">
        <is>
          <t>S201-C</t>
        </is>
      </c>
      <c r="D337" t="inlineStr">
        <is>
          <t>FRED_INDPRO</t>
        </is>
      </c>
      <c r="E337" t="inlineStr">
        <is>
          <t>index_1958=100</t>
        </is>
      </c>
    </row>
    <row r="338">
      <c r="A338" t="n">
        <v>2023</v>
      </c>
      <c r="B338" t="n">
        <v>489.0906956372699</v>
      </c>
      <c r="C338" t="inlineStr">
        <is>
          <t>S201-C</t>
        </is>
      </c>
      <c r="D338" t="inlineStr">
        <is>
          <t>FRED_INDPRO</t>
        </is>
      </c>
      <c r="E338" t="inlineStr">
        <is>
          <t>index_1958=100</t>
        </is>
      </c>
    </row>
    <row r="339">
      <c r="A339" t="n">
        <v>2024</v>
      </c>
      <c r="B339" t="n">
        <v>485.894462218518</v>
      </c>
      <c r="C339" t="inlineStr">
        <is>
          <t>S201-C</t>
        </is>
      </c>
      <c r="D339" t="inlineStr">
        <is>
          <t>FRED_INDPRO</t>
        </is>
      </c>
      <c r="E339" t="inlineStr">
        <is>
          <t>index_1958=100</t>
        </is>
      </c>
    </row>
    <row r="340">
      <c r="A340" t="n">
        <v>2025</v>
      </c>
      <c r="B340" t="n">
        <v>491.3312140064359</v>
      </c>
      <c r="C340" t="inlineStr">
        <is>
          <t>S201-C</t>
        </is>
      </c>
      <c r="D340" t="inlineStr">
        <is>
          <t>FRED_INDPRO</t>
        </is>
      </c>
      <c r="E340" t="inlineStr">
        <is>
          <t>index_1958=100</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95"/>
  <sheetViews>
    <sheetView workbookViewId="0">
      <selection activeCell="A1" sqref="A1"/>
    </sheetView>
  </sheetViews>
  <sheetFormatPr baseColWidth="8" defaultRowHeight="15"/>
  <cols>
    <col width="100" customWidth="1" min="1" max="1"/>
  </cols>
  <sheetData>
    <row r="1">
      <c r="A1" s="1" t="inlineStr">
        <is>
          <t>S201 — Methodology</t>
        </is>
      </c>
    </row>
    <row r="3">
      <c r="A3" s="4">
        <f>== DPR: S201_DPR.md ===</f>
        <v/>
      </c>
    </row>
    <row r="4">
      <c r="A4" t="inlineStr">
        <is>
          <t># S201 — US Industrial Production Index, 1860–2025</t>
        </is>
      </c>
    </row>
    <row r="5">
      <c r="A5" t="inlineStr"/>
    </row>
    <row r="6">
      <c r="A6" t="inlineStr">
        <is>
          <t>**Data Provenance Record (DPR)**</t>
        </is>
      </c>
    </row>
    <row r="7">
      <c r="A7" t="inlineStr">
        <is>
          <t>**Phase**: 5 (Ingestion)</t>
        </is>
      </c>
    </row>
    <row r="8">
      <c r="A8" t="inlineStr">
        <is>
          <t>**Series ID**: S201</t>
        </is>
      </c>
    </row>
    <row r="9">
      <c r="A9" t="inlineStr">
        <is>
          <t>**Status**: book_period_validated</t>
        </is>
      </c>
    </row>
    <row r="10">
      <c r="A10" t="inlineStr">
        <is>
          <t>**Authored**: 2026-05-18</t>
        </is>
      </c>
    </row>
    <row r="11">
      <c r="A11" t="inlineStr">
        <is>
          <t>**Author**: opus-pilot-S201</t>
        </is>
      </c>
    </row>
    <row r="12">
      <c r="A12" t="inlineStr">
        <is>
          <t>**Related artifacts**:</t>
        </is>
      </c>
    </row>
    <row r="13">
      <c r="A13" t="inlineStr">
        <is>
          <t>- Research dossier: `Technical/research/S201_research.json`</t>
        </is>
      </c>
    </row>
    <row r="14">
      <c r="A14" t="inlineStr">
        <is>
          <t>- Adequacy: `Technical/docs/chapters/CH2_ADEQUACY_REPORT.json`</t>
        </is>
      </c>
    </row>
    <row r="15">
      <c r="A15" t="inlineStr">
        <is>
          <t>- Extension Provenance Record: `Technical/docs/series/S201_EPR.md`</t>
        </is>
      </c>
    </row>
    <row r="16">
      <c r="A16" t="inlineStr">
        <is>
          <t>- Registry entry: `Technical/series_registry.json` → `series.S201`</t>
        </is>
      </c>
    </row>
    <row r="17">
      <c r="A17" t="inlineStr">
        <is>
          <t>- Subsource registry: `Technical/SUBSOURCE_METADATA.json` → `BEA_LTEG_1966`, `FRB_G17_INDPRO`, `FRED_INDPRO`</t>
        </is>
      </c>
    </row>
    <row r="18">
      <c r="A18" t="inlineStr"/>
    </row>
    <row r="19">
      <c r="A19" t="inlineStr">
        <is>
          <t>---</t>
        </is>
      </c>
    </row>
    <row r="20">
      <c r="A20" t="inlineStr"/>
    </row>
    <row r="21">
      <c r="A21" t="inlineStr">
        <is>
          <t>## 1. Definition</t>
        </is>
      </c>
    </row>
    <row r="22">
      <c r="A22" t="inlineStr"/>
    </row>
    <row r="23">
      <c r="A23" t="inlineStr">
        <is>
          <t>**S201** is the annual **United States Industrial Production Index, 1860–2025**, on a 1958=100 base. It tracks real industrial output (manufacturing + mining + electric &amp; gas utilities) of the US economy at annual frequency.</t>
        </is>
      </c>
    </row>
    <row r="24">
      <c r="A24" t="inlineStr"/>
    </row>
    <row r="25">
      <c r="A25" t="inlineStr">
        <is>
          <t>In Shaikh (2016) the series appears as **Figure 2.1** ("US Industrial Production Index, 1860–2010"), opening Chapter 2 ("Turbulent Trends and Hidden Structures"). Shaikh uses it as the leading empirical illustration of the "system's apparently inexorable tendency toward growth" (p. 56).</t>
        </is>
      </c>
    </row>
    <row r="26">
      <c r="A26" t="inlineStr"/>
    </row>
    <row r="27">
      <c r="A27" t="inlineStr">
        <is>
          <t>## 2. Why it matters in Chapter 2</t>
        </is>
      </c>
    </row>
    <row r="28">
      <c r="A28" t="inlineStr"/>
    </row>
    <row r="29">
      <c r="A29" t="inlineStr">
        <is>
          <t>Chapter 2 introduces the empirical backbone of the book — the secular regularity of capitalist growth over 150 years, the persistence of cyclical fluctuations within that trend, and the magnitude of crises that punctuate it (the Long Depression, the Great Depression, the 1970s stagflation, the 2007–2009 crisis). The industrial production index, more than GDP, is the cleanest available real-output series running back to the antebellum period; it is therefore the natural choice for Shaikh's opening figure.</t>
        </is>
      </c>
    </row>
    <row r="30">
      <c r="A30" t="inlineStr"/>
    </row>
    <row r="31">
      <c r="A31" t="inlineStr">
        <is>
          <t>## 3. Sources (per subseries)</t>
        </is>
      </c>
    </row>
    <row r="32">
      <c r="A32" t="inlineStr"/>
    </row>
    <row r="33">
      <c r="A33" t="inlineStr">
        <is>
          <t>| Subseries | Coverage | Publisher / Series ID | Native units | Retrieval |</t>
        </is>
      </c>
    </row>
    <row r="34">
      <c r="A34" t="inlineStr">
        <is>
          <t>|---|---|---|---|---|</t>
        </is>
      </c>
    </row>
    <row r="35">
      <c r="A35" t="inlineStr">
        <is>
          <t>| **S201-A** | 1860–1918 | BEA, *Long Term Economic Growth, 1860–1965* (1966), Table A15 / Series A173 | Index 1913=100 | Salvaged chopped table `Appendix2_IndustrialProduction.xlsx` (column `IndProdHS_BEA`) |</t>
        </is>
      </c>
    </row>
    <row r="36">
      <c r="A36" t="inlineStr">
        <is>
          <t>| **S201-B** | 1919–2010 | Federal Reserve Board (FRB), Statistical Release G.17, *Industrial Production Index — All Industries* | Originally Index 2007=100 (now 2017=100) | Salvaged chopped table (column `IndProd_FRB`) — values as Shaikh retrieved them, ~2011 |</t>
        </is>
      </c>
    </row>
    <row r="37">
      <c r="A37" t="inlineStr">
        <is>
          <t>| **S201-C** | 2011–2025 | Federal Reserve Economic Data (FRED), series ID `INDPRO` (which is the FRB G.17 series republished by St. Louis Fed) | Index 2017=100 | Live API: `https://api.stlouisfed.org/fred/series/observations?series_id=INDPRO`; annual frequency = simple mean of monthly values |</t>
        </is>
      </c>
    </row>
    <row r="38">
      <c r="A38" t="inlineStr"/>
    </row>
    <row r="39">
      <c r="A39" t="inlineStr">
        <is>
          <t>The Phase 4 adequacy review confirmed FRB G.17 and FRED INDPRO both return HTTP 200 on the relevant endpoints, justifying the `ready_for_phase5` classification.</t>
        </is>
      </c>
    </row>
    <row r="40">
      <c r="A40" t="inlineStr"/>
    </row>
    <row r="41">
      <c r="A41" t="inlineStr">
        <is>
          <t>## 4. Construction</t>
        </is>
      </c>
    </row>
    <row r="42">
      <c r="A42" t="inlineStr"/>
    </row>
    <row r="43">
      <c r="A43" t="inlineStr">
        <is>
          <t>S201 is **composite** in the Anu sense: a single output series assembled from multiple non-overlapping (or overlapping-but-anchored) inputs. The construction recipe — exactly as Shaikh describes on book p. 763 — is:</t>
        </is>
      </c>
    </row>
    <row r="44">
      <c r="A44" t="inlineStr"/>
    </row>
    <row r="45">
      <c r="A45" t="inlineStr">
        <is>
          <t>1. **Load** S201-A (BEA LTEG, Index 1913=100) for years 1860–1959.</t>
        </is>
      </c>
    </row>
    <row r="46">
      <c r="A46" t="inlineStr">
        <is>
          <t>2. **Load** S201-B (FRB G.17, Index 2007=100 as originally retrieved) for years 1919–2010.</t>
        </is>
      </c>
    </row>
    <row r="47">
      <c r="A47" t="inlineStr">
        <is>
          <t>3. **Rebase** S201-A: scale factor `100 / BEA_1958` (~`100 / 457.0` = `0.21882`) — produces `IndProdHS1_BEA`.</t>
        </is>
      </c>
    </row>
    <row r="48">
      <c r="A48" t="inlineStr">
        <is>
          <t>4. **Rebase** S201-B: scale factor `100 / FRB_1958` (~`100 / 20.22705` = `4.94388`) — produces `IndProd1_FRB`.</t>
        </is>
      </c>
    </row>
    <row r="49">
      <c r="A49" t="inlineStr">
        <is>
          <t>5. **Splice at 1919**: use S201-B (FRB, rebased) from 1919 onward; use S201-A (BEA, rebased) for 1860–1918. *Note: at the splice year 1919 the two rebased series differ slightly (BEA = 24.77, FRB = 24.31) — Shaikh uses the FRB value, not an average.*</t>
        </is>
      </c>
    </row>
    <row r="50">
      <c r="A50" t="inlineStr">
        <is>
          <t>6. **Extend (Phase 6)** with S201-C (FRED INDPRO) for 2011–2025, anchored at the most recent overlap year so the post-2010 segment is on the same 1958=100 base. See `S201_EPR.md`.</t>
        </is>
      </c>
    </row>
    <row r="51">
      <c r="A51" t="inlineStr"/>
    </row>
    <row r="52">
      <c r="A52" t="inlineStr">
        <is>
          <t>**Formula** (none — composite, no algebraic combination):</t>
        </is>
      </c>
    </row>
    <row r="53">
      <c r="A53" t="inlineStr">
        <is>
          <t>```</t>
        </is>
      </c>
    </row>
    <row r="54">
      <c r="A54" t="inlineStr">
        <is>
          <t>S201[year] =</t>
        </is>
      </c>
    </row>
    <row r="55">
      <c r="A55" t="inlineStr">
        <is>
          <t xml:space="preserve">  IF year in [1860, 1918] : BEA_LTEG_A173[year] * (100 / BEA_LTEG_A173[1958])</t>
        </is>
      </c>
    </row>
    <row r="56">
      <c r="A56" t="inlineStr">
        <is>
          <t xml:space="preserve">  IF year in [1919, 2010] : FRB_G17[year]       * (100 / FRB_G17[1958])</t>
        </is>
      </c>
    </row>
    <row r="57">
      <c r="A57" t="inlineStr">
        <is>
          <t xml:space="preserve">  IF year in [2011, 2025] : FRED_INDPRO[year]   * (S201_processed[overlap_year] / FRED_INDPRO[overlap_year])</t>
        </is>
      </c>
    </row>
    <row r="58">
      <c r="A58" t="inlineStr">
        <is>
          <t>```</t>
        </is>
      </c>
    </row>
    <row r="59">
      <c r="A59" t="inlineStr"/>
    </row>
    <row r="60">
      <c r="A60" t="inlineStr">
        <is>
          <t>## 5. Year coverage</t>
        </is>
      </c>
    </row>
    <row r="61">
      <c r="A61" t="inlineStr"/>
    </row>
    <row r="62">
      <c r="A62" t="inlineStr">
        <is>
          <t>- **Book period**: 1860–2010 (inclusive, annual) — 151 observations</t>
        </is>
      </c>
    </row>
    <row r="63">
      <c r="A63" t="inlineStr">
        <is>
          <t>- **Extension period**: 2011–2025 (inclusive, annual) — 15 observations</t>
        </is>
      </c>
    </row>
    <row r="64">
      <c r="A64" t="inlineStr">
        <is>
          <t>- **Total coverage**: 1860–2025 — 166 observations</t>
        </is>
      </c>
    </row>
    <row r="65">
      <c r="A65" t="inlineStr">
        <is>
          <t>- **Gaps**: none expected in the book period (BEA LTEG covers continuously 1860–1965; FRB G.17 covers continuously 1919–present). If FRED API is unavailable at runtime, the loader degrades gracefully and S201 is published 1860–2010 only with status `extension_unavailable: api_key_missing` in the registry.</t>
        </is>
      </c>
    </row>
    <row r="66">
      <c r="A66" t="inlineStr"/>
    </row>
    <row r="67">
      <c r="A67" t="inlineStr">
        <is>
          <t>## 6. Units</t>
        </is>
      </c>
    </row>
    <row r="68">
      <c r="A68" t="inlineStr"/>
    </row>
    <row r="69">
      <c r="A69" t="inlineStr">
        <is>
          <t>- **S201 (final)**: Index, 1958 = 100.</t>
        </is>
      </c>
    </row>
    <row r="70">
      <c r="A70" t="inlineStr">
        <is>
          <t>- Every chopped CSV row carries the unit string `"index_1958=100"` in the registry; every parquet file embeds it in pandas-level metadata; every extenbook records it in the `Sources` sheet.</t>
        </is>
      </c>
    </row>
    <row r="71">
      <c r="A71" t="inlineStr"/>
    </row>
    <row r="72">
      <c r="A72" t="inlineStr">
        <is>
          <t>## 7. Caveats</t>
        </is>
      </c>
    </row>
    <row r="73">
      <c r="A73" t="inlineStr"/>
    </row>
    <row r="74">
      <c r="A74" t="inlineStr">
        <is>
          <t>1. **Splice gap at 1919 (~1.9%).** The BEA-rebased and FRB-rebased values at 1919 disagree by ~0.46 index points (24.77 vs 24.31). Shaikh explicitly uses the FRB value (per Appendix 2.1 documentation). No interpolation or averaging — `IndProd_Final[1919] = IndProd1_FRB[1919]`.</t>
        </is>
      </c>
    </row>
    <row r="75">
      <c r="A75" t="inlineStr">
        <is>
          <t>2. **BEA LTEG (1966) is out of print.** Shaikh's source is the original 1966 print volume. The numerical values are preserved in the salvaged chopped table (column `IndProdHS_BEA`), which is the authoritative source for the 1860–1918 segment of this replication. We do not attempt to re-digitize from microfilm.</t>
        </is>
      </c>
    </row>
    <row r="76">
      <c r="A76" t="inlineStr">
        <is>
          <t>3. **FRED INDPRO base year drift.** FRED rebases INDPRO periodically (2007 → 2012 → 2017 base most recently). The level of the raw FRED values changes when rebased, but the *ratios* are preserved, so an overlap-anchor reindex always recovers a 1958=100 series. We reindex on every load — never cache the rebased values across runs.</t>
        </is>
      </c>
    </row>
    <row r="77">
      <c r="A77" t="inlineStr">
        <is>
          <t>4. **Annual aggregation method.** FRB G.17 is published monthly. The book uses the annual average (arithmetic mean of 12 months). FRED's `frequency=a, aggregation_method=avg` parameter reproduces this directly.</t>
        </is>
      </c>
    </row>
    <row r="78">
      <c r="A78" t="inlineStr">
        <is>
          <t>5. **No proxy substitution.** FRED INDPRO **is** the FRB G.17 series, redistributed by St. Louis Fed under a public-domain license. There is no proxy here — same agency, same release, same concept — so the registry records `"proxy": false`.</t>
        </is>
      </c>
    </row>
    <row r="79">
      <c r="A79" t="inlineStr">
        <is>
          <t>6. **Discontinued?** No. As of the date of this DPR, FRB G.17 continues to publish monthly Industrial Production data and FRED republishes it without latency. Should the series ever be discontinued, the EPR documents the replacement path.</t>
        </is>
      </c>
    </row>
    <row r="80">
      <c r="A80" t="inlineStr"/>
    </row>
    <row r="81">
      <c r="A81" t="inlineStr">
        <is>
          <t>## 8. Cross-references</t>
        </is>
      </c>
    </row>
    <row r="82">
      <c r="A82" t="inlineStr"/>
    </row>
    <row r="83">
      <c r="A83" t="inlineStr">
        <is>
          <t>- **CD legacy ID**: `S001` (same concept, frozen)</t>
        </is>
      </c>
    </row>
    <row r="84">
      <c r="A84" t="inlineStr">
        <is>
          <t>- **CD2 legacy ID**: `S001` (same concept, frozen; values divergent — CD2 used a different reindex anchor for FRB; see V03 validator output)</t>
        </is>
      </c>
    </row>
    <row r="85">
      <c r="A85" t="inlineStr">
        <is>
          <t>- **Predecessor artifact**: `SalvagedInputs/extension_benchmarks/CD2_v1.3/Series/S001_us_industrial_production_index.xlsx`</t>
        </is>
      </c>
    </row>
    <row r="86">
      <c r="A86" t="inlineStr">
        <is>
          <t>- **Book reference**: Shaikh (2016), Ch. 2, p. 56 (text), p. 57 (Figure 2.1), p. 763 (Appendix 2.1, source documentation)</t>
        </is>
      </c>
    </row>
    <row r="87">
      <c r="A87" t="inlineStr">
        <is>
          <t>- **Knowledge Base**: see `SalvagedInputs/figures_reference/HDARP_SERIES_LINKAGE.json` → Fig2.1 entry</t>
        </is>
      </c>
    </row>
    <row r="88">
      <c r="A88" t="inlineStr"/>
    </row>
    <row r="89">
      <c r="A89" t="inlineStr">
        <is>
          <t>## 9. Validation expectation</t>
        </is>
      </c>
    </row>
    <row r="90">
      <c r="A90" t="inlineStr"/>
    </row>
    <row r="91">
      <c r="A91" t="inlineStr">
        <is>
          <t>- **Tolerance**: ±1.0% per year, computed as `abs(S201[y] - book_chopped[y]) / book_chopped[y]`, on the overlap range 1860–2010.</t>
        </is>
      </c>
    </row>
    <row r="92">
      <c r="A92" t="inlineStr">
        <is>
          <t>- **Expected MAE** (against the book chopped table `IndProd_Final` column): &lt; 0.1% (we recompute Shaikh's exact recipe from his exact source columns).</t>
        </is>
      </c>
    </row>
    <row r="93">
      <c r="A93" t="inlineStr">
        <is>
          <t>- **Expected divergence vs CD2's S001**: ~1–2% post-1919, because CD2 used a different reindex anchor. This is *not* a failure of S201 — it is evidence that CD2 deviated from the book recipe.</t>
        </is>
      </c>
    </row>
    <row r="96">
      <c r="A96" s="4">
        <f>== EPR: S201_EPR.md ===</f>
        <v/>
      </c>
    </row>
    <row r="97">
      <c r="A97" t="inlineStr">
        <is>
          <t># S201 — Extension Provenance Record</t>
        </is>
      </c>
    </row>
    <row r="98">
      <c r="A98" t="inlineStr"/>
    </row>
    <row r="99">
      <c r="A99" t="inlineStr">
        <is>
          <t>**Series**: S201 — US Industrial Production Index</t>
        </is>
      </c>
    </row>
    <row r="100">
      <c r="A100" t="inlineStr">
        <is>
          <t>**Phase**: 6 (Extension)</t>
        </is>
      </c>
    </row>
    <row r="101">
      <c r="A101" t="inlineStr">
        <is>
          <t>**Construction classification**: `composite`</t>
        </is>
      </c>
    </row>
    <row r="102">
      <c r="A102" t="inlineStr">
        <is>
          <t>**Extension method**: direct continuation of one of the book's source components (FRB G.17 → FRED INDPRO), reindexed to 1958=100 at the 2010 overlap year</t>
        </is>
      </c>
    </row>
    <row r="103">
      <c r="A103" t="inlineStr">
        <is>
          <t>**Authored**: 2026-05-18</t>
        </is>
      </c>
    </row>
    <row r="104">
      <c r="A104" t="inlineStr">
        <is>
          <t>**Author**: opus-pilot-S201</t>
        </is>
      </c>
    </row>
    <row r="105">
      <c r="A105" t="inlineStr">
        <is>
          <t>**Related**: `S201_DPR.md`, `Technical/research/S201_research.json`, `Technical/SUBSOURCE_METADATA.json`</t>
        </is>
      </c>
    </row>
    <row r="106">
      <c r="A106" t="inlineStr"/>
    </row>
    <row r="107">
      <c r="A107" t="inlineStr">
        <is>
          <t>---</t>
        </is>
      </c>
    </row>
    <row r="108">
      <c r="A108" t="inlineStr"/>
    </row>
    <row r="109">
      <c r="A109" t="inlineStr">
        <is>
          <t>## 1. Why this series is extendable</t>
        </is>
      </c>
    </row>
    <row r="110">
      <c r="A110" t="inlineStr"/>
    </row>
    <row r="111">
      <c r="A111" t="inlineStr">
        <is>
          <t>S201 is a `time_series` series (per registry `content_type`). All three components are continuously published government indices; the modern half of the book period (1919–2010) is the **FRB G.17 Industrial Production Index**, which the Federal Reserve Board has produced monthly without interruption since 1919. FRED republishes the FRB release as `INDPRO`. The extension is therefore a continuation of the **same time series** Shaikh used for the back half of his Figure 2.1.</t>
        </is>
      </c>
    </row>
    <row r="112">
      <c r="A112" t="inlineStr"/>
    </row>
    <row r="113">
      <c r="A113" t="inlineStr">
        <is>
          <t>## 2. Construction classification</t>
        </is>
      </c>
    </row>
    <row r="114">
      <c r="A114" t="inlineStr"/>
    </row>
    <row r="115">
      <c r="A115" t="inlineStr">
        <is>
          <t>Per the Anu rule on lazy splices:</t>
        </is>
      </c>
    </row>
    <row r="116">
      <c r="A116" t="inlineStr"/>
    </row>
    <row r="117">
      <c r="A117" t="inlineStr">
        <is>
          <t>&gt; "Growth-rate splice is ONLY valid when the original series was itself a directly-observed time series. If the original computed a formula, the extension must compute the same formula with extended component data."</t>
        </is>
      </c>
    </row>
    <row r="118">
      <c r="A118" t="inlineStr"/>
    </row>
    <row r="119">
      <c r="A119" t="inlineStr">
        <is>
          <t>S201 is `composite`, not `formula`. The book's published series is a splice of two directly-observed indices. The lazy-splice prohibition therefore does **not** require us to recompute a formula; it requires us to re-fetch the same observed component (FRB G.17, now via FRED INDPRO) and append it on the same base.</t>
        </is>
      </c>
    </row>
    <row r="120">
      <c r="A120" t="inlineStr"/>
    </row>
    <row r="121">
      <c r="A121" t="inlineStr">
        <is>
          <t>**This is allowed because**: extension uses the *same observational series* the book used — not a growth rate computed on top of a derived quantity.</t>
        </is>
      </c>
    </row>
    <row r="122">
      <c r="A122" t="inlineStr"/>
    </row>
    <row r="123">
      <c r="A123" t="inlineStr">
        <is>
          <t>## 3. Method</t>
        </is>
      </c>
    </row>
    <row r="124">
      <c r="A124" t="inlineStr"/>
    </row>
    <row r="125">
      <c r="A125" t="inlineStr">
        <is>
          <t>```</t>
        </is>
      </c>
    </row>
    <row r="126">
      <c r="A126" t="inlineStr">
        <is>
          <t>INPUTS</t>
        </is>
      </c>
    </row>
    <row r="127">
      <c r="A127" t="inlineStr">
        <is>
          <t xml:space="preserve">  S201_book   = processed series from Phase 7 P02, 1860–2010, base 1958=100</t>
        </is>
      </c>
    </row>
    <row r="128">
      <c r="A128" t="inlineStr">
        <is>
          <t xml:space="preserve">  FRED_INDPRO_raw = pulled from FRED API, frequency=annual avg, native base 2017=100</t>
        </is>
      </c>
    </row>
    <row r="129">
      <c r="A129" t="inlineStr">
        <is>
          <t xml:space="preserve">                    (St. Louis Fed republishes FRB G.17, identical underlying series)</t>
        </is>
      </c>
    </row>
    <row r="130">
      <c r="A130" t="inlineStr"/>
    </row>
    <row r="131">
      <c r="A131" t="inlineStr">
        <is>
          <t>OVERLAP CHECK</t>
        </is>
      </c>
    </row>
    <row r="132">
      <c r="A132" t="inlineStr">
        <is>
          <t xml:space="preserve">  overlap_year = 2010</t>
        </is>
      </c>
    </row>
    <row r="133">
      <c r="A133" t="inlineStr">
        <is>
          <t xml:space="preserve">  Assert: S201_book[2010] is not NaN AND FRED_INDPRO_raw[2010] is not NaN</t>
        </is>
      </c>
    </row>
    <row r="134">
      <c r="A134" t="inlineStr">
        <is>
          <t xml:space="preserve">  If either is NaN, fall back to next overlap candidate: 2009, then 2008, ...</t>
        </is>
      </c>
    </row>
    <row r="135">
      <c r="A135" t="inlineStr">
        <is>
          <t xml:space="preserve">  If no overlap in 2005–2010, FAIL — do not splice.</t>
        </is>
      </c>
    </row>
    <row r="136">
      <c r="A136" t="inlineStr"/>
    </row>
    <row r="137">
      <c r="A137" t="inlineStr">
        <is>
          <t>REINDEX</t>
        </is>
      </c>
    </row>
    <row r="138">
      <c r="A138" t="inlineStr">
        <is>
          <t xml:space="preserve">  scale_factor = S201_book[overlap_year] / FRED_INDPRO_raw[overlap_year]</t>
        </is>
      </c>
    </row>
    <row r="139">
      <c r="A139" t="inlineStr">
        <is>
          <t xml:space="preserve">  S201-C[year] = FRED_INDPRO_raw[year] * scale_factor   for year in [2011, 2025]</t>
        </is>
      </c>
    </row>
    <row r="140">
      <c r="A140" t="inlineStr"/>
    </row>
    <row r="141">
      <c r="A141" t="inlineStr">
        <is>
          <t>SPLICE</t>
        </is>
      </c>
    </row>
    <row r="142">
      <c r="A142" t="inlineStr">
        <is>
          <t xml:space="preserve">  S201_extended[year] = S201_book[year]   for year in [1860, 2010]</t>
        </is>
      </c>
    </row>
    <row r="143">
      <c r="A143" t="inlineStr">
        <is>
          <t xml:space="preserve">  S201_extended[year] = S201-C[year]      for year in [2011, 2025]</t>
        </is>
      </c>
    </row>
    <row r="144">
      <c r="A144" t="inlineStr"/>
    </row>
    <row r="145">
      <c r="A145" t="inlineStr">
        <is>
          <t>OUTPUT</t>
        </is>
      </c>
    </row>
    <row r="146">
      <c r="A146" t="inlineStr">
        <is>
          <t xml:space="preserve">  S201_extended is the final series, annual, 1860–2025, 1958=100</t>
        </is>
      </c>
    </row>
    <row r="147">
      <c r="A147" t="inlineStr">
        <is>
          <t>```</t>
        </is>
      </c>
    </row>
    <row r="148">
      <c r="A148" t="inlineStr"/>
    </row>
    <row r="149">
      <c r="A149" t="inlineStr">
        <is>
          <t>### 3.1 The reindex calculation — worked example</t>
        </is>
      </c>
    </row>
    <row r="150">
      <c r="A150" t="inlineStr"/>
    </row>
    <row r="151">
      <c r="A151" t="inlineStr">
        <is>
          <t>Suppose at runtime FRED returns:</t>
        </is>
      </c>
    </row>
    <row r="152">
      <c r="A152" t="inlineStr">
        <is>
          <t>- `FRED_INDPRO[2010] = 87.4124` (on 2017=100 base, annual avg)</t>
        </is>
      </c>
    </row>
    <row r="153">
      <c r="A153" t="inlineStr">
        <is>
          <t>- `S201_book[2010]   = 445.2739` (Shaikh's value, 1958=100)</t>
        </is>
      </c>
    </row>
    <row r="154">
      <c r="A154" t="inlineStr"/>
    </row>
    <row r="155">
      <c r="A155" t="inlineStr">
        <is>
          <t>Then:</t>
        </is>
      </c>
    </row>
    <row r="156">
      <c r="A156" t="inlineStr">
        <is>
          <t>- `scale_factor = 445.2739 / 87.4124 = 5.0939`</t>
        </is>
      </c>
    </row>
    <row r="157">
      <c r="A157" t="inlineStr">
        <is>
          <t>- For any year 2011–2025: `S201-C[year] = FRED_INDPRO[year] * 5.0939`</t>
        </is>
      </c>
    </row>
    <row r="158">
      <c r="A158" t="inlineStr"/>
    </row>
    <row r="159">
      <c r="A159" t="inlineStr">
        <is>
          <t>The scale factor depends on FRED's current base year — every time FRED rebases (~5-year cadence), the *level* changes but the ratios stay constant. Recomputing the scale factor on every run from the **live overlap** is what keeps the splice base-invariant.</t>
        </is>
      </c>
    </row>
    <row r="160">
      <c r="A160" t="inlineStr"/>
    </row>
    <row r="161">
      <c r="A161" t="inlineStr">
        <is>
          <t>## 4. Component re-fetching</t>
        </is>
      </c>
    </row>
    <row r="162">
      <c r="A162" t="inlineStr"/>
    </row>
    <row r="163">
      <c r="A163" t="inlineStr">
        <is>
          <t>Per the composite construction rule, the extension does *not* simply append a growth rate to S201's 2010 value. It re-fetches FRED INDPRO (= the same FRB G.17 series) and re-indexes the entire post-book segment from FRED's level to the book's 1958 base via the overlap-anchor. If FRED ever rebases mid-pipeline, the next loader run pulls fresh values and the splice is recomputed — no stale level survives across runs.</t>
        </is>
      </c>
    </row>
    <row r="164">
      <c r="A164" t="inlineStr"/>
    </row>
    <row r="165">
      <c r="A165" t="inlineStr">
        <is>
          <t>## 5. Proxies</t>
        </is>
      </c>
    </row>
    <row r="166">
      <c r="A166" t="inlineStr"/>
    </row>
    <row r="167">
      <c r="A167" t="inlineStr">
        <is>
          <t>**None.** FRED INDPRO is not a proxy for FRB G.17 — it IS FRB G.17, republished by St. Louis Fed with negligible latency under the same public-domain license. The registry records `"proxy": false` on S201-C with `"proxy_justification": null`. This is documented here so a future reviewer does not flag S201-C as a substitution.</t>
        </is>
      </c>
    </row>
    <row r="168">
      <c r="A168" t="inlineStr"/>
    </row>
    <row r="169">
      <c r="A169" t="inlineStr">
        <is>
          <t>## 6. Synthetic data</t>
        </is>
      </c>
    </row>
    <row r="170">
      <c r="A170" t="inlineStr"/>
    </row>
    <row r="171">
      <c r="A171" t="inlineStr">
        <is>
          <t>**None permitted.** If FRED returns NaN for any year (e.g., the most recent year before the annual aggregate is finalized — FRED publishes "annual" only after Dec data lands), that NaN propagates to S201. No interpolation, no carry-forward, no projection.</t>
        </is>
      </c>
    </row>
    <row r="172">
      <c r="A172" t="inlineStr"/>
    </row>
    <row r="173">
      <c r="A173" t="inlineStr">
        <is>
          <t>## 7. Failure modes &amp; graceful degradation</t>
        </is>
      </c>
    </row>
    <row r="174">
      <c r="A174" t="inlineStr"/>
    </row>
    <row r="175">
      <c r="A175" t="inlineStr">
        <is>
          <t>| Failure | Detection | Action |</t>
        </is>
      </c>
    </row>
    <row r="176">
      <c r="A176" t="inlineStr">
        <is>
          <t>|---|---|---|</t>
        </is>
      </c>
    </row>
    <row r="177">
      <c r="A177" t="inlineStr">
        <is>
          <t>| `FRED_API_KEY` not set | `S00_config` raises at startup if `--series S201` requested | Loader returns `{status: degraded, fred: skipped}`; processor publishes 1860–2010 only; registry stamped `extension_status: api_key_missing` |</t>
        </is>
      </c>
    </row>
    <row r="178">
      <c r="A178" t="inlineStr">
        <is>
          <t>| FRED API returns non-200 | `S00_apis.fred_get()` raises | Loader retries 3× w/ 2s backoff; if still failing, same degradation as above |</t>
        </is>
      </c>
    </row>
    <row r="179">
      <c r="A179" t="inlineStr">
        <is>
          <t>| FRED cache stale (&gt; 30 days) | `S00_cache.is_fresh()` returns False | Loader refetches; cache hit only when within TTL |</t>
        </is>
      </c>
    </row>
    <row r="180">
      <c r="A180" t="inlineStr">
        <is>
          <t>| FRED returns NaN at overlap_year=2010 | Processor checks | Walk back: try 2009, 2008, …, 2005; if none, FAIL hard (don't silently splice on wrong year) |</t>
        </is>
      </c>
    </row>
    <row r="181">
      <c r="A181" t="inlineStr">
        <is>
          <t>| FRED returns fewer years than expected | Processor checks | Publish only the years FRED returned; NaN fill the rest; registry stamped `extension_partial` with `last_year_observed` |</t>
        </is>
      </c>
    </row>
    <row r="182">
      <c r="A182" t="inlineStr"/>
    </row>
    <row r="183">
      <c r="A183" t="inlineStr">
        <is>
          <t>## 8. Splice diagnostics (reported by V03)</t>
        </is>
      </c>
    </row>
    <row r="184">
      <c r="A184" t="inlineStr"/>
    </row>
    <row r="185">
      <c r="A185" t="inlineStr">
        <is>
          <t>V03 validator emits, in addition to PASS/FAIL:</t>
        </is>
      </c>
    </row>
    <row r="186">
      <c r="A186" t="inlineStr"/>
    </row>
    <row r="187">
      <c r="A187" t="inlineStr">
        <is>
          <t>- The scale_factor actually used at runtime</t>
        </is>
      </c>
    </row>
    <row r="188">
      <c r="A188" t="inlineStr">
        <is>
          <t>- The overlap year actually used</t>
        </is>
      </c>
    </row>
    <row r="189">
      <c r="A189" t="inlineStr">
        <is>
          <t>- The number of post-2010 years observed</t>
        </is>
      </c>
    </row>
    <row r="190">
      <c r="A190" t="inlineStr">
        <is>
          <t>- The latest year published</t>
        </is>
      </c>
    </row>
    <row r="191">
      <c r="A191" t="inlineStr">
        <is>
          <t>- Whether the level continuity at the splice (2010→2011 growth rate) is within the historical 1-year band (±30%)</t>
        </is>
      </c>
    </row>
    <row r="192">
      <c r="A192" t="inlineStr"/>
    </row>
    <row r="193">
      <c r="A193" t="inlineStr">
        <is>
          <t>## 9. CD2 divergence</t>
        </is>
      </c>
    </row>
    <row r="194">
      <c r="A194" t="inlineStr"/>
    </row>
    <row r="195">
      <c r="A195" t="inlineStr">
        <is>
          <t>CD2's `S001-D [R:1958]` reindexed FRB G.17 differently — using FRED's 2017-base values rather than Shaikh's own FRB-1958 anchor. As a result CD2's 2010 value is ~453.7 vs the book chopped table's 445.3 (1.9% high). S201 reproduces the **book's** recipe exactly, so an intentional ~1.9% divergence from CD2 in the 1919–2010 segment is expected and acceptable.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4" customWidth="1" min="1" max="1"/>
    <col width="16" customWidth="1" min="2" max="2"/>
    <col width="62" customWidth="1" min="3" max="3"/>
    <col width="62" customWidth="1" min="4" max="4"/>
    <col width="46" customWidth="1" min="5" max="5"/>
    <col width="62" customWidth="1" min="6" max="6"/>
    <col width="62" customWidth="1" min="7" max="7"/>
    <col width="62" customWidth="1" min="8" max="8"/>
    <col width="40"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S201-A</t>
        </is>
      </c>
      <c r="B2" t="inlineStr">
        <is>
          <t>BEA_LTEG_1966</t>
        </is>
      </c>
      <c r="C2" t="inlineStr">
        <is>
          <t>Long Term Economic Growth, 1860–1965: A Statistical Compendium</t>
        </is>
      </c>
      <c r="D2" t="inlineStr">
        <is>
          <t>U.S. Department of Commerce, Bureau of Economic Analysis (then Office of Business Economics)</t>
        </is>
      </c>
      <c r="E2" t="inlineStr"/>
      <c r="F2" t="inlineStr">
        <is>
          <t>Index, 1913=100</t>
        </is>
      </c>
      <c r="G2" t="inlineStr">
        <is>
          <t>annual</t>
        </is>
      </c>
      <c r="H2" t="inlineStr">
        <is>
          <t>Public domain (U.S. federal government work)</t>
        </is>
      </c>
      <c r="I2" t="inlineStr">
        <is>
          <t>salvaged_chopped_table</t>
        </is>
      </c>
    </row>
    <row r="3">
      <c r="A3" t="inlineStr">
        <is>
          <t>S201-B</t>
        </is>
      </c>
      <c r="B3" t="inlineStr">
        <is>
          <t>FRB_G17_INDPRO</t>
        </is>
      </c>
      <c r="C3" t="inlineStr">
        <is>
          <t>Industrial Production and Capacity Utilization (G.17 Statistical Release) — Industrial Production Index, Total Index</t>
        </is>
      </c>
      <c r="D3" t="inlineStr">
        <is>
          <t>Board of Governors of the Federal Reserve System</t>
        </is>
      </c>
      <c r="E3" t="inlineStr">
        <is>
          <t>https://www.federalreserve.gov/releases/g17/</t>
        </is>
      </c>
      <c r="F3" t="inlineStr">
        <is>
          <t>Index, 2017=100 (current base; historically rebased every ~5 years)</t>
        </is>
      </c>
      <c r="G3" t="inlineStr">
        <is>
          <t>monthly (annual averages computed by simple mean of months)</t>
        </is>
      </c>
      <c r="H3" t="inlineStr">
        <is>
          <t>Public domain (U.S. federal government work)</t>
        </is>
      </c>
      <c r="I3" t="inlineStr">
        <is>
          <t>salvaged_chopped_table_for_book_period</t>
        </is>
      </c>
    </row>
    <row r="4">
      <c r="A4" t="inlineStr">
        <is>
          <t>S201-C</t>
        </is>
      </c>
      <c r="B4" t="inlineStr">
        <is>
          <t>FRED_INDPRO</t>
        </is>
      </c>
      <c r="C4" t="inlineStr">
        <is>
          <t>Industrial Production: Total Index (INDPRO)</t>
        </is>
      </c>
      <c r="D4" t="inlineStr">
        <is>
          <t>Federal Reserve Bank of St. Louis (republishing Board of Governors FRB G.17)</t>
        </is>
      </c>
      <c r="E4" t="inlineStr">
        <is>
          <t>https://fred.stlouisfed.org/series/INDPRO</t>
        </is>
      </c>
      <c r="F4" t="inlineStr">
        <is>
          <t>Index, 2017=100 (mirrors FRB G.17 base)</t>
        </is>
      </c>
      <c r="G4" t="inlineStr">
        <is>
          <t>monthly (FRED also offers a precomputed annual frequency = arithmetic mean of months)</t>
        </is>
      </c>
      <c r="H4" t="inlineStr">
        <is>
          <t>Public domain (U.S. federal government work; FRED redistribution permitted)</t>
        </is>
      </c>
      <c r="I4" t="inlineStr">
        <is>
          <t>api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9" customWidth="1" min="1" max="1"/>
    <col width="62" customWidth="1" min="2" max="2"/>
  </cols>
  <sheetData>
    <row r="1">
      <c r="A1" s="1" t="inlineStr">
        <is>
          <t>S201 — Validation</t>
        </is>
      </c>
    </row>
    <row r="2"/>
    <row r="3">
      <c r="A3" s="2" t="inlineStr">
        <is>
          <t>field</t>
        </is>
      </c>
      <c r="B3" s="2" t="inlineStr">
        <is>
          <t>value</t>
        </is>
      </c>
    </row>
    <row r="4">
      <c r="A4" t="inlineStr">
        <is>
          <t>status</t>
        </is>
      </c>
      <c r="B4" t="inlineStr">
        <is>
          <t>PASS</t>
        </is>
      </c>
    </row>
    <row r="5">
      <c r="A5" t="inlineStr">
        <is>
          <t>tolerance_pct</t>
        </is>
      </c>
      <c r="B5" t="n">
        <v>1</v>
      </c>
    </row>
    <row r="6">
      <c r="A6" t="inlineStr">
        <is>
          <t>compare_range</t>
        </is>
      </c>
      <c r="B6" t="inlineStr">
        <is>
          <t>[1860, 2010]</t>
        </is>
      </c>
    </row>
    <row r="7">
      <c r="A7" t="inlineStr">
        <is>
          <t>n_compared</t>
        </is>
      </c>
      <c r="B7" t="n">
        <v>151</v>
      </c>
    </row>
    <row r="8">
      <c r="A8" t="inlineStr">
        <is>
          <t>mae</t>
        </is>
      </c>
      <c r="B8" t="n">
        <v>0</v>
      </c>
    </row>
    <row r="9">
      <c r="A9" t="inlineStr">
        <is>
          <t>max_abs_err</t>
        </is>
      </c>
      <c r="B9" t="n">
        <v>0</v>
      </c>
    </row>
    <row r="10">
      <c r="A10" t="inlineStr">
        <is>
          <t>max_pct_err</t>
        </is>
      </c>
      <c r="B10" t="n">
        <v>0</v>
      </c>
    </row>
    <row r="11">
      <c r="A11" t="inlineStr">
        <is>
          <t>divergence_years</t>
        </is>
      </c>
      <c r="B11" t="inlineStr">
        <is>
          <t>[]</t>
        </is>
      </c>
    </row>
    <row r="12">
      <c r="A12" t="inlineStr">
        <is>
          <t>divergence_count</t>
        </is>
      </c>
      <c r="B12" t="n">
        <v>0</v>
      </c>
    </row>
    <row r="13">
      <c r="A13" t="inlineStr">
        <is>
          <t>cd2_comparison</t>
        </is>
      </c>
      <c r="B13" t="inlineStr">
        <is>
          <t>{"n": 151, "mae": 2.1538481163755026, "max_pct_err": 1.857956139498785, "note": "Informational. CD2 used a different FRB reindex anchor; ~1-2% divergence expected and acceptable."}</t>
        </is>
      </c>
    </row>
    <row r="14">
      <c r="A14" t="inlineStr">
        <is>
          <t>validated_at</t>
        </is>
      </c>
      <c r="B14" t="inlineStr">
        <is>
          <t>2026-07-02T13:18:20.751418+00:00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9" customWidth="1" min="1" max="1"/>
    <col width="7" customWidth="1" min="2" max="2"/>
  </cols>
  <sheetData>
    <row r="1">
      <c r="A1" s="1" t="inlineStr">
        <is>
          <t>S201 — Provenance</t>
        </is>
      </c>
    </row>
    <row r="2"/>
    <row r="3">
      <c r="A3" s="2" t="inlineStr">
        <is>
          <t>field</t>
        </is>
      </c>
      <c r="B3" s="2"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2026-07-02T13:18:28Z</dcterms:created>
  <dcterms:modified xmlns:dcterms="http://purl.org/dc/terms/" xmlns:xsi="http://www.w3.org/2001/XMLSchema-instance" xsi:type="dcterms:W3CDTF">2026-07-02T13:18:28Z</dcterms:modified>
</cp:coreProperties>
</file>
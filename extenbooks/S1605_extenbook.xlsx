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S1605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'Data'!$A$4:$A$41</f>
            </numRef>
          </cat>
          <val>
            <numRef>
              <f>'Data'!$B$4:$B$41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'Data'!$A$4:$A$41</f>
            </numRef>
          </cat>
          <val>
            <numRef>
              <f>'Data'!$C$4:$C$41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'Data'!$A$4:$A$41</f>
            </numRef>
          </cat>
          <val>
            <numRef>
              <f>'Data'!$D$4:$D$41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2" customWidth="1" min="4" max="4"/>
    <col width="19" customWidth="1" min="5" max="5"/>
  </cols>
  <sheetData>
    <row r="1">
      <c r="A1" s="1" t="inlineStr">
        <is>
          <t>S1605 — annual values (long form below pivot)</t>
        </is>
      </c>
    </row>
    <row r="2"/>
    <row r="3">
      <c r="A3" s="2" t="inlineStr">
        <is>
          <t>year</t>
        </is>
      </c>
      <c r="B3" s="2" t="inlineStr">
        <is>
          <t>S1605-A</t>
        </is>
      </c>
      <c r="C3" s="2" t="inlineStr">
        <is>
          <t>S1605-B</t>
        </is>
      </c>
      <c r="D3" s="2" t="inlineStr">
        <is>
          <t>S1605-C</t>
        </is>
      </c>
    </row>
    <row r="4">
      <c r="A4" t="n">
        <v>1975</v>
      </c>
      <c r="B4" t="n">
        <v>734.3</v>
      </c>
      <c r="C4" t="n">
        <v>1187.3</v>
      </c>
      <c r="D4" t="n">
        <v>0.6184620567674556</v>
      </c>
    </row>
    <row r="5">
      <c r="A5" t="n">
        <v>1976</v>
      </c>
      <c r="B5" t="n">
        <v>818.9</v>
      </c>
      <c r="C5" t="n">
        <v>1302.3</v>
      </c>
      <c r="D5" t="n">
        <v>0.6288105659218306</v>
      </c>
    </row>
    <row r="6">
      <c r="A6" t="n">
        <v>1977</v>
      </c>
      <c r="B6" t="n">
        <v>946.7</v>
      </c>
      <c r="C6" t="n">
        <v>1435</v>
      </c>
      <c r="D6" t="n">
        <v>0.6597212543554007</v>
      </c>
    </row>
    <row r="7">
      <c r="A7" t="n">
        <v>1978</v>
      </c>
      <c r="B7" t="n">
        <v>1105.4</v>
      </c>
      <c r="C7" t="n">
        <v>1607.3</v>
      </c>
      <c r="D7" t="n">
        <v>0.6877371990294283</v>
      </c>
    </row>
    <row r="8">
      <c r="A8" t="n">
        <v>1979</v>
      </c>
      <c r="B8" t="n">
        <v>1276.1</v>
      </c>
      <c r="C8" t="n">
        <v>1790.9</v>
      </c>
      <c r="D8" t="n">
        <v>0.7125467641967724</v>
      </c>
    </row>
    <row r="9">
      <c r="A9" t="n">
        <v>1980</v>
      </c>
      <c r="B9" t="n">
        <v>1396</v>
      </c>
      <c r="C9" t="n">
        <v>2002.7</v>
      </c>
      <c r="D9" t="n">
        <v>0.6970589703899736</v>
      </c>
    </row>
    <row r="10">
      <c r="A10" t="n">
        <v>1981</v>
      </c>
      <c r="B10" t="n">
        <v>1507.2</v>
      </c>
      <c r="C10" t="n">
        <v>2237.1</v>
      </c>
      <c r="D10" t="n">
        <v>0.6737293817889232</v>
      </c>
    </row>
    <row r="11">
      <c r="A11" t="n">
        <v>1982</v>
      </c>
      <c r="B11" t="n">
        <v>1576.4</v>
      </c>
      <c r="C11" t="n">
        <v>2412.7</v>
      </c>
      <c r="D11" t="n">
        <v>0.6533758859369172</v>
      </c>
    </row>
    <row r="12">
      <c r="A12" t="n">
        <v>1983</v>
      </c>
      <c r="B12" t="n">
        <v>1732</v>
      </c>
      <c r="C12" t="n">
        <v>2599.8</v>
      </c>
      <c r="D12" t="n">
        <v>0.6662050926994384</v>
      </c>
    </row>
    <row r="13">
      <c r="A13" t="n">
        <v>1984</v>
      </c>
      <c r="B13" t="n">
        <v>1943.3</v>
      </c>
      <c r="C13" t="n">
        <v>2891.5</v>
      </c>
      <c r="D13" t="n">
        <v>0.6720733183468788</v>
      </c>
    </row>
    <row r="14">
      <c r="A14" t="n">
        <v>1985</v>
      </c>
      <c r="B14" t="n">
        <v>2277.8</v>
      </c>
      <c r="C14" t="n">
        <v>3079.3</v>
      </c>
      <c r="D14" t="n">
        <v>0.7397135712661969</v>
      </c>
    </row>
    <row r="15">
      <c r="A15" t="n">
        <v>1986</v>
      </c>
      <c r="B15" t="n">
        <v>2537.3</v>
      </c>
      <c r="C15" t="n">
        <v>3258.8</v>
      </c>
      <c r="D15" t="n">
        <v>0.7785994844728121</v>
      </c>
    </row>
    <row r="16">
      <c r="A16" t="n">
        <v>1987</v>
      </c>
      <c r="B16" t="n">
        <v>2755.1</v>
      </c>
      <c r="C16" t="n">
        <v>3435.3</v>
      </c>
      <c r="D16" t="n">
        <v>0.8019969143888451</v>
      </c>
    </row>
    <row r="17">
      <c r="A17" t="n">
        <v>1988</v>
      </c>
      <c r="B17" t="n">
        <v>3043.6</v>
      </c>
      <c r="C17" t="n">
        <v>3726.3</v>
      </c>
      <c r="D17" t="n">
        <v>0.8167887717038348</v>
      </c>
    </row>
    <row r="18">
      <c r="A18" t="n">
        <v>1989</v>
      </c>
      <c r="B18" t="n">
        <v>3319</v>
      </c>
      <c r="C18" t="n">
        <v>3991.4</v>
      </c>
      <c r="D18" t="n">
        <v>0.8315378062835095</v>
      </c>
    </row>
    <row r="19">
      <c r="A19" t="n">
        <v>1990</v>
      </c>
      <c r="B19" t="n">
        <v>3580.9</v>
      </c>
      <c r="C19" t="n">
        <v>4254</v>
      </c>
      <c r="D19" t="n">
        <v>0.8417724494593324</v>
      </c>
    </row>
    <row r="20">
      <c r="A20" t="n">
        <v>1991</v>
      </c>
      <c r="B20" t="n">
        <v>3769.7</v>
      </c>
      <c r="C20" t="n">
        <v>4444.9</v>
      </c>
      <c r="D20" t="n">
        <v>0.8480955702040541</v>
      </c>
    </row>
    <row r="21">
      <c r="A21" t="n">
        <v>1992</v>
      </c>
      <c r="B21" t="n">
        <v>3970.4</v>
      </c>
      <c r="C21" t="n">
        <v>4736.7</v>
      </c>
      <c r="D21" t="n">
        <v>0.8382207021766209</v>
      </c>
    </row>
    <row r="22">
      <c r="A22" t="n">
        <v>1993</v>
      </c>
      <c r="B22" t="n">
        <v>4210.3</v>
      </c>
      <c r="C22" t="n">
        <v>4921.6</v>
      </c>
      <c r="D22" t="n">
        <v>0.8554738296488946</v>
      </c>
    </row>
    <row r="23">
      <c r="A23" t="n">
        <v>1994</v>
      </c>
      <c r="B23" t="n">
        <v>4531.8</v>
      </c>
      <c r="C23" t="n">
        <v>5184.3</v>
      </c>
      <c r="D23" t="n">
        <v>0.8741392280539321</v>
      </c>
    </row>
    <row r="24">
      <c r="A24" t="n">
        <v>1995</v>
      </c>
      <c r="B24" t="n">
        <v>4841.2</v>
      </c>
      <c r="C24" t="n">
        <v>5457</v>
      </c>
      <c r="D24" t="n">
        <v>0.8871541139820414</v>
      </c>
    </row>
    <row r="25">
      <c r="A25" t="n">
        <v>1996</v>
      </c>
      <c r="B25" t="n">
        <v>5177</v>
      </c>
      <c r="C25" t="n">
        <v>5759.6</v>
      </c>
      <c r="D25" t="n">
        <v>0.8988471421626502</v>
      </c>
    </row>
    <row r="26">
      <c r="A26" t="n">
        <v>1997</v>
      </c>
      <c r="B26" t="n">
        <v>5477.6</v>
      </c>
      <c r="C26" t="n">
        <v>6074.6</v>
      </c>
      <c r="D26" t="n">
        <v>0.9017219240773056</v>
      </c>
    </row>
    <row r="27">
      <c r="A27" t="n">
        <v>1998</v>
      </c>
      <c r="B27" t="n">
        <v>5903.4</v>
      </c>
      <c r="C27" t="n">
        <v>6498.9</v>
      </c>
      <c r="D27" t="n">
        <v>0.9083691086183816</v>
      </c>
    </row>
    <row r="28">
      <c r="A28" t="n">
        <v>1999</v>
      </c>
      <c r="B28" t="n">
        <v>6396</v>
      </c>
      <c r="C28" t="n">
        <v>6803.3</v>
      </c>
      <c r="D28" t="n">
        <v>0.9401319947672453</v>
      </c>
    </row>
    <row r="29">
      <c r="A29" t="n">
        <v>2000</v>
      </c>
      <c r="B29" t="n">
        <v>6987.3</v>
      </c>
      <c r="C29" t="n">
        <v>7327.2</v>
      </c>
      <c r="D29" t="n">
        <v>0.9536112020962988</v>
      </c>
    </row>
    <row r="30">
      <c r="A30" t="n">
        <v>2001</v>
      </c>
      <c r="B30" t="n">
        <v>7659.3</v>
      </c>
      <c r="C30" t="n">
        <v>7648.5</v>
      </c>
      <c r="D30" t="n">
        <v>1.00141204157678</v>
      </c>
    </row>
    <row r="31">
      <c r="A31" t="n">
        <v>2002</v>
      </c>
      <c r="B31" t="n">
        <v>8484.299999999999</v>
      </c>
      <c r="C31" t="n">
        <v>8009.7</v>
      </c>
      <c r="D31" t="n">
        <v>1.059253155548897</v>
      </c>
    </row>
    <row r="32">
      <c r="A32" t="n">
        <v>2003</v>
      </c>
      <c r="B32" t="n">
        <v>9505</v>
      </c>
      <c r="C32" t="n">
        <v>8377.799999999999</v>
      </c>
      <c r="D32" t="n">
        <v>1.134546062212037</v>
      </c>
    </row>
    <row r="33">
      <c r="A33" t="n">
        <v>2004</v>
      </c>
      <c r="B33" t="n">
        <v>10569.6</v>
      </c>
      <c r="C33" t="n">
        <v>8889.4</v>
      </c>
      <c r="D33" t="n">
        <v>1.18901163183117</v>
      </c>
    </row>
    <row r="34">
      <c r="A34" t="n">
        <v>2005</v>
      </c>
      <c r="B34" t="n">
        <v>11742.9</v>
      </c>
      <c r="C34" t="n">
        <v>9277.299999999999</v>
      </c>
      <c r="D34" t="n">
        <v>1.265766979616914</v>
      </c>
    </row>
    <row r="35">
      <c r="A35" t="n">
        <v>2006</v>
      </c>
      <c r="B35" t="n">
        <v>12929.5</v>
      </c>
      <c r="C35" t="n">
        <v>9915.700000000001</v>
      </c>
      <c r="D35" t="n">
        <v>1.303942233024395</v>
      </c>
    </row>
    <row r="36">
      <c r="A36" t="n">
        <v>2007</v>
      </c>
      <c r="B36" t="n">
        <v>13802.1</v>
      </c>
      <c r="C36" t="n">
        <v>10423.6</v>
      </c>
      <c r="D36" t="n">
        <v>1.324120265551249</v>
      </c>
    </row>
    <row r="37">
      <c r="A37" t="n">
        <v>2008</v>
      </c>
      <c r="B37" t="n">
        <v>13843</v>
      </c>
      <c r="C37" t="n">
        <v>11024.5</v>
      </c>
      <c r="D37" t="n">
        <v>1.255657852963853</v>
      </c>
    </row>
    <row r="38">
      <c r="A38" t="n">
        <v>2009</v>
      </c>
      <c r="B38" t="n">
        <v>13397</v>
      </c>
      <c r="C38" t="n">
        <v>10722.4</v>
      </c>
      <c r="D38" t="n">
        <v>1.24944042378572</v>
      </c>
    </row>
    <row r="39">
      <c r="A39" t="n">
        <v>2010</v>
      </c>
      <c r="B39" t="n">
        <v>13059.9</v>
      </c>
      <c r="C39" t="n">
        <v>11127.1</v>
      </c>
      <c r="D39" t="n">
        <v>1.173702042760468</v>
      </c>
    </row>
    <row r="40">
      <c r="A40" t="n">
        <v>2011</v>
      </c>
      <c r="B40" t="n">
        <v>12863.7</v>
      </c>
      <c r="C40" t="n">
        <v>11549.3</v>
      </c>
      <c r="D40" t="n">
        <v>1.113807763241062</v>
      </c>
    </row>
    <row r="41">
      <c r="A41" t="n">
        <v>2012</v>
      </c>
      <c r="B41" t="n">
        <v>12819.3</v>
      </c>
      <c r="C41" t="n">
        <v>11950.8</v>
      </c>
      <c r="D41" t="n">
        <v>1.072672959132443</v>
      </c>
    </row>
    <row r="42"/>
    <row r="43"/>
    <row r="44"/>
    <row r="45">
      <c r="A45" s="1" t="inlineStr">
        <is>
          <t>Long form (year, value, subseries_id, source_id, units)</t>
        </is>
      </c>
    </row>
    <row r="46">
      <c r="A46" s="3" t="inlineStr">
        <is>
          <t>year</t>
        </is>
      </c>
      <c r="B46" s="3" t="inlineStr">
        <is>
          <t>value</t>
        </is>
      </c>
      <c r="C46" s="3" t="inlineStr">
        <is>
          <t>subseries_id</t>
        </is>
      </c>
      <c r="D46" s="3" t="inlineStr">
        <is>
          <t>source_id</t>
        </is>
      </c>
      <c r="E46" s="3" t="inlineStr">
        <is>
          <t>units</t>
        </is>
      </c>
    </row>
    <row r="47">
      <c r="A47" t="n">
        <v>1975</v>
      </c>
      <c r="B47" t="n">
        <v>734.3</v>
      </c>
      <c r="C47" t="inlineStr">
        <is>
          <t>S1605-A</t>
        </is>
      </c>
      <c r="D47" t="inlineStr">
        <is>
          <t>SHAIKH_APPENDIX_16_2</t>
        </is>
      </c>
      <c r="E47" t="inlineStr">
        <is>
          <t>billions_usd</t>
        </is>
      </c>
    </row>
    <row r="48">
      <c r="A48" t="n">
        <v>1976</v>
      </c>
      <c r="B48" t="n">
        <v>818.9</v>
      </c>
      <c r="C48" t="inlineStr">
        <is>
          <t>S1605-A</t>
        </is>
      </c>
      <c r="D48" t="inlineStr">
        <is>
          <t>SHAIKH_APPENDIX_16_2</t>
        </is>
      </c>
      <c r="E48" t="inlineStr">
        <is>
          <t>billions_usd</t>
        </is>
      </c>
    </row>
    <row r="49">
      <c r="A49" t="n">
        <v>1977</v>
      </c>
      <c r="B49" t="n">
        <v>946.7</v>
      </c>
      <c r="C49" t="inlineStr">
        <is>
          <t>S1605-A</t>
        </is>
      </c>
      <c r="D49" t="inlineStr">
        <is>
          <t>SHAIKH_APPENDIX_16_2</t>
        </is>
      </c>
      <c r="E49" t="inlineStr">
        <is>
          <t>billions_usd</t>
        </is>
      </c>
    </row>
    <row r="50">
      <c r="A50" t="n">
        <v>1978</v>
      </c>
      <c r="B50" t="n">
        <v>1105.4</v>
      </c>
      <c r="C50" t="inlineStr">
        <is>
          <t>S1605-A</t>
        </is>
      </c>
      <c r="D50" t="inlineStr">
        <is>
          <t>SHAIKH_APPENDIX_16_2</t>
        </is>
      </c>
      <c r="E50" t="inlineStr">
        <is>
          <t>billions_usd</t>
        </is>
      </c>
    </row>
    <row r="51">
      <c r="A51" t="n">
        <v>1979</v>
      </c>
      <c r="B51" t="n">
        <v>1276.1</v>
      </c>
      <c r="C51" t="inlineStr">
        <is>
          <t>S1605-A</t>
        </is>
      </c>
      <c r="D51" t="inlineStr">
        <is>
          <t>SHAIKH_APPENDIX_16_2</t>
        </is>
      </c>
      <c r="E51" t="inlineStr">
        <is>
          <t>billions_usd</t>
        </is>
      </c>
    </row>
    <row r="52">
      <c r="A52" t="n">
        <v>1980</v>
      </c>
      <c r="B52" t="n">
        <v>1396</v>
      </c>
      <c r="C52" t="inlineStr">
        <is>
          <t>S1605-A</t>
        </is>
      </c>
      <c r="D52" t="inlineStr">
        <is>
          <t>SHAIKH_APPENDIX_16_2</t>
        </is>
      </c>
      <c r="E52" t="inlineStr">
        <is>
          <t>billions_usd</t>
        </is>
      </c>
    </row>
    <row r="53">
      <c r="A53" t="n">
        <v>1981</v>
      </c>
      <c r="B53" t="n">
        <v>1507.2</v>
      </c>
      <c r="C53" t="inlineStr">
        <is>
          <t>S1605-A</t>
        </is>
      </c>
      <c r="D53" t="inlineStr">
        <is>
          <t>SHAIKH_APPENDIX_16_2</t>
        </is>
      </c>
      <c r="E53" t="inlineStr">
        <is>
          <t>billions_usd</t>
        </is>
      </c>
    </row>
    <row r="54">
      <c r="A54" t="n">
        <v>1982</v>
      </c>
      <c r="B54" t="n">
        <v>1576.4</v>
      </c>
      <c r="C54" t="inlineStr">
        <is>
          <t>S1605-A</t>
        </is>
      </c>
      <c r="D54" t="inlineStr">
        <is>
          <t>SHAIKH_APPENDIX_16_2</t>
        </is>
      </c>
      <c r="E54" t="inlineStr">
        <is>
          <t>billions_usd</t>
        </is>
      </c>
    </row>
    <row r="55">
      <c r="A55" t="n">
        <v>1983</v>
      </c>
      <c r="B55" t="n">
        <v>1732</v>
      </c>
      <c r="C55" t="inlineStr">
        <is>
          <t>S1605-A</t>
        </is>
      </c>
      <c r="D55" t="inlineStr">
        <is>
          <t>SHAIKH_APPENDIX_16_2</t>
        </is>
      </c>
      <c r="E55" t="inlineStr">
        <is>
          <t>billions_usd</t>
        </is>
      </c>
    </row>
    <row r="56">
      <c r="A56" t="n">
        <v>1984</v>
      </c>
      <c r="B56" t="n">
        <v>1943.3</v>
      </c>
      <c r="C56" t="inlineStr">
        <is>
          <t>S1605-A</t>
        </is>
      </c>
      <c r="D56" t="inlineStr">
        <is>
          <t>SHAIKH_APPENDIX_16_2</t>
        </is>
      </c>
      <c r="E56" t="inlineStr">
        <is>
          <t>billions_usd</t>
        </is>
      </c>
    </row>
    <row r="57">
      <c r="A57" t="n">
        <v>1985</v>
      </c>
      <c r="B57" t="n">
        <v>2277.8</v>
      </c>
      <c r="C57" t="inlineStr">
        <is>
          <t>S1605-A</t>
        </is>
      </c>
      <c r="D57" t="inlineStr">
        <is>
          <t>SHAIKH_APPENDIX_16_2</t>
        </is>
      </c>
      <c r="E57" t="inlineStr">
        <is>
          <t>billions_usd</t>
        </is>
      </c>
    </row>
    <row r="58">
      <c r="A58" t="n">
        <v>1986</v>
      </c>
      <c r="B58" t="n">
        <v>2537.3</v>
      </c>
      <c r="C58" t="inlineStr">
        <is>
          <t>S1605-A</t>
        </is>
      </c>
      <c r="D58" t="inlineStr">
        <is>
          <t>SHAIKH_APPENDIX_16_2</t>
        </is>
      </c>
      <c r="E58" t="inlineStr">
        <is>
          <t>billions_usd</t>
        </is>
      </c>
    </row>
    <row r="59">
      <c r="A59" t="n">
        <v>1987</v>
      </c>
      <c r="B59" t="n">
        <v>2755.1</v>
      </c>
      <c r="C59" t="inlineStr">
        <is>
          <t>S1605-A</t>
        </is>
      </c>
      <c r="D59" t="inlineStr">
        <is>
          <t>SHAIKH_APPENDIX_16_2</t>
        </is>
      </c>
      <c r="E59" t="inlineStr">
        <is>
          <t>billions_usd</t>
        </is>
      </c>
    </row>
    <row r="60">
      <c r="A60" t="n">
        <v>1988</v>
      </c>
      <c r="B60" t="n">
        <v>3043.6</v>
      </c>
      <c r="C60" t="inlineStr">
        <is>
          <t>S1605-A</t>
        </is>
      </c>
      <c r="D60" t="inlineStr">
        <is>
          <t>SHAIKH_APPENDIX_16_2</t>
        </is>
      </c>
      <c r="E60" t="inlineStr">
        <is>
          <t>billions_usd</t>
        </is>
      </c>
    </row>
    <row r="61">
      <c r="A61" t="n">
        <v>1989</v>
      </c>
      <c r="B61" t="n">
        <v>3319</v>
      </c>
      <c r="C61" t="inlineStr">
        <is>
          <t>S1605-A</t>
        </is>
      </c>
      <c r="D61" t="inlineStr">
        <is>
          <t>SHAIKH_APPENDIX_16_2</t>
        </is>
      </c>
      <c r="E61" t="inlineStr">
        <is>
          <t>billions_usd</t>
        </is>
      </c>
    </row>
    <row r="62">
      <c r="A62" t="n">
        <v>1990</v>
      </c>
      <c r="B62" t="n">
        <v>3580.9</v>
      </c>
      <c r="C62" t="inlineStr">
        <is>
          <t>S1605-A</t>
        </is>
      </c>
      <c r="D62" t="inlineStr">
        <is>
          <t>SHAIKH_APPENDIX_16_2</t>
        </is>
      </c>
      <c r="E62" t="inlineStr">
        <is>
          <t>billions_usd</t>
        </is>
      </c>
    </row>
    <row r="63">
      <c r="A63" t="n">
        <v>1991</v>
      </c>
      <c r="B63" t="n">
        <v>3769.7</v>
      </c>
      <c r="C63" t="inlineStr">
        <is>
          <t>S1605-A</t>
        </is>
      </c>
      <c r="D63" t="inlineStr">
        <is>
          <t>SHAIKH_APPENDIX_16_2</t>
        </is>
      </c>
      <c r="E63" t="inlineStr">
        <is>
          <t>billions_usd</t>
        </is>
      </c>
    </row>
    <row r="64">
      <c r="A64" t="n">
        <v>1992</v>
      </c>
      <c r="B64" t="n">
        <v>3970.4</v>
      </c>
      <c r="C64" t="inlineStr">
        <is>
          <t>S1605-A</t>
        </is>
      </c>
      <c r="D64" t="inlineStr">
        <is>
          <t>SHAIKH_APPENDIX_16_2</t>
        </is>
      </c>
      <c r="E64" t="inlineStr">
        <is>
          <t>billions_usd</t>
        </is>
      </c>
    </row>
    <row r="65">
      <c r="A65" t="n">
        <v>1993</v>
      </c>
      <c r="B65" t="n">
        <v>4210.3</v>
      </c>
      <c r="C65" t="inlineStr">
        <is>
          <t>S1605-A</t>
        </is>
      </c>
      <c r="D65" t="inlineStr">
        <is>
          <t>SHAIKH_APPENDIX_16_2</t>
        </is>
      </c>
      <c r="E65" t="inlineStr">
        <is>
          <t>billions_usd</t>
        </is>
      </c>
    </row>
    <row r="66">
      <c r="A66" t="n">
        <v>1994</v>
      </c>
      <c r="B66" t="n">
        <v>4531.8</v>
      </c>
      <c r="C66" t="inlineStr">
        <is>
          <t>S1605-A</t>
        </is>
      </c>
      <c r="D66" t="inlineStr">
        <is>
          <t>SHAIKH_APPENDIX_16_2</t>
        </is>
      </c>
      <c r="E66" t="inlineStr">
        <is>
          <t>billions_usd</t>
        </is>
      </c>
    </row>
    <row r="67">
      <c r="A67" t="n">
        <v>1995</v>
      </c>
      <c r="B67" t="n">
        <v>4841.2</v>
      </c>
      <c r="C67" t="inlineStr">
        <is>
          <t>S1605-A</t>
        </is>
      </c>
      <c r="D67" t="inlineStr">
        <is>
          <t>SHAIKH_APPENDIX_16_2</t>
        </is>
      </c>
      <c r="E67" t="inlineStr">
        <is>
          <t>billions_usd</t>
        </is>
      </c>
    </row>
    <row r="68">
      <c r="A68" t="n">
        <v>1996</v>
      </c>
      <c r="B68" t="n">
        <v>5177</v>
      </c>
      <c r="C68" t="inlineStr">
        <is>
          <t>S1605-A</t>
        </is>
      </c>
      <c r="D68" t="inlineStr">
        <is>
          <t>SHAIKH_APPENDIX_16_2</t>
        </is>
      </c>
      <c r="E68" t="inlineStr">
        <is>
          <t>billions_usd</t>
        </is>
      </c>
    </row>
    <row r="69">
      <c r="A69" t="n">
        <v>1997</v>
      </c>
      <c r="B69" t="n">
        <v>5477.6</v>
      </c>
      <c r="C69" t="inlineStr">
        <is>
          <t>S1605-A</t>
        </is>
      </c>
      <c r="D69" t="inlineStr">
        <is>
          <t>SHAIKH_APPENDIX_16_2</t>
        </is>
      </c>
      <c r="E69" t="inlineStr">
        <is>
          <t>billions_usd</t>
        </is>
      </c>
    </row>
    <row r="70">
      <c r="A70" t="n">
        <v>1998</v>
      </c>
      <c r="B70" t="n">
        <v>5903.4</v>
      </c>
      <c r="C70" t="inlineStr">
        <is>
          <t>S1605-A</t>
        </is>
      </c>
      <c r="D70" t="inlineStr">
        <is>
          <t>SHAIKH_APPENDIX_16_2</t>
        </is>
      </c>
      <c r="E70" t="inlineStr">
        <is>
          <t>billions_usd</t>
        </is>
      </c>
    </row>
    <row r="71">
      <c r="A71" t="n">
        <v>1999</v>
      </c>
      <c r="B71" t="n">
        <v>6396</v>
      </c>
      <c r="C71" t="inlineStr">
        <is>
          <t>S1605-A</t>
        </is>
      </c>
      <c r="D71" t="inlineStr">
        <is>
          <t>SHAIKH_APPENDIX_16_2</t>
        </is>
      </c>
      <c r="E71" t="inlineStr">
        <is>
          <t>billions_usd</t>
        </is>
      </c>
    </row>
    <row r="72">
      <c r="A72" t="n">
        <v>2000</v>
      </c>
      <c r="B72" t="n">
        <v>6987.3</v>
      </c>
      <c r="C72" t="inlineStr">
        <is>
          <t>S1605-A</t>
        </is>
      </c>
      <c r="D72" t="inlineStr">
        <is>
          <t>SHAIKH_APPENDIX_16_2</t>
        </is>
      </c>
      <c r="E72" t="inlineStr">
        <is>
          <t>billions_usd</t>
        </is>
      </c>
    </row>
    <row r="73">
      <c r="A73" t="n">
        <v>2001</v>
      </c>
      <c r="B73" t="n">
        <v>7659.3</v>
      </c>
      <c r="C73" t="inlineStr">
        <is>
          <t>S1605-A</t>
        </is>
      </c>
      <c r="D73" t="inlineStr">
        <is>
          <t>SHAIKH_APPENDIX_16_2</t>
        </is>
      </c>
      <c r="E73" t="inlineStr">
        <is>
          <t>billions_usd</t>
        </is>
      </c>
    </row>
    <row r="74">
      <c r="A74" t="n">
        <v>2002</v>
      </c>
      <c r="B74" t="n">
        <v>8484.299999999999</v>
      </c>
      <c r="C74" t="inlineStr">
        <is>
          <t>S1605-A</t>
        </is>
      </c>
      <c r="D74" t="inlineStr">
        <is>
          <t>SHAIKH_APPENDIX_16_2</t>
        </is>
      </c>
      <c r="E74" t="inlineStr">
        <is>
          <t>billions_usd</t>
        </is>
      </c>
    </row>
    <row r="75">
      <c r="A75" t="n">
        <v>2003</v>
      </c>
      <c r="B75" t="n">
        <v>9505</v>
      </c>
      <c r="C75" t="inlineStr">
        <is>
          <t>S1605-A</t>
        </is>
      </c>
      <c r="D75" t="inlineStr">
        <is>
          <t>SHAIKH_APPENDIX_16_2</t>
        </is>
      </c>
      <c r="E75" t="inlineStr">
        <is>
          <t>billions_usd</t>
        </is>
      </c>
    </row>
    <row r="76">
      <c r="A76" t="n">
        <v>2004</v>
      </c>
      <c r="B76" t="n">
        <v>10569.6</v>
      </c>
      <c r="C76" t="inlineStr">
        <is>
          <t>S1605-A</t>
        </is>
      </c>
      <c r="D76" t="inlineStr">
        <is>
          <t>SHAIKH_APPENDIX_16_2</t>
        </is>
      </c>
      <c r="E76" t="inlineStr">
        <is>
          <t>billions_usd</t>
        </is>
      </c>
    </row>
    <row r="77">
      <c r="A77" t="n">
        <v>2005</v>
      </c>
      <c r="B77" t="n">
        <v>11742.9</v>
      </c>
      <c r="C77" t="inlineStr">
        <is>
          <t>S1605-A</t>
        </is>
      </c>
      <c r="D77" t="inlineStr">
        <is>
          <t>SHAIKH_APPENDIX_16_2</t>
        </is>
      </c>
      <c r="E77" t="inlineStr">
        <is>
          <t>billions_usd</t>
        </is>
      </c>
    </row>
    <row r="78">
      <c r="A78" t="n">
        <v>2006</v>
      </c>
      <c r="B78" t="n">
        <v>12929.5</v>
      </c>
      <c r="C78" t="inlineStr">
        <is>
          <t>S1605-A</t>
        </is>
      </c>
      <c r="D78" t="inlineStr">
        <is>
          <t>SHAIKH_APPENDIX_16_2</t>
        </is>
      </c>
      <c r="E78" t="inlineStr">
        <is>
          <t>billions_usd</t>
        </is>
      </c>
    </row>
    <row r="79">
      <c r="A79" t="n">
        <v>2007</v>
      </c>
      <c r="B79" t="n">
        <v>13802.1</v>
      </c>
      <c r="C79" t="inlineStr">
        <is>
          <t>S1605-A</t>
        </is>
      </c>
      <c r="D79" t="inlineStr">
        <is>
          <t>SHAIKH_APPENDIX_16_2</t>
        </is>
      </c>
      <c r="E79" t="inlineStr">
        <is>
          <t>billions_usd</t>
        </is>
      </c>
    </row>
    <row r="80">
      <c r="A80" t="n">
        <v>2008</v>
      </c>
      <c r="B80" t="n">
        <v>13843</v>
      </c>
      <c r="C80" t="inlineStr">
        <is>
          <t>S1605-A</t>
        </is>
      </c>
      <c r="D80" t="inlineStr">
        <is>
          <t>SHAIKH_APPENDIX_16_2</t>
        </is>
      </c>
      <c r="E80" t="inlineStr">
        <is>
          <t>billions_usd</t>
        </is>
      </c>
    </row>
    <row r="81">
      <c r="A81" t="n">
        <v>2009</v>
      </c>
      <c r="B81" t="n">
        <v>13397</v>
      </c>
      <c r="C81" t="inlineStr">
        <is>
          <t>S1605-A</t>
        </is>
      </c>
      <c r="D81" t="inlineStr">
        <is>
          <t>SHAIKH_APPENDIX_16_2</t>
        </is>
      </c>
      <c r="E81" t="inlineStr">
        <is>
          <t>billions_usd</t>
        </is>
      </c>
    </row>
    <row r="82">
      <c r="A82" t="n">
        <v>2010</v>
      </c>
      <c r="B82" t="n">
        <v>13059.9</v>
      </c>
      <c r="C82" t="inlineStr">
        <is>
          <t>S1605-A</t>
        </is>
      </c>
      <c r="D82" t="inlineStr">
        <is>
          <t>SHAIKH_APPENDIX_16_2</t>
        </is>
      </c>
      <c r="E82" t="inlineStr">
        <is>
          <t>billions_usd</t>
        </is>
      </c>
    </row>
    <row r="83">
      <c r="A83" t="n">
        <v>2011</v>
      </c>
      <c r="B83" t="n">
        <v>12863.7</v>
      </c>
      <c r="C83" t="inlineStr">
        <is>
          <t>S1605-A</t>
        </is>
      </c>
      <c r="D83" t="inlineStr">
        <is>
          <t>SHAIKH_APPENDIX_16_2</t>
        </is>
      </c>
      <c r="E83" t="inlineStr">
        <is>
          <t>billions_usd</t>
        </is>
      </c>
    </row>
    <row r="84">
      <c r="A84" t="n">
        <v>2012</v>
      </c>
      <c r="B84" t="n">
        <v>12819.3</v>
      </c>
      <c r="C84" t="inlineStr">
        <is>
          <t>S1605-A</t>
        </is>
      </c>
      <c r="D84" t="inlineStr">
        <is>
          <t>SHAIKH_APPENDIX_16_2</t>
        </is>
      </c>
      <c r="E84" t="inlineStr">
        <is>
          <t>billions_usd</t>
        </is>
      </c>
    </row>
    <row r="85">
      <c r="A85" t="n">
        <v>1975</v>
      </c>
      <c r="B85" t="n">
        <v>1187.3</v>
      </c>
      <c r="C85" t="inlineStr">
        <is>
          <t>S1605-B</t>
        </is>
      </c>
      <c r="D85" t="inlineStr">
        <is>
          <t>SHAIKH_APPENDIX_16_2</t>
        </is>
      </c>
      <c r="E85" t="inlineStr">
        <is>
          <t>billions_usd_saar</t>
        </is>
      </c>
    </row>
    <row r="86">
      <c r="A86" t="n">
        <v>1976</v>
      </c>
      <c r="B86" t="n">
        <v>1302.3</v>
      </c>
      <c r="C86" t="inlineStr">
        <is>
          <t>S1605-B</t>
        </is>
      </c>
      <c r="D86" t="inlineStr">
        <is>
          <t>SHAIKH_APPENDIX_16_2</t>
        </is>
      </c>
      <c r="E86" t="inlineStr">
        <is>
          <t>billions_usd_saar</t>
        </is>
      </c>
    </row>
    <row r="87">
      <c r="A87" t="n">
        <v>1977</v>
      </c>
      <c r="B87" t="n">
        <v>1435</v>
      </c>
      <c r="C87" t="inlineStr">
        <is>
          <t>S1605-B</t>
        </is>
      </c>
      <c r="D87" t="inlineStr">
        <is>
          <t>SHAIKH_APPENDIX_16_2</t>
        </is>
      </c>
      <c r="E87" t="inlineStr">
        <is>
          <t>billions_usd_saar</t>
        </is>
      </c>
    </row>
    <row r="88">
      <c r="A88" t="n">
        <v>1978</v>
      </c>
      <c r="B88" t="n">
        <v>1607.3</v>
      </c>
      <c r="C88" t="inlineStr">
        <is>
          <t>S1605-B</t>
        </is>
      </c>
      <c r="D88" t="inlineStr">
        <is>
          <t>SHAIKH_APPENDIX_16_2</t>
        </is>
      </c>
      <c r="E88" t="inlineStr">
        <is>
          <t>billions_usd_saar</t>
        </is>
      </c>
    </row>
    <row r="89">
      <c r="A89" t="n">
        <v>1979</v>
      </c>
      <c r="B89" t="n">
        <v>1790.9</v>
      </c>
      <c r="C89" t="inlineStr">
        <is>
          <t>S1605-B</t>
        </is>
      </c>
      <c r="D89" t="inlineStr">
        <is>
          <t>SHAIKH_APPENDIX_16_2</t>
        </is>
      </c>
      <c r="E89" t="inlineStr">
        <is>
          <t>billions_usd_saar</t>
        </is>
      </c>
    </row>
    <row r="90">
      <c r="A90" t="n">
        <v>1980</v>
      </c>
      <c r="B90" t="n">
        <v>2002.7</v>
      </c>
      <c r="C90" t="inlineStr">
        <is>
          <t>S1605-B</t>
        </is>
      </c>
      <c r="D90" t="inlineStr">
        <is>
          <t>SHAIKH_APPENDIX_16_2</t>
        </is>
      </c>
      <c r="E90" t="inlineStr">
        <is>
          <t>billions_usd_saar</t>
        </is>
      </c>
    </row>
    <row r="91">
      <c r="A91" t="n">
        <v>1981</v>
      </c>
      <c r="B91" t="n">
        <v>2237.1</v>
      </c>
      <c r="C91" t="inlineStr">
        <is>
          <t>S1605-B</t>
        </is>
      </c>
      <c r="D91" t="inlineStr">
        <is>
          <t>SHAIKH_APPENDIX_16_2</t>
        </is>
      </c>
      <c r="E91" t="inlineStr">
        <is>
          <t>billions_usd_saar</t>
        </is>
      </c>
    </row>
    <row r="92">
      <c r="A92" t="n">
        <v>1982</v>
      </c>
      <c r="B92" t="n">
        <v>2412.7</v>
      </c>
      <c r="C92" t="inlineStr">
        <is>
          <t>S1605-B</t>
        </is>
      </c>
      <c r="D92" t="inlineStr">
        <is>
          <t>SHAIKH_APPENDIX_16_2</t>
        </is>
      </c>
      <c r="E92" t="inlineStr">
        <is>
          <t>billions_usd_saar</t>
        </is>
      </c>
    </row>
    <row r="93">
      <c r="A93" t="n">
        <v>1983</v>
      </c>
      <c r="B93" t="n">
        <v>2599.8</v>
      </c>
      <c r="C93" t="inlineStr">
        <is>
          <t>S1605-B</t>
        </is>
      </c>
      <c r="D93" t="inlineStr">
        <is>
          <t>SHAIKH_APPENDIX_16_2</t>
        </is>
      </c>
      <c r="E93" t="inlineStr">
        <is>
          <t>billions_usd_saar</t>
        </is>
      </c>
    </row>
    <row r="94">
      <c r="A94" t="n">
        <v>1984</v>
      </c>
      <c r="B94" t="n">
        <v>2891.5</v>
      </c>
      <c r="C94" t="inlineStr">
        <is>
          <t>S1605-B</t>
        </is>
      </c>
      <c r="D94" t="inlineStr">
        <is>
          <t>SHAIKH_APPENDIX_16_2</t>
        </is>
      </c>
      <c r="E94" t="inlineStr">
        <is>
          <t>billions_usd_saar</t>
        </is>
      </c>
    </row>
    <row r="95">
      <c r="A95" t="n">
        <v>1985</v>
      </c>
      <c r="B95" t="n">
        <v>3079.3</v>
      </c>
      <c r="C95" t="inlineStr">
        <is>
          <t>S1605-B</t>
        </is>
      </c>
      <c r="D95" t="inlineStr">
        <is>
          <t>SHAIKH_APPENDIX_16_2</t>
        </is>
      </c>
      <c r="E95" t="inlineStr">
        <is>
          <t>billions_usd_saar</t>
        </is>
      </c>
    </row>
    <row r="96">
      <c r="A96" t="n">
        <v>1986</v>
      </c>
      <c r="B96" t="n">
        <v>3258.8</v>
      </c>
      <c r="C96" t="inlineStr">
        <is>
          <t>S1605-B</t>
        </is>
      </c>
      <c r="D96" t="inlineStr">
        <is>
          <t>SHAIKH_APPENDIX_16_2</t>
        </is>
      </c>
      <c r="E96" t="inlineStr">
        <is>
          <t>billions_usd_saar</t>
        </is>
      </c>
    </row>
    <row r="97">
      <c r="A97" t="n">
        <v>1987</v>
      </c>
      <c r="B97" t="n">
        <v>3435.3</v>
      </c>
      <c r="C97" t="inlineStr">
        <is>
          <t>S1605-B</t>
        </is>
      </c>
      <c r="D97" t="inlineStr">
        <is>
          <t>SHAIKH_APPENDIX_16_2</t>
        </is>
      </c>
      <c r="E97" t="inlineStr">
        <is>
          <t>billions_usd_saar</t>
        </is>
      </c>
    </row>
    <row r="98">
      <c r="A98" t="n">
        <v>1988</v>
      </c>
      <c r="B98" t="n">
        <v>3726.3</v>
      </c>
      <c r="C98" t="inlineStr">
        <is>
          <t>S1605-B</t>
        </is>
      </c>
      <c r="D98" t="inlineStr">
        <is>
          <t>SHAIKH_APPENDIX_16_2</t>
        </is>
      </c>
      <c r="E98" t="inlineStr">
        <is>
          <t>billions_usd_saar</t>
        </is>
      </c>
    </row>
    <row r="99">
      <c r="A99" t="n">
        <v>1989</v>
      </c>
      <c r="B99" t="n">
        <v>3991.4</v>
      </c>
      <c r="C99" t="inlineStr">
        <is>
          <t>S1605-B</t>
        </is>
      </c>
      <c r="D99" t="inlineStr">
        <is>
          <t>SHAIKH_APPENDIX_16_2</t>
        </is>
      </c>
      <c r="E99" t="inlineStr">
        <is>
          <t>billions_usd_saar</t>
        </is>
      </c>
    </row>
    <row r="100">
      <c r="A100" t="n">
        <v>1990</v>
      </c>
      <c r="B100" t="n">
        <v>4254</v>
      </c>
      <c r="C100" t="inlineStr">
        <is>
          <t>S1605-B</t>
        </is>
      </c>
      <c r="D100" t="inlineStr">
        <is>
          <t>SHAIKH_APPENDIX_16_2</t>
        </is>
      </c>
      <c r="E100" t="inlineStr">
        <is>
          <t>billions_usd_saar</t>
        </is>
      </c>
    </row>
    <row r="101">
      <c r="A101" t="n">
        <v>1991</v>
      </c>
      <c r="B101" t="n">
        <v>4444.9</v>
      </c>
      <c r="C101" t="inlineStr">
        <is>
          <t>S1605-B</t>
        </is>
      </c>
      <c r="D101" t="inlineStr">
        <is>
          <t>SHAIKH_APPENDIX_16_2</t>
        </is>
      </c>
      <c r="E101" t="inlineStr">
        <is>
          <t>billions_usd_saar</t>
        </is>
      </c>
    </row>
    <row r="102">
      <c r="A102" t="n">
        <v>1992</v>
      </c>
      <c r="B102" t="n">
        <v>4736.7</v>
      </c>
      <c r="C102" t="inlineStr">
        <is>
          <t>S1605-B</t>
        </is>
      </c>
      <c r="D102" t="inlineStr">
        <is>
          <t>SHAIKH_APPENDIX_16_2</t>
        </is>
      </c>
      <c r="E102" t="inlineStr">
        <is>
          <t>billions_usd_saar</t>
        </is>
      </c>
    </row>
    <row r="103">
      <c r="A103" t="n">
        <v>1993</v>
      </c>
      <c r="B103" t="n">
        <v>4921.6</v>
      </c>
      <c r="C103" t="inlineStr">
        <is>
          <t>S1605-B</t>
        </is>
      </c>
      <c r="D103" t="inlineStr">
        <is>
          <t>SHAIKH_APPENDIX_16_2</t>
        </is>
      </c>
      <c r="E103" t="inlineStr">
        <is>
          <t>billions_usd_saar</t>
        </is>
      </c>
    </row>
    <row r="104">
      <c r="A104" t="n">
        <v>1994</v>
      </c>
      <c r="B104" t="n">
        <v>5184.3</v>
      </c>
      <c r="C104" t="inlineStr">
        <is>
          <t>S1605-B</t>
        </is>
      </c>
      <c r="D104" t="inlineStr">
        <is>
          <t>SHAIKH_APPENDIX_16_2</t>
        </is>
      </c>
      <c r="E104" t="inlineStr">
        <is>
          <t>billions_usd_saar</t>
        </is>
      </c>
    </row>
    <row r="105">
      <c r="A105" t="n">
        <v>1995</v>
      </c>
      <c r="B105" t="n">
        <v>5457</v>
      </c>
      <c r="C105" t="inlineStr">
        <is>
          <t>S1605-B</t>
        </is>
      </c>
      <c r="D105" t="inlineStr">
        <is>
          <t>SHAIKH_APPENDIX_16_2</t>
        </is>
      </c>
      <c r="E105" t="inlineStr">
        <is>
          <t>billions_usd_saar</t>
        </is>
      </c>
    </row>
    <row r="106">
      <c r="A106" t="n">
        <v>1996</v>
      </c>
      <c r="B106" t="n">
        <v>5759.6</v>
      </c>
      <c r="C106" t="inlineStr">
        <is>
          <t>S1605-B</t>
        </is>
      </c>
      <c r="D106" t="inlineStr">
        <is>
          <t>SHAIKH_APPENDIX_16_2</t>
        </is>
      </c>
      <c r="E106" t="inlineStr">
        <is>
          <t>billions_usd_saar</t>
        </is>
      </c>
    </row>
    <row r="107">
      <c r="A107" t="n">
        <v>1997</v>
      </c>
      <c r="B107" t="n">
        <v>6074.6</v>
      </c>
      <c r="C107" t="inlineStr">
        <is>
          <t>S1605-B</t>
        </is>
      </c>
      <c r="D107" t="inlineStr">
        <is>
          <t>SHAIKH_APPENDIX_16_2</t>
        </is>
      </c>
      <c r="E107" t="inlineStr">
        <is>
          <t>billions_usd_saar</t>
        </is>
      </c>
    </row>
    <row r="108">
      <c r="A108" t="n">
        <v>1998</v>
      </c>
      <c r="B108" t="n">
        <v>6498.9</v>
      </c>
      <c r="C108" t="inlineStr">
        <is>
          <t>S1605-B</t>
        </is>
      </c>
      <c r="D108" t="inlineStr">
        <is>
          <t>SHAIKH_APPENDIX_16_2</t>
        </is>
      </c>
      <c r="E108" t="inlineStr">
        <is>
          <t>billions_usd_saar</t>
        </is>
      </c>
    </row>
    <row r="109">
      <c r="A109" t="n">
        <v>1999</v>
      </c>
      <c r="B109" t="n">
        <v>6803.3</v>
      </c>
      <c r="C109" t="inlineStr">
        <is>
          <t>S1605-B</t>
        </is>
      </c>
      <c r="D109" t="inlineStr">
        <is>
          <t>SHAIKH_APPENDIX_16_2</t>
        </is>
      </c>
      <c r="E109" t="inlineStr">
        <is>
          <t>billions_usd_saar</t>
        </is>
      </c>
    </row>
    <row r="110">
      <c r="A110" t="n">
        <v>2000</v>
      </c>
      <c r="B110" t="n">
        <v>7327.2</v>
      </c>
      <c r="C110" t="inlineStr">
        <is>
          <t>S1605-B</t>
        </is>
      </c>
      <c r="D110" t="inlineStr">
        <is>
          <t>SHAIKH_APPENDIX_16_2</t>
        </is>
      </c>
      <c r="E110" t="inlineStr">
        <is>
          <t>billions_usd_saar</t>
        </is>
      </c>
    </row>
    <row r="111">
      <c r="A111" t="n">
        <v>2001</v>
      </c>
      <c r="B111" t="n">
        <v>7648.5</v>
      </c>
      <c r="C111" t="inlineStr">
        <is>
          <t>S1605-B</t>
        </is>
      </c>
      <c r="D111" t="inlineStr">
        <is>
          <t>SHAIKH_APPENDIX_16_2</t>
        </is>
      </c>
      <c r="E111" t="inlineStr">
        <is>
          <t>billions_usd_saar</t>
        </is>
      </c>
    </row>
    <row r="112">
      <c r="A112" t="n">
        <v>2002</v>
      </c>
      <c r="B112" t="n">
        <v>8009.7</v>
      </c>
      <c r="C112" t="inlineStr">
        <is>
          <t>S1605-B</t>
        </is>
      </c>
      <c r="D112" t="inlineStr">
        <is>
          <t>SHAIKH_APPENDIX_16_2</t>
        </is>
      </c>
      <c r="E112" t="inlineStr">
        <is>
          <t>billions_usd_saar</t>
        </is>
      </c>
    </row>
    <row r="113">
      <c r="A113" t="n">
        <v>2003</v>
      </c>
      <c r="B113" t="n">
        <v>8377.799999999999</v>
      </c>
      <c r="C113" t="inlineStr">
        <is>
          <t>S1605-B</t>
        </is>
      </c>
      <c r="D113" t="inlineStr">
        <is>
          <t>SHAIKH_APPENDIX_16_2</t>
        </is>
      </c>
      <c r="E113" t="inlineStr">
        <is>
          <t>billions_usd_saar</t>
        </is>
      </c>
    </row>
    <row r="114">
      <c r="A114" t="n">
        <v>2004</v>
      </c>
      <c r="B114" t="n">
        <v>8889.4</v>
      </c>
      <c r="C114" t="inlineStr">
        <is>
          <t>S1605-B</t>
        </is>
      </c>
      <c r="D114" t="inlineStr">
        <is>
          <t>SHAIKH_APPENDIX_16_2</t>
        </is>
      </c>
      <c r="E114" t="inlineStr">
        <is>
          <t>billions_usd_saar</t>
        </is>
      </c>
    </row>
    <row r="115">
      <c r="A115" t="n">
        <v>2005</v>
      </c>
      <c r="B115" t="n">
        <v>9277.299999999999</v>
      </c>
      <c r="C115" t="inlineStr">
        <is>
          <t>S1605-B</t>
        </is>
      </c>
      <c r="D115" t="inlineStr">
        <is>
          <t>SHAIKH_APPENDIX_16_2</t>
        </is>
      </c>
      <c r="E115" t="inlineStr">
        <is>
          <t>billions_usd_saar</t>
        </is>
      </c>
    </row>
    <row r="116">
      <c r="A116" t="n">
        <v>2006</v>
      </c>
      <c r="B116" t="n">
        <v>9915.700000000001</v>
      </c>
      <c r="C116" t="inlineStr">
        <is>
          <t>S1605-B</t>
        </is>
      </c>
      <c r="D116" t="inlineStr">
        <is>
          <t>SHAIKH_APPENDIX_16_2</t>
        </is>
      </c>
      <c r="E116" t="inlineStr">
        <is>
          <t>billions_usd_saar</t>
        </is>
      </c>
    </row>
    <row r="117">
      <c r="A117" t="n">
        <v>2007</v>
      </c>
      <c r="B117" t="n">
        <v>10423.6</v>
      </c>
      <c r="C117" t="inlineStr">
        <is>
          <t>S1605-B</t>
        </is>
      </c>
      <c r="D117" t="inlineStr">
        <is>
          <t>SHAIKH_APPENDIX_16_2</t>
        </is>
      </c>
      <c r="E117" t="inlineStr">
        <is>
          <t>billions_usd_saar</t>
        </is>
      </c>
    </row>
    <row r="118">
      <c r="A118" t="n">
        <v>2008</v>
      </c>
      <c r="B118" t="n">
        <v>11024.5</v>
      </c>
      <c r="C118" t="inlineStr">
        <is>
          <t>S1605-B</t>
        </is>
      </c>
      <c r="D118" t="inlineStr">
        <is>
          <t>SHAIKH_APPENDIX_16_2</t>
        </is>
      </c>
      <c r="E118" t="inlineStr">
        <is>
          <t>billions_usd_saar</t>
        </is>
      </c>
    </row>
    <row r="119">
      <c r="A119" t="n">
        <v>2009</v>
      </c>
      <c r="B119" t="n">
        <v>10722.4</v>
      </c>
      <c r="C119" t="inlineStr">
        <is>
          <t>S1605-B</t>
        </is>
      </c>
      <c r="D119" t="inlineStr">
        <is>
          <t>SHAIKH_APPENDIX_16_2</t>
        </is>
      </c>
      <c r="E119" t="inlineStr">
        <is>
          <t>billions_usd_saar</t>
        </is>
      </c>
    </row>
    <row r="120">
      <c r="A120" t="n">
        <v>2010</v>
      </c>
      <c r="B120" t="n">
        <v>11127.1</v>
      </c>
      <c r="C120" t="inlineStr">
        <is>
          <t>S1605-B</t>
        </is>
      </c>
      <c r="D120" t="inlineStr">
        <is>
          <t>SHAIKH_APPENDIX_16_2</t>
        </is>
      </c>
      <c r="E120" t="inlineStr">
        <is>
          <t>billions_usd_saar</t>
        </is>
      </c>
    </row>
    <row r="121">
      <c r="A121" t="n">
        <v>2011</v>
      </c>
      <c r="B121" t="n">
        <v>11549.3</v>
      </c>
      <c r="C121" t="inlineStr">
        <is>
          <t>S1605-B</t>
        </is>
      </c>
      <c r="D121" t="inlineStr">
        <is>
          <t>SHAIKH_APPENDIX_16_2</t>
        </is>
      </c>
      <c r="E121" t="inlineStr">
        <is>
          <t>billions_usd_saar</t>
        </is>
      </c>
    </row>
    <row r="122">
      <c r="A122" t="n">
        <v>2012</v>
      </c>
      <c r="B122" t="n">
        <v>11950.8</v>
      </c>
      <c r="C122" t="inlineStr">
        <is>
          <t>S1605-B</t>
        </is>
      </c>
      <c r="D122" t="inlineStr">
        <is>
          <t>SHAIKH_APPENDIX_16_2</t>
        </is>
      </c>
      <c r="E122" t="inlineStr">
        <is>
          <t>billions_usd_saar</t>
        </is>
      </c>
    </row>
    <row r="123">
      <c r="A123" t="n">
        <v>1975</v>
      </c>
      <c r="B123" t="n">
        <v>0.6184620567674556</v>
      </c>
      <c r="C123" t="inlineStr">
        <is>
          <t>S1605-C</t>
        </is>
      </c>
      <c r="D123" t="inlineStr">
        <is>
          <t>SHAIKH_APPENDIX_16_2</t>
        </is>
      </c>
      <c r="E123" t="inlineStr">
        <is>
          <t>decimal_ratio</t>
        </is>
      </c>
    </row>
    <row r="124">
      <c r="A124" t="n">
        <v>1976</v>
      </c>
      <c r="B124" t="n">
        <v>0.6288105659218306</v>
      </c>
      <c r="C124" t="inlineStr">
        <is>
          <t>S1605-C</t>
        </is>
      </c>
      <c r="D124" t="inlineStr">
        <is>
          <t>SHAIKH_APPENDIX_16_2</t>
        </is>
      </c>
      <c r="E124" t="inlineStr">
        <is>
          <t>decimal_ratio</t>
        </is>
      </c>
    </row>
    <row r="125">
      <c r="A125" t="n">
        <v>1977</v>
      </c>
      <c r="B125" t="n">
        <v>0.6597212543554007</v>
      </c>
      <c r="C125" t="inlineStr">
        <is>
          <t>S1605-C</t>
        </is>
      </c>
      <c r="D125" t="inlineStr">
        <is>
          <t>SHAIKH_APPENDIX_16_2</t>
        </is>
      </c>
      <c r="E125" t="inlineStr">
        <is>
          <t>decimal_ratio</t>
        </is>
      </c>
    </row>
    <row r="126">
      <c r="A126" t="n">
        <v>1978</v>
      </c>
      <c r="B126" t="n">
        <v>0.6877371990294283</v>
      </c>
      <c r="C126" t="inlineStr">
        <is>
          <t>S1605-C</t>
        </is>
      </c>
      <c r="D126" t="inlineStr">
        <is>
          <t>SHAIKH_APPENDIX_16_2</t>
        </is>
      </c>
      <c r="E126" t="inlineStr">
        <is>
          <t>decimal_ratio</t>
        </is>
      </c>
    </row>
    <row r="127">
      <c r="A127" t="n">
        <v>1979</v>
      </c>
      <c r="B127" t="n">
        <v>0.7125467641967724</v>
      </c>
      <c r="C127" t="inlineStr">
        <is>
          <t>S1605-C</t>
        </is>
      </c>
      <c r="D127" t="inlineStr">
        <is>
          <t>SHAIKH_APPENDIX_16_2</t>
        </is>
      </c>
      <c r="E127" t="inlineStr">
        <is>
          <t>decimal_ratio</t>
        </is>
      </c>
    </row>
    <row r="128">
      <c r="A128" t="n">
        <v>1980</v>
      </c>
      <c r="B128" t="n">
        <v>0.6970589703899736</v>
      </c>
      <c r="C128" t="inlineStr">
        <is>
          <t>S1605-C</t>
        </is>
      </c>
      <c r="D128" t="inlineStr">
        <is>
          <t>SHAIKH_APPENDIX_16_2</t>
        </is>
      </c>
      <c r="E128" t="inlineStr">
        <is>
          <t>decimal_ratio</t>
        </is>
      </c>
    </row>
    <row r="129">
      <c r="A129" t="n">
        <v>1981</v>
      </c>
      <c r="B129" t="n">
        <v>0.6737293817889232</v>
      </c>
      <c r="C129" t="inlineStr">
        <is>
          <t>S1605-C</t>
        </is>
      </c>
      <c r="D129" t="inlineStr">
        <is>
          <t>SHAIKH_APPENDIX_16_2</t>
        </is>
      </c>
      <c r="E129" t="inlineStr">
        <is>
          <t>decimal_ratio</t>
        </is>
      </c>
    </row>
    <row r="130">
      <c r="A130" t="n">
        <v>1982</v>
      </c>
      <c r="B130" t="n">
        <v>0.6533758859369172</v>
      </c>
      <c r="C130" t="inlineStr">
        <is>
          <t>S1605-C</t>
        </is>
      </c>
      <c r="D130" t="inlineStr">
        <is>
          <t>SHAIKH_APPENDIX_16_2</t>
        </is>
      </c>
      <c r="E130" t="inlineStr">
        <is>
          <t>decimal_ratio</t>
        </is>
      </c>
    </row>
    <row r="131">
      <c r="A131" t="n">
        <v>1983</v>
      </c>
      <c r="B131" t="n">
        <v>0.6662050926994384</v>
      </c>
      <c r="C131" t="inlineStr">
        <is>
          <t>S1605-C</t>
        </is>
      </c>
      <c r="D131" t="inlineStr">
        <is>
          <t>SHAIKH_APPENDIX_16_2</t>
        </is>
      </c>
      <c r="E131" t="inlineStr">
        <is>
          <t>decimal_ratio</t>
        </is>
      </c>
    </row>
    <row r="132">
      <c r="A132" t="n">
        <v>1984</v>
      </c>
      <c r="B132" t="n">
        <v>0.6720733183468788</v>
      </c>
      <c r="C132" t="inlineStr">
        <is>
          <t>S1605-C</t>
        </is>
      </c>
      <c r="D132" t="inlineStr">
        <is>
          <t>SHAIKH_APPENDIX_16_2</t>
        </is>
      </c>
      <c r="E132" t="inlineStr">
        <is>
          <t>decimal_ratio</t>
        </is>
      </c>
    </row>
    <row r="133">
      <c r="A133" t="n">
        <v>1985</v>
      </c>
      <c r="B133" t="n">
        <v>0.7397135712661969</v>
      </c>
      <c r="C133" t="inlineStr">
        <is>
          <t>S1605-C</t>
        </is>
      </c>
      <c r="D133" t="inlineStr">
        <is>
          <t>SHAIKH_APPENDIX_16_2</t>
        </is>
      </c>
      <c r="E133" t="inlineStr">
        <is>
          <t>decimal_ratio</t>
        </is>
      </c>
    </row>
    <row r="134">
      <c r="A134" t="n">
        <v>1986</v>
      </c>
      <c r="B134" t="n">
        <v>0.7785994844728121</v>
      </c>
      <c r="C134" t="inlineStr">
        <is>
          <t>S1605-C</t>
        </is>
      </c>
      <c r="D134" t="inlineStr">
        <is>
          <t>SHAIKH_APPENDIX_16_2</t>
        </is>
      </c>
      <c r="E134" t="inlineStr">
        <is>
          <t>decimal_ratio</t>
        </is>
      </c>
    </row>
    <row r="135">
      <c r="A135" t="n">
        <v>1987</v>
      </c>
      <c r="B135" t="n">
        <v>0.8019969143888451</v>
      </c>
      <c r="C135" t="inlineStr">
        <is>
          <t>S1605-C</t>
        </is>
      </c>
      <c r="D135" t="inlineStr">
        <is>
          <t>SHAIKH_APPENDIX_16_2</t>
        </is>
      </c>
      <c r="E135" t="inlineStr">
        <is>
          <t>decimal_ratio</t>
        </is>
      </c>
    </row>
    <row r="136">
      <c r="A136" t="n">
        <v>1988</v>
      </c>
      <c r="B136" t="n">
        <v>0.8167887717038348</v>
      </c>
      <c r="C136" t="inlineStr">
        <is>
          <t>S1605-C</t>
        </is>
      </c>
      <c r="D136" t="inlineStr">
        <is>
          <t>SHAIKH_APPENDIX_16_2</t>
        </is>
      </c>
      <c r="E136" t="inlineStr">
        <is>
          <t>decimal_ratio</t>
        </is>
      </c>
    </row>
    <row r="137">
      <c r="A137" t="n">
        <v>1989</v>
      </c>
      <c r="B137" t="n">
        <v>0.8315378062835095</v>
      </c>
      <c r="C137" t="inlineStr">
        <is>
          <t>S1605-C</t>
        </is>
      </c>
      <c r="D137" t="inlineStr">
        <is>
          <t>SHAIKH_APPENDIX_16_2</t>
        </is>
      </c>
      <c r="E137" t="inlineStr">
        <is>
          <t>decimal_ratio</t>
        </is>
      </c>
    </row>
    <row r="138">
      <c r="A138" t="n">
        <v>1990</v>
      </c>
      <c r="B138" t="n">
        <v>0.8417724494593324</v>
      </c>
      <c r="C138" t="inlineStr">
        <is>
          <t>S1605-C</t>
        </is>
      </c>
      <c r="D138" t="inlineStr">
        <is>
          <t>SHAIKH_APPENDIX_16_2</t>
        </is>
      </c>
      <c r="E138" t="inlineStr">
        <is>
          <t>decimal_ratio</t>
        </is>
      </c>
    </row>
    <row r="139">
      <c r="A139" t="n">
        <v>1991</v>
      </c>
      <c r="B139" t="n">
        <v>0.8480955702040541</v>
      </c>
      <c r="C139" t="inlineStr">
        <is>
          <t>S1605-C</t>
        </is>
      </c>
      <c r="D139" t="inlineStr">
        <is>
          <t>SHAIKH_APPENDIX_16_2</t>
        </is>
      </c>
      <c r="E139" t="inlineStr">
        <is>
          <t>decimal_ratio</t>
        </is>
      </c>
    </row>
    <row r="140">
      <c r="A140" t="n">
        <v>1992</v>
      </c>
      <c r="B140" t="n">
        <v>0.8382207021766209</v>
      </c>
      <c r="C140" t="inlineStr">
        <is>
          <t>S1605-C</t>
        </is>
      </c>
      <c r="D140" t="inlineStr">
        <is>
          <t>SHAIKH_APPENDIX_16_2</t>
        </is>
      </c>
      <c r="E140" t="inlineStr">
        <is>
          <t>decimal_ratio</t>
        </is>
      </c>
    </row>
    <row r="141">
      <c r="A141" t="n">
        <v>1993</v>
      </c>
      <c r="B141" t="n">
        <v>0.8554738296488946</v>
      </c>
      <c r="C141" t="inlineStr">
        <is>
          <t>S1605-C</t>
        </is>
      </c>
      <c r="D141" t="inlineStr">
        <is>
          <t>SHAIKH_APPENDIX_16_2</t>
        </is>
      </c>
      <c r="E141" t="inlineStr">
        <is>
          <t>decimal_ratio</t>
        </is>
      </c>
    </row>
    <row r="142">
      <c r="A142" t="n">
        <v>1994</v>
      </c>
      <c r="B142" t="n">
        <v>0.8741392280539321</v>
      </c>
      <c r="C142" t="inlineStr">
        <is>
          <t>S1605-C</t>
        </is>
      </c>
      <c r="D142" t="inlineStr">
        <is>
          <t>SHAIKH_APPENDIX_16_2</t>
        </is>
      </c>
      <c r="E142" t="inlineStr">
        <is>
          <t>decimal_ratio</t>
        </is>
      </c>
    </row>
    <row r="143">
      <c r="A143" t="n">
        <v>1995</v>
      </c>
      <c r="B143" t="n">
        <v>0.8871541139820414</v>
      </c>
      <c r="C143" t="inlineStr">
        <is>
          <t>S1605-C</t>
        </is>
      </c>
      <c r="D143" t="inlineStr">
        <is>
          <t>SHAIKH_APPENDIX_16_2</t>
        </is>
      </c>
      <c r="E143" t="inlineStr">
        <is>
          <t>decimal_ratio</t>
        </is>
      </c>
    </row>
    <row r="144">
      <c r="A144" t="n">
        <v>1996</v>
      </c>
      <c r="B144" t="n">
        <v>0.8988471421626502</v>
      </c>
      <c r="C144" t="inlineStr">
        <is>
          <t>S1605-C</t>
        </is>
      </c>
      <c r="D144" t="inlineStr">
        <is>
          <t>SHAIKH_APPENDIX_16_2</t>
        </is>
      </c>
      <c r="E144" t="inlineStr">
        <is>
          <t>decimal_ratio</t>
        </is>
      </c>
    </row>
    <row r="145">
      <c r="A145" t="n">
        <v>1997</v>
      </c>
      <c r="B145" t="n">
        <v>0.9017219240773056</v>
      </c>
      <c r="C145" t="inlineStr">
        <is>
          <t>S1605-C</t>
        </is>
      </c>
      <c r="D145" t="inlineStr">
        <is>
          <t>SHAIKH_APPENDIX_16_2</t>
        </is>
      </c>
      <c r="E145" t="inlineStr">
        <is>
          <t>decimal_ratio</t>
        </is>
      </c>
    </row>
    <row r="146">
      <c r="A146" t="n">
        <v>1998</v>
      </c>
      <c r="B146" t="n">
        <v>0.9083691086183816</v>
      </c>
      <c r="C146" t="inlineStr">
        <is>
          <t>S1605-C</t>
        </is>
      </c>
      <c r="D146" t="inlineStr">
        <is>
          <t>SHAIKH_APPENDIX_16_2</t>
        </is>
      </c>
      <c r="E146" t="inlineStr">
        <is>
          <t>decimal_ratio</t>
        </is>
      </c>
    </row>
    <row r="147">
      <c r="A147" t="n">
        <v>1999</v>
      </c>
      <c r="B147" t="n">
        <v>0.9401319947672453</v>
      </c>
      <c r="C147" t="inlineStr">
        <is>
          <t>S1605-C</t>
        </is>
      </c>
      <c r="D147" t="inlineStr">
        <is>
          <t>SHAIKH_APPENDIX_16_2</t>
        </is>
      </c>
      <c r="E147" t="inlineStr">
        <is>
          <t>decimal_ratio</t>
        </is>
      </c>
    </row>
    <row r="148">
      <c r="A148" t="n">
        <v>2000</v>
      </c>
      <c r="B148" t="n">
        <v>0.9536112020962988</v>
      </c>
      <c r="C148" t="inlineStr">
        <is>
          <t>S1605-C</t>
        </is>
      </c>
      <c r="D148" t="inlineStr">
        <is>
          <t>SHAIKH_APPENDIX_16_2</t>
        </is>
      </c>
      <c r="E148" t="inlineStr">
        <is>
          <t>decimal_ratio</t>
        </is>
      </c>
    </row>
    <row r="149">
      <c r="A149" t="n">
        <v>2001</v>
      </c>
      <c r="B149" t="n">
        <v>1.00141204157678</v>
      </c>
      <c r="C149" t="inlineStr">
        <is>
          <t>S1605-C</t>
        </is>
      </c>
      <c r="D149" t="inlineStr">
        <is>
          <t>SHAIKH_APPENDIX_16_2</t>
        </is>
      </c>
      <c r="E149" t="inlineStr">
        <is>
          <t>decimal_ratio</t>
        </is>
      </c>
    </row>
    <row r="150">
      <c r="A150" t="n">
        <v>2002</v>
      </c>
      <c r="B150" t="n">
        <v>1.059253155548897</v>
      </c>
      <c r="C150" t="inlineStr">
        <is>
          <t>S1605-C</t>
        </is>
      </c>
      <c r="D150" t="inlineStr">
        <is>
          <t>SHAIKH_APPENDIX_16_2</t>
        </is>
      </c>
      <c r="E150" t="inlineStr">
        <is>
          <t>decimal_ratio</t>
        </is>
      </c>
    </row>
    <row r="151">
      <c r="A151" t="n">
        <v>2003</v>
      </c>
      <c r="B151" t="n">
        <v>1.134546062212037</v>
      </c>
      <c r="C151" t="inlineStr">
        <is>
          <t>S1605-C</t>
        </is>
      </c>
      <c r="D151" t="inlineStr">
        <is>
          <t>SHAIKH_APPENDIX_16_2</t>
        </is>
      </c>
      <c r="E151" t="inlineStr">
        <is>
          <t>decimal_ratio</t>
        </is>
      </c>
    </row>
    <row r="152">
      <c r="A152" t="n">
        <v>2004</v>
      </c>
      <c r="B152" t="n">
        <v>1.18901163183117</v>
      </c>
      <c r="C152" t="inlineStr">
        <is>
          <t>S1605-C</t>
        </is>
      </c>
      <c r="D152" t="inlineStr">
        <is>
          <t>SHAIKH_APPENDIX_16_2</t>
        </is>
      </c>
      <c r="E152" t="inlineStr">
        <is>
          <t>decimal_ratio</t>
        </is>
      </c>
    </row>
    <row r="153">
      <c r="A153" t="n">
        <v>2005</v>
      </c>
      <c r="B153" t="n">
        <v>1.265766979616914</v>
      </c>
      <c r="C153" t="inlineStr">
        <is>
          <t>S1605-C</t>
        </is>
      </c>
      <c r="D153" t="inlineStr">
        <is>
          <t>SHAIKH_APPENDIX_16_2</t>
        </is>
      </c>
      <c r="E153" t="inlineStr">
        <is>
          <t>decimal_ratio</t>
        </is>
      </c>
    </row>
    <row r="154">
      <c r="A154" t="n">
        <v>2006</v>
      </c>
      <c r="B154" t="n">
        <v>1.303942233024395</v>
      </c>
      <c r="C154" t="inlineStr">
        <is>
          <t>S1605-C</t>
        </is>
      </c>
      <c r="D154" t="inlineStr">
        <is>
          <t>SHAIKH_APPENDIX_16_2</t>
        </is>
      </c>
      <c r="E154" t="inlineStr">
        <is>
          <t>decimal_ratio</t>
        </is>
      </c>
    </row>
    <row r="155">
      <c r="A155" t="n">
        <v>2007</v>
      </c>
      <c r="B155" t="n">
        <v>1.324120265551249</v>
      </c>
      <c r="C155" t="inlineStr">
        <is>
          <t>S1605-C</t>
        </is>
      </c>
      <c r="D155" t="inlineStr">
        <is>
          <t>SHAIKH_APPENDIX_16_2</t>
        </is>
      </c>
      <c r="E155" t="inlineStr">
        <is>
          <t>decimal_ratio</t>
        </is>
      </c>
    </row>
    <row r="156">
      <c r="A156" t="n">
        <v>2008</v>
      </c>
      <c r="B156" t="n">
        <v>1.255657852963853</v>
      </c>
      <c r="C156" t="inlineStr">
        <is>
          <t>S1605-C</t>
        </is>
      </c>
      <c r="D156" t="inlineStr">
        <is>
          <t>SHAIKH_APPENDIX_16_2</t>
        </is>
      </c>
      <c r="E156" t="inlineStr">
        <is>
          <t>decimal_ratio</t>
        </is>
      </c>
    </row>
    <row r="157">
      <c r="A157" t="n">
        <v>2009</v>
      </c>
      <c r="B157" t="n">
        <v>1.24944042378572</v>
      </c>
      <c r="C157" t="inlineStr">
        <is>
          <t>S1605-C</t>
        </is>
      </c>
      <c r="D157" t="inlineStr">
        <is>
          <t>SHAIKH_APPENDIX_16_2</t>
        </is>
      </c>
      <c r="E157" t="inlineStr">
        <is>
          <t>decimal_ratio</t>
        </is>
      </c>
    </row>
    <row r="158">
      <c r="A158" t="n">
        <v>2010</v>
      </c>
      <c r="B158" t="n">
        <v>1.173702042760468</v>
      </c>
      <c r="C158" t="inlineStr">
        <is>
          <t>S1605-C</t>
        </is>
      </c>
      <c r="D158" t="inlineStr">
        <is>
          <t>SHAIKH_APPENDIX_16_2</t>
        </is>
      </c>
      <c r="E158" t="inlineStr">
        <is>
          <t>decimal_ratio</t>
        </is>
      </c>
    </row>
    <row r="159">
      <c r="A159" t="n">
        <v>2011</v>
      </c>
      <c r="B159" t="n">
        <v>1.113807763241062</v>
      </c>
      <c r="C159" t="inlineStr">
        <is>
          <t>S1605-C</t>
        </is>
      </c>
      <c r="D159" t="inlineStr">
        <is>
          <t>SHAIKH_APPENDIX_16_2</t>
        </is>
      </c>
      <c r="E159" t="inlineStr">
        <is>
          <t>decimal_ratio</t>
        </is>
      </c>
    </row>
    <row r="160">
      <c r="A160" t="n">
        <v>2012</v>
      </c>
      <c r="B160" t="n">
        <v>1.072672959132443</v>
      </c>
      <c r="C160" t="inlineStr">
        <is>
          <t>S1605-C</t>
        </is>
      </c>
      <c r="D160" t="inlineStr">
        <is>
          <t>SHAIKH_APPENDIX_16_2</t>
        </is>
      </c>
      <c r="E160" t="inlineStr">
        <is>
          <t>decimal_ratio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S1605 — Methodology</t>
        </is>
      </c>
    </row>
    <row r="3">
      <c r="A3" s="4">
        <f>== DPR: S1605_DPR.md ===</f>
        <v/>
      </c>
    </row>
    <row r="4">
      <c r="A4" t="inlineStr">
        <is>
          <t># S1605 — Household Debt-to-Income Ratio, United States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S1605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opus-subagent-ch16-fanout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1. Definition</t>
        </is>
      </c>
    </row>
    <row r="16">
      <c r="A16" t="inlineStr"/>
    </row>
    <row r="17">
      <c r="A17" t="inlineStr">
        <is>
          <t>**S1605** is the annual ratio of US household debt to disposable personal income, 1975-2024. **Figure 16.9** ("Household Debt-to-Income Ratio, United States, 1975-2011") tracks the dramatic post-1980s rise in household leverage that underwrote the 1990s-2000s consumption boom.</t>
        </is>
      </c>
    </row>
    <row r="18">
      <c r="A18" t="inlineStr"/>
    </row>
    <row r="19">
      <c r="A19" t="inlineStr">
        <is>
          <t>The series is the household-side analogue to the corporate net-profit-rate trajectory in S1604: as wage suppression squeezed real income (S1602), households substituted debt for income, producing the leverage build-up culminating in 2007.</t>
        </is>
      </c>
    </row>
    <row r="20">
      <c r="A20" t="inlineStr"/>
    </row>
    <row r="21">
      <c r="A21" t="inlineStr">
        <is>
          <t>## 2. Why it matters in Chapter 16</t>
        </is>
      </c>
    </row>
    <row r="22">
      <c r="A22" t="inlineStr"/>
    </row>
    <row r="23">
      <c r="A23" t="inlineStr">
        <is>
          <t>Shaikh (2016, p. 735) writes: "Households, whose real incomes had been squeezed by the slowdown in real wage growth, were offered ever-cheaper debt in order to maintain growth in consumer spending. In consequence... the household debt-to-income ratio grew dramatically in the 1980s, which added fuel to the boom." Fig 16.9 is the empirical exhibit. S1605 is the data backing for that exhibit.</t>
        </is>
      </c>
    </row>
    <row r="24">
      <c r="A24" t="inlineStr"/>
    </row>
    <row r="25">
      <c r="A25" t="inlineStr">
        <is>
          <t>## 3. Sources (per subseries)</t>
        </is>
      </c>
    </row>
    <row r="26">
      <c r="A26" t="inlineStr"/>
    </row>
    <row r="27">
      <c r="A27" t="inlineStr">
        <is>
          <t>| Subseries | Coverage | Publisher / Series ID | Native units | Retrieval |</t>
        </is>
      </c>
    </row>
    <row r="28">
      <c r="A28" t="inlineStr">
        <is>
          <t>|---|---|---|---|---|</t>
        </is>
      </c>
    </row>
    <row r="29">
      <c r="A29" t="inlineStr">
        <is>
          <t>| **S1605-A** | 1975-2012 | Shaikh Appendix 16.2 — `HHDebt` (= Z.1 D.3 line 2, household sector total debt) | billions USD | Salvaged xlsx |</t>
        </is>
      </c>
    </row>
    <row r="30">
      <c r="A30" t="inlineStr">
        <is>
          <t>| **S1605-B** | 1975-2012 | Shaikh Appendix 16.2 — `HHDispPersInc` (= BEA NIPA T2.1 line 27, DPI) | billions USD SAAR | Salvaged xlsx |</t>
        </is>
      </c>
    </row>
    <row r="31">
      <c r="A31" t="inlineStr">
        <is>
          <t>| **S1605-C** | 1975-2012 | Shaikh Appendix 16.2 — `HHDebtIncRatio` (= HHDebt / HHDispPersInc, decimal) | decimal ratio | Salvaged xlsx |</t>
        </is>
      </c>
    </row>
    <row r="32">
      <c r="A32" t="inlineStr">
        <is>
          <t>| **S1605-D** | 2013-2024 | FRED **HCCSDODNS** (Households Debt Securities and Loans Liability) extension | millions USD | FRED API |</t>
        </is>
      </c>
    </row>
    <row r="33">
      <c r="A33" t="inlineStr">
        <is>
          <t>| **S1605-E** | 2013-2024 | FRED **DPI** (BEA NIPA T2.1 line 27 Disposable Personal Income) extension | billions USD SAAR | FRED API |</t>
        </is>
      </c>
    </row>
    <row r="34">
      <c r="A34" t="inlineStr">
        <is>
          <t>| **S1605-F** | 2013-2024 | Computed `S1605-D / (S1605-E * 1000)` extension ratio | decimal ratio | Computed |</t>
        </is>
      </c>
    </row>
    <row r="35">
      <c r="A35" t="inlineStr"/>
    </row>
    <row r="36">
      <c r="A36" t="inlineStr">
        <is>
          <t>## 4. Construction</t>
        </is>
      </c>
    </row>
    <row r="37">
      <c r="A37" t="inlineStr"/>
    </row>
    <row r="38">
      <c r="A38" t="inlineStr">
        <is>
          <t>S1605 is **formula** — a direct two-series ratio.</t>
        </is>
      </c>
    </row>
    <row r="39">
      <c r="A39" t="inlineStr"/>
    </row>
    <row r="40">
      <c r="A40" t="inlineStr">
        <is>
          <t>### CD2 wrong-concept-proxy correction (RATIFIED by Phase 4)</t>
        </is>
      </c>
    </row>
    <row r="41">
      <c r="A41" t="inlineStr"/>
    </row>
    <row r="42">
      <c r="A42" t="inlineStr">
        <is>
          <t>CD2's extension used the WRONG concepts on both numerator and denominator:</t>
        </is>
      </c>
    </row>
    <row r="43">
      <c r="A43" t="inlineStr">
        <is>
          <t>- **Numerator**: CD2 used `CMDEBT` (Households + Nonprofit Organizations Credit Market Instruments Liability) — INCLUDES nonprofit organizations. Book spec is Z.1 D.3 line 2: households-only.</t>
        </is>
      </c>
    </row>
    <row r="44">
      <c r="A44" t="inlineStr">
        <is>
          <t>- **Denominator**: CD2 used `PI` (Personal Income, broader pre-tax). Book spec is BEA NIPA T2.1 line 27: Disposable Personal Income (after-tax).</t>
        </is>
      </c>
    </row>
    <row r="45">
      <c r="A45" t="inlineStr"/>
    </row>
    <row r="46">
      <c r="A46" t="inlineStr">
        <is>
          <t>Both are wrong-concept proxies per the anu-framework No-Proxies rule. RSCD S1605 RESTORES book-spec fidelity by using:</t>
        </is>
      </c>
    </row>
    <row r="47">
      <c r="A47" t="inlineStr">
        <is>
          <t>- **Numerator**: FRED `HCCSDODNS` (Households-only Debt Securities and Loans Liability) — exact match to Z.1 D.3 line 2</t>
        </is>
      </c>
    </row>
    <row r="48">
      <c r="A48" t="inlineStr">
        <is>
          <t>- **Denominator**: FRED `DPI` (Disposable Personal Income) — exact match to NIPA T2.1 line 27</t>
        </is>
      </c>
    </row>
    <row r="49">
      <c r="A49" t="inlineStr"/>
    </row>
    <row r="50">
      <c r="A50" t="inlineStr">
        <is>
          <t>### Unit conversion (CRITICAL)</t>
        </is>
      </c>
    </row>
    <row r="51">
      <c r="A51" t="inlineStr"/>
    </row>
    <row r="52">
      <c r="A52" t="inlineStr">
        <is>
          <t>**HCCSDODNS** is published in **millions USD**. **DPI** is published in **billions USD SAAR**. The naive ratio `HCCSDODNS / DPI` would be 1000× too large — this is the textbook failure mode flagged in the anu-framework Unit Documentation rule (originally manifested as the CD2 `CMDEBT/DPI` bug).</t>
        </is>
      </c>
    </row>
    <row r="53">
      <c r="A53" t="inlineStr"/>
    </row>
    <row r="54">
      <c r="A54" t="inlineStr">
        <is>
          <t>**The canonical loader formula**, with explicit dimensional analysis:</t>
        </is>
      </c>
    </row>
    <row r="55">
      <c r="A55" t="inlineStr"/>
    </row>
    <row r="56">
      <c r="A56" t="inlineStr">
        <is>
          <t>```python</t>
        </is>
      </c>
    </row>
    <row r="57">
      <c r="A57" t="inlineStr">
        <is>
          <t># DIMENSIONAL ANALYSIS — see P02_S1605_construct.py:</t>
        </is>
      </c>
    </row>
    <row r="58">
      <c r="A58" t="inlineStr">
        <is>
          <t>#   HCCSDODNS units = millions USD</t>
        </is>
      </c>
    </row>
    <row r="59">
      <c r="A59" t="inlineStr">
        <is>
          <t>#   DPI       units = billions USD SAAR</t>
        </is>
      </c>
    </row>
    <row r="60">
      <c r="A60" t="inlineStr">
        <is>
          <t>#   To get a unitless ratio:</t>
        </is>
      </c>
    </row>
    <row r="61">
      <c r="A61" t="inlineStr">
        <is>
          <t>#     ratio = HCCSDODNS [millions] / (DPI [billions] * 1000 [millions/billion])</t>
        </is>
      </c>
    </row>
    <row r="62">
      <c r="A62" t="inlineStr">
        <is>
          <t>#           = HCCSDODNS [millions] / DPI [millions]</t>
        </is>
      </c>
    </row>
    <row r="63">
      <c r="A63" t="inlineStr">
        <is>
          <t>#           = unitless</t>
        </is>
      </c>
    </row>
    <row r="64">
      <c r="A64" t="inlineStr">
        <is>
          <t>#   This avoids the well-known CMDEBT/DPI = ratio * 1000 failure mode.</t>
        </is>
      </c>
    </row>
    <row r="65">
      <c r="A65" t="inlineStr">
        <is>
          <t>ratio = hccsdodns / (dpi * 1000.0)</t>
        </is>
      </c>
    </row>
    <row r="66">
      <c r="A66" t="inlineStr">
        <is>
          <t>```</t>
        </is>
      </c>
    </row>
    <row r="67">
      <c r="A67" t="inlineStr"/>
    </row>
    <row r="68">
      <c r="A68" t="inlineStr">
        <is>
          <t>## 5. Year coverage</t>
        </is>
      </c>
    </row>
    <row r="69">
      <c r="A69" t="inlineStr"/>
    </row>
    <row r="70">
      <c r="A70" t="inlineStr">
        <is>
          <t>- **Book period**: 1975-2012 (38 obs)</t>
        </is>
      </c>
    </row>
    <row r="71">
      <c r="A71" t="inlineStr">
        <is>
          <t>- **Extension period**: 2013-2024 (12 obs)</t>
        </is>
      </c>
    </row>
    <row r="72">
      <c r="A72" t="inlineStr">
        <is>
          <t>- **Total**: 1975-2024</t>
        </is>
      </c>
    </row>
    <row r="73">
      <c r="A73" t="inlineStr">
        <is>
          <t>- **Quarterly to annual aggregation**: HCCSDODNS and DPI published quarterly; annualised via simple mean per Shaikh's convention.</t>
        </is>
      </c>
    </row>
    <row r="74">
      <c r="A74" t="inlineStr"/>
    </row>
    <row r="75">
      <c r="A75" t="inlineStr">
        <is>
          <t>## 6. Units</t>
        </is>
      </c>
    </row>
    <row r="76">
      <c r="A76" t="inlineStr"/>
    </row>
    <row r="77">
      <c r="A77" t="inlineStr">
        <is>
          <t>- **S1605-C / S1605-F (final ratio)**: decimal (e.g. 0.68 = 68% of DPI). The Fig 16.9 axis is percent (0.68 displayed as 68%).</t>
        </is>
      </c>
    </row>
    <row r="78">
      <c r="A78" t="inlineStr">
        <is>
          <t>- **S1605-A book** (HHDebt): billions USD (Shaikh's Appendix 16.2 already converted to billions for plotting)</t>
        </is>
      </c>
    </row>
    <row r="79">
      <c r="A79" t="inlineStr">
        <is>
          <t>- **S1605-D FRED HCCSDODNS**: millions USD (FRED's native unit — convert in P02)</t>
        </is>
      </c>
    </row>
    <row r="80">
      <c r="A80" t="inlineStr">
        <is>
          <t>- **S1605-B/E DPI**: billions USD SAAR</t>
        </is>
      </c>
    </row>
    <row r="81">
      <c r="A81" t="inlineStr"/>
    </row>
    <row r="82">
      <c r="A82" t="inlineStr">
        <is>
          <t>The unit-mismatch awareness is mandatory and explicit in P02 loader code.</t>
        </is>
      </c>
    </row>
    <row r="83">
      <c r="A83" t="inlineStr"/>
    </row>
    <row r="84">
      <c r="A84" t="inlineStr">
        <is>
          <t>## 7. Caveats</t>
        </is>
      </c>
    </row>
    <row r="85">
      <c r="A85" t="inlineStr"/>
    </row>
    <row r="86">
      <c r="A86" t="inlineStr">
        <is>
          <t>1. **CMDEBT/DPI 1000× failure mode**. The textbook example of why the anu-framework Unit Documentation rule exists. The P02 loader has an inline dimensional-analysis comment AND a sanity assertion that `0.3 &lt; ratio &lt; 1.5` (households can be highly leveraged but not 1000× DPI). Any value outside this band raises `AssertionError` and fails the loader.</t>
        </is>
      </c>
    </row>
    <row r="87">
      <c r="A87" t="inlineStr">
        <is>
          <t>2. **Z.1 D.3 line renumbering post-2013**. The Federal Reserve renamed Flow of Funds -&gt; Financial Accounts in 2013, and table D.3 was restructured. FRED `HCCSDODNS` preserves the concept regardless of D.3 line numbering. The loader uses FRED series identifiers, not Z.1 line numbers.</t>
        </is>
      </c>
    </row>
    <row r="88">
      <c r="A88" t="inlineStr">
        <is>
          <t>3. **HHDispPersInc cross-check**. The book `HHDispPersInc` (S1605-B) is in billions USD. FRED `DPI` matches this within revisions. CD2's PI substitution would diverge by ~20-25% on the level.</t>
        </is>
      </c>
    </row>
    <row r="89">
      <c r="A89" t="inlineStr">
        <is>
          <t>4. **No CMDEBT or PI substitution**. Both are explicitly rejected by Phase 4. The CD2 extension is not used.</t>
        </is>
      </c>
    </row>
    <row r="90">
      <c r="A90" t="inlineStr">
        <is>
          <t>5. **No proxies in canonical path**. HCCSDODNS is the book's exact concept; DPI is the book's exact concept. `proxy: false`.</t>
        </is>
      </c>
    </row>
    <row r="91">
      <c r="A91" t="inlineStr"/>
    </row>
    <row r="92">
      <c r="A92" t="inlineStr">
        <is>
          <t>## 8. Cross-references</t>
        </is>
      </c>
    </row>
    <row r="93">
      <c r="A93" t="inlineStr"/>
    </row>
    <row r="94">
      <c r="A94" t="inlineStr">
        <is>
          <t>- **CD legacy ID**: `S100`</t>
        </is>
      </c>
    </row>
    <row r="95">
      <c r="A95" t="inlineStr">
        <is>
          <t>- **CD2 legacy ID**: `S100` (3 subseries A-C; extension via wrong-concept CMDEBT/PI proxies — now corrected)</t>
        </is>
      </c>
    </row>
    <row r="96">
      <c r="A96" t="inlineStr">
        <is>
          <t>- **Predecessor artifact**: `SalvagedInputs/extension_benchmarks/CD2_v1.3/Series/S100_*`</t>
        </is>
      </c>
    </row>
    <row r="97">
      <c r="A97" t="inlineStr">
        <is>
          <t>- **Book reference**: Shaikh (2016), Ch. 16, p. 735 (Fig 16.9); Appendix 16.1 p. 899; Appendix 16.2 DebtIncRatio sheet</t>
        </is>
      </c>
    </row>
    <row r="98">
      <c r="A98" t="inlineStr">
        <is>
          <t>- **Paired with**: S1606 (Household Debt-Service Ratio) — same denominator family (DPI), parallel narrative</t>
        </is>
      </c>
    </row>
    <row r="99">
      <c r="A99" t="inlineStr"/>
    </row>
    <row r="100">
      <c r="A100" t="inlineStr">
        <is>
          <t>## 9. Validation expectation</t>
        </is>
      </c>
    </row>
    <row r="101">
      <c r="A101" t="inlineStr"/>
    </row>
    <row r="102">
      <c r="A102" t="inlineStr">
        <is>
          <t>- **Tolerance**: ±1.0% per year on S1605-C against Appendix 16.2 `HHDebtIncRatio` column over 1975-2012.</t>
        </is>
      </c>
    </row>
    <row r="103">
      <c r="A103" t="inlineStr">
        <is>
          <t>- **Expected MAE**: ~0% (we read the book ratio directly into the book-period parquet).</t>
        </is>
      </c>
    </row>
    <row r="104">
      <c r="A104" t="inlineStr">
        <is>
          <t>- **Extension cross-check**: at 2012 splice, FRED-derived ratio must match book ratio within ±2% (allows for FRED-vintage HCCSDODNS revisions).</t>
        </is>
      </c>
    </row>
    <row r="105">
      <c r="A105" t="inlineStr">
        <is>
          <t>- **Sanity-band assertion**: ratio in [0.3, 1.5] at every year. If violated, the loader fails with a unit-conversion-error message.</t>
        </is>
      </c>
    </row>
    <row r="106">
      <c r="A106" t="inlineStr">
        <is>
          <t>- **CD2 divergence diagnostic (informational)**: report magnitude of CMDEBT/PI replication divergence vs HCCSDODNS/DPI canonical — expected to be material evidence of the wrong-concept-proxy effect.</t>
        </is>
      </c>
    </row>
    <row r="109">
      <c r="A109" s="4">
        <f>== EPR: S1605_EPR.md ===</f>
        <v/>
      </c>
    </row>
    <row r="110">
      <c r="A110" t="inlineStr">
        <is>
          <t># S1605 — Extension Provenance Record</t>
        </is>
      </c>
    </row>
    <row r="111">
      <c r="A111" t="inlineStr"/>
    </row>
    <row r="112">
      <c r="A112" t="inlineStr">
        <is>
          <t>**Series**: S1605 — Household Debt-to-Income Ratio</t>
        </is>
      </c>
    </row>
    <row r="113">
      <c r="A113" t="inlineStr">
        <is>
          <t>**Phase**: 6 (Extension)</t>
        </is>
      </c>
    </row>
    <row r="114">
      <c r="A114" t="inlineStr">
        <is>
          <t>**Construction classification**: `formula`</t>
        </is>
      </c>
    </row>
    <row r="115">
      <c r="A115" t="inlineStr">
        <is>
          <t>**Extension method**: re-fetch HCCSDODNS (book-spec numerator) and DPI (book-spec denominator) from FRED; recompute ratio with explicit unit conversion</t>
        </is>
      </c>
    </row>
    <row r="116">
      <c r="A116" t="inlineStr">
        <is>
          <t>**Authored**: 2026-05-18</t>
        </is>
      </c>
    </row>
    <row r="117">
      <c r="A117" t="inlineStr">
        <is>
          <t>**Author**: opus-subagent-ch16-fanout</t>
        </is>
      </c>
    </row>
    <row r="118">
      <c r="A118" t="inlineStr"/>
    </row>
    <row r="119">
      <c r="A119" t="inlineStr">
        <is>
          <t>---</t>
        </is>
      </c>
    </row>
    <row r="120">
      <c r="A120" t="inlineStr"/>
    </row>
    <row r="121">
      <c r="A121" t="inlineStr">
        <is>
          <t>## 1. Why this series is extendable</t>
        </is>
      </c>
    </row>
    <row r="122">
      <c r="A122" t="inlineStr"/>
    </row>
    <row r="123">
      <c r="A123" t="inlineStr">
        <is>
          <t>`time_series`. Both components are continuously published Federal Reserve / BEA series republished on FRED with public-domain license:</t>
        </is>
      </c>
    </row>
    <row r="124">
      <c r="A124" t="inlineStr">
        <is>
          <t>- `HCCSDODNS` — Households Debt Securities and Loans Liability, quarterly, 1947Q1-present</t>
        </is>
      </c>
    </row>
    <row r="125">
      <c r="A125" t="inlineStr">
        <is>
          <t>- `DPI` — Disposable Personal Income, BEA NIPA T2.1 line 27, monthly/quarterly, 1959-present (annual back to 1929)</t>
        </is>
      </c>
    </row>
    <row r="126">
      <c r="A126" t="inlineStr"/>
    </row>
    <row r="127">
      <c r="A127" t="inlineStr">
        <is>
          <t>Both have no methodological breaks across the splice year 2012.</t>
        </is>
      </c>
    </row>
    <row r="128">
      <c r="A128" t="inlineStr"/>
    </row>
    <row r="129">
      <c r="A129" t="inlineStr">
        <is>
          <t>## 2. Construction classification</t>
        </is>
      </c>
    </row>
    <row r="130">
      <c r="A130" t="inlineStr"/>
    </row>
    <row r="131">
      <c r="A131" t="inlineStr">
        <is>
          <t>`formula` — direct ratio of two underlying series. Per the Anu rule on lazy splices for derived quantities, extension MUST recompute the formula with extended component data, NOT lazy-splice a growth rate onto the book ratio. This is exactly what L01/P02_S1605 does.</t>
        </is>
      </c>
    </row>
    <row r="132">
      <c r="A132" t="inlineStr"/>
    </row>
    <row r="133">
      <c r="A133" t="inlineStr">
        <is>
          <t>## 3. Method</t>
        </is>
      </c>
    </row>
    <row r="134">
      <c r="A134" t="inlineStr"/>
    </row>
    <row r="135">
      <c r="A135" t="inlineStr">
        <is>
          <t>```</t>
        </is>
      </c>
    </row>
    <row r="136">
      <c r="A136" t="inlineStr">
        <is>
          <t>INPUTS (each extension run, TTL=30d)</t>
        </is>
      </c>
    </row>
    <row r="137">
      <c r="A137" t="inlineStr">
        <is>
          <t xml:space="preserve">  FRED HCCSDODNS  quarterly -&gt; annual avg, millions USD</t>
        </is>
      </c>
    </row>
    <row r="138">
      <c r="A138" t="inlineStr">
        <is>
          <t xml:space="preserve">  FRED DPI        quarterly -&gt; annual avg, billions USD SAAR</t>
        </is>
      </c>
    </row>
    <row r="139">
      <c r="A139" t="inlineStr"/>
    </row>
    <row r="140">
      <c r="A140" t="inlineStr">
        <is>
          <t>UNIT CONVERSION (CRITICAL — explicit in P02)</t>
        </is>
      </c>
    </row>
    <row r="141">
      <c r="A141" t="inlineStr">
        <is>
          <t xml:space="preserve">  # Dimensional analysis:</t>
        </is>
      </c>
    </row>
    <row r="142">
      <c r="A142" t="inlineStr">
        <is>
          <t xml:space="preserve">  #   HCCSDODNS units = millions USD</t>
        </is>
      </c>
    </row>
    <row r="143">
      <c r="A143" t="inlineStr">
        <is>
          <t xml:space="preserve">  #   DPI       units = billions USD SAAR</t>
        </is>
      </c>
    </row>
    <row r="144">
      <c r="A144" t="inlineStr">
        <is>
          <t xml:space="preserve">  #   ratio = HCCSDODNS / (DPI * 1000)</t>
        </is>
      </c>
    </row>
    <row r="145">
      <c r="A145" t="inlineStr">
        <is>
          <t xml:space="preserve">  #         = millions / (billions * 1000)</t>
        </is>
      </c>
    </row>
    <row r="146">
      <c r="A146" t="inlineStr">
        <is>
          <t xml:space="preserve">  #         = millions / millions</t>
        </is>
      </c>
    </row>
    <row r="147">
      <c r="A147" t="inlineStr">
        <is>
          <t xml:space="preserve">  #         = unitless</t>
        </is>
      </c>
    </row>
    <row r="148">
      <c r="A148" t="inlineStr">
        <is>
          <t xml:space="preserve">  # If we forgot the *1000, ratio would be 1000x too large.</t>
        </is>
      </c>
    </row>
    <row r="149">
      <c r="A149" t="inlineStr"/>
    </row>
    <row r="150">
      <c r="A150" t="inlineStr">
        <is>
          <t>COMPUTE</t>
        </is>
      </c>
    </row>
    <row r="151">
      <c r="A151" t="inlineStr">
        <is>
          <t xml:space="preserve">  ratio_extended_t = HCCSDODNS_t / (DPI_t * 1000.0)    for t in [1947, 2024]</t>
        </is>
      </c>
    </row>
    <row r="152">
      <c r="A152" t="inlineStr"/>
    </row>
    <row r="153">
      <c r="A153" t="inlineStr">
        <is>
          <t>SPLICE</t>
        </is>
      </c>
    </row>
    <row r="154">
      <c r="A154" t="inlineStr">
        <is>
          <t xml:space="preserve">  S1605-A_extended[t] = book HHDebt[t]         for t in [1975, 2012]    (billions USD)</t>
        </is>
      </c>
    </row>
    <row r="155">
      <c r="A155" t="inlineStr">
        <is>
          <t xml:space="preserve">  S1605-A_extended[t] = HCCSDODNS_t / 1000.0   for t in [2013, 2024]    (converted to billions)</t>
        </is>
      </c>
    </row>
    <row r="156">
      <c r="A156" t="inlineStr">
        <is>
          <t xml:space="preserve">  S1605-B_extended[t] = book HHDispPersInc[t]  for t in [1975, 2012]</t>
        </is>
      </c>
    </row>
    <row r="157">
      <c r="A157" t="inlineStr">
        <is>
          <t xml:space="preserve">  S1605-B_extended[t] = DPI_t                  for t in [2013, 2024]</t>
        </is>
      </c>
    </row>
    <row r="158">
      <c r="A158" t="inlineStr">
        <is>
          <t xml:space="preserve">  S1605-C_extended[t] = book HHDebtIncRatio[t] for t in [1975, 2012]</t>
        </is>
      </c>
    </row>
    <row r="159">
      <c r="A159" t="inlineStr">
        <is>
          <t xml:space="preserve">  S1605-C_extended[t] = HCCSDODNS_t / (DPI_t * 1000.0)  for t in [2013, 2024]</t>
        </is>
      </c>
    </row>
    <row r="160">
      <c r="A160" t="inlineStr"/>
    </row>
    <row r="161">
      <c r="A161" t="inlineStr">
        <is>
          <t>SANITY GATE</t>
        </is>
      </c>
    </row>
    <row r="162">
      <c r="A162" t="inlineStr">
        <is>
          <t xml:space="preserve">  assert 0.3 &lt;= ratio_extended_t &lt;= 1.5 for all t in [2013, 2024]</t>
        </is>
      </c>
    </row>
    <row r="163">
      <c r="A163" t="inlineStr">
        <is>
          <t xml:space="preserve">  # Households can be highly leveraged (peak ~1.35 of DPI in 2007), but</t>
        </is>
      </c>
    </row>
    <row r="164">
      <c r="A164" t="inlineStr">
        <is>
          <t xml:space="preserve">  # cannot be 1000x DPI. This catches the CMDEBT/DPI 1000x failure mode.</t>
        </is>
      </c>
    </row>
    <row r="165">
      <c r="A165" t="inlineStr">
        <is>
          <t>```</t>
        </is>
      </c>
    </row>
    <row r="166">
      <c r="A166" t="inlineStr"/>
    </row>
    <row r="167">
      <c r="A167" t="inlineStr">
        <is>
          <t>## 4. Component re-fetching</t>
        </is>
      </c>
    </row>
    <row r="168">
      <c r="A168" t="inlineStr"/>
    </row>
    <row r="169">
      <c r="A169" t="inlineStr">
        <is>
          <t>Every extension run re-pulls HCCSDODNS and DPI from FRED. The ratio is recomputed from extended component data; never lazy-spliced. The unit conversion is in the P02 code with an explicit dimensional comment (per anu-framework Unit Documentation rule).</t>
        </is>
      </c>
    </row>
    <row r="170">
      <c r="A170" t="inlineStr"/>
    </row>
    <row r="171">
      <c r="A171" t="inlineStr">
        <is>
          <t>## 5. Proxies</t>
        </is>
      </c>
    </row>
    <row r="172">
      <c r="A172" t="inlineStr"/>
    </row>
    <row r="173">
      <c r="A173" t="inlineStr">
        <is>
          <t>**None.**</t>
        </is>
      </c>
    </row>
    <row r="174">
      <c r="A174" t="inlineStr"/>
    </row>
    <row r="175">
      <c r="A175" t="inlineStr">
        <is>
          <t>- **HCCSDODNS** = Z.1 D.3 line 2 (households-only). Direct match to book spec.</t>
        </is>
      </c>
    </row>
    <row r="176">
      <c r="A176" t="inlineStr">
        <is>
          <t>- **DPI** = NIPA T2.1 line 27 (Disposable Personal Income). Direct match to book spec.</t>
        </is>
      </c>
    </row>
    <row r="177">
      <c r="A177" t="inlineStr"/>
    </row>
    <row r="178">
      <c r="A178" t="inlineStr">
        <is>
          <t>CD2's CMDEBT (households+nonprofits) and PI (pre-tax personal income) were wrong-concept proxies. Phase 4 RATIFIED the correction to HCCSDODNS/DPI. The substitution RESTORES book-spec fidelity rather than introducing a new proxy. `proxy: false` on both subseries with `proxy_justification: null`.</t>
        </is>
      </c>
    </row>
    <row r="179">
      <c r="A179" t="inlineStr"/>
    </row>
    <row r="180">
      <c r="A180" t="inlineStr">
        <is>
          <t>Documentation in registry:</t>
        </is>
      </c>
    </row>
    <row r="181">
      <c r="A181" t="inlineStr">
        <is>
          <t>```json</t>
        </is>
      </c>
    </row>
    <row r="182">
      <c r="A182" t="inlineStr">
        <is>
          <t>"proxy": false,</t>
        </is>
      </c>
    </row>
    <row r="183">
      <c r="A183" t="inlineStr">
        <is>
          <t>"proxy_justification": "RSCD restores Shaikh's stated book spec (Z.1 D.3 line 2 / NIPA T2.1 line 27). CD2's CMDEBT/PI substitution was the wrong-concept proxy; HCCSDODNS/DPI corrects it."</t>
        </is>
      </c>
    </row>
    <row r="184">
      <c r="A184" t="inlineStr">
        <is>
          <t>```</t>
        </is>
      </c>
    </row>
    <row r="185">
      <c r="A185" t="inlineStr"/>
    </row>
    <row r="186">
      <c r="A186" t="inlineStr">
        <is>
          <t>## 6. Synthetic data</t>
        </is>
      </c>
    </row>
    <row r="187">
      <c r="A187" t="inlineStr"/>
    </row>
    <row r="188">
      <c r="A188" t="inlineStr">
        <is>
          <t>**None permitted.** If FRED returns NaN for any year, that NaN propagates to S1605-C. No interpolation, no carry-forward. NaN years are reported in the validator's `gaps` field.</t>
        </is>
      </c>
    </row>
    <row r="189">
      <c r="A189" t="inlineStr"/>
    </row>
    <row r="190">
      <c r="A190" t="inlineStr">
        <is>
          <t>## 7. Failure modes &amp; graceful degradation</t>
        </is>
      </c>
    </row>
    <row r="191">
      <c r="A191" t="inlineStr"/>
    </row>
    <row r="192">
      <c r="A192" t="inlineStr">
        <is>
          <t>| Failure | Detection | Action |</t>
        </is>
      </c>
    </row>
    <row r="193">
      <c r="A193" t="inlineStr">
        <is>
          <t>|---|---|---|</t>
        </is>
      </c>
    </row>
    <row r="194">
      <c r="A194" t="inlineStr">
        <is>
          <t>| FRED_API_KEY missing | startup | Loader skips extension; book period 1975-2012 published only |</t>
        </is>
      </c>
    </row>
    <row r="195">
      <c r="A195" t="inlineStr">
        <is>
          <t>| HCCSDODNS or DPI returns 5xx | retry 3× | Mark `extension_status: api_error`, publish book period only |</t>
        </is>
      </c>
    </row>
    <row r="196">
      <c r="A196" t="inlineStr">
        <is>
          <t>| Splice continuity violation at 2012 | merge check | If FRED ratio differs from book ratio at 2012 by &gt;2%, log diagnostic; do NOT auto-substitute |</t>
        </is>
      </c>
    </row>
    <row r="197">
      <c r="A197" t="inlineStr">
        <is>
          <t>| Sanity-band violation (ratio outside [0.3, 1.5]) | post-compute assertion | RAISE AssertionError — this is the CMDEBT/DPI 1000x failure mode trap |</t>
        </is>
      </c>
    </row>
    <row r="198">
      <c r="A198" t="inlineStr">
        <is>
          <t>| FRED rebases series | TTL refresh | Next run re-fetches; ratio is base-invariant |</t>
        </is>
      </c>
    </row>
    <row r="199">
      <c r="A199" t="inlineStr"/>
    </row>
    <row r="200">
      <c r="A200" t="inlineStr">
        <is>
          <t>## 8. CD2 divergence</t>
        </is>
      </c>
    </row>
    <row r="201">
      <c r="A201" t="inlineStr"/>
    </row>
    <row r="202">
      <c r="A202" t="inlineStr">
        <is>
          <t>CD2's `S100` extension used CMDEBT/PI. Our canonical extension uses HCCSDODNS/DPI. Documented divergence:</t>
        </is>
      </c>
    </row>
    <row r="203">
      <c r="A203" t="inlineStr">
        <is>
          <t>- **At 2011 (last full CD2 year)**: CMDEBT/(PI*1000) vs HCCSDODNS/(DPI*1000) — measure the magnitude as evidence of the wrong-concept-proxy effect.</t>
        </is>
      </c>
    </row>
    <row r="204">
      <c r="A204" t="inlineStr">
        <is>
          <t>- Expected: 5-15% level difference (CMDEBT is ~6% larger than HCCSDODNS due to nonprofits; PI is ~12-14% larger than DPI due to pre-tax basis; net effect ~7-9% lower ratio on the CMDEBT/PI basis).</t>
        </is>
      </c>
    </row>
    <row r="205">
      <c r="A205" t="inlineStr"/>
    </row>
    <row r="206">
      <c r="A206" t="inlineStr">
        <is>
          <t>This divergence is the empirical confirmation that the CD2 proxies were materially wrong — and the validator emits the comparison as informational evidence in the V03 report.</t>
        </is>
      </c>
    </row>
    <row r="207">
      <c r="A207" t="inlineStr"/>
    </row>
    <row r="208">
      <c r="A208" t="inlineStr">
        <is>
          <t>## 9. Splice diagnostics (V03)</t>
        </is>
      </c>
    </row>
    <row r="209">
      <c r="A209" t="inlineStr"/>
    </row>
    <row r="210">
      <c r="A210" t="inlineStr">
        <is>
          <t>- Per-year MAE on S1605-C book period (1975-2012) vs Appendix 16.2 `HHDebtIncRatio` column — expected ~0%</t>
        </is>
      </c>
    </row>
    <row r="211">
      <c r="A211" t="inlineStr">
        <is>
          <t>- Splice continuity at 2012: book ratio vs FRED-derived ratio — within ±2%</t>
        </is>
      </c>
    </row>
    <row r="212">
      <c r="A212" t="inlineStr">
        <is>
          <t>- Sanity band: all extension years' ratios in [0.3, 1.5]</t>
        </is>
      </c>
    </row>
    <row r="213">
      <c r="A213" t="inlineStr">
        <is>
          <t>- Unit-conversion audit: P02 loader code grep confirms `* 1000.0` appears in the ratio formula AND the dimensional-analysis comment is present</t>
        </is>
      </c>
    </row>
    <row r="214">
      <c r="A214" t="inlineStr">
        <is>
          <t>- CD2 informational divergence: CMDEBT/PI vs HCCSDODNS/DPI delta 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54" customWidth="1" min="6" max="6"/>
    <col width="49" customWidth="1" min="7" max="7"/>
    <col width="62" customWidth="1" min="8" max="8"/>
    <col width="49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S1605-A</t>
        </is>
      </c>
      <c r="B2" t="inlineStr">
        <is>
          <t>SHAIKH_APPENDIX_16_2</t>
        </is>
      </c>
      <c r="C2" t="inlineStr">
        <is>
          <t>Shaikh, Capitalism (2016), Appendix 16.2 -- Chapter 16 Data Tables (WageProdData, RXRRULCOECD, ProfitRates, DebtIncRatio, HouseholdDebtService)</t>
        </is>
      </c>
      <c r="D2" t="inlineStr">
        <is>
          <t>Anwar Shaikh (author construction from BLS / BEA NIPA / Federal Reserve Z.1 + H.10 + housedebt / IMF IFS / FRED)</t>
        </is>
      </c>
      <c r="E2" t="inlineStr">
        <is>
          <t>http://www.anwarshaikhecon.org/</t>
        </is>
      </c>
      <c r="F2" t="inlineStr">
        <is>
          <t>mixed (indices, decimal rates, ratios, billions USD)</t>
        </is>
      </c>
      <c r="G2" t="inlineStr">
        <is>
          <t>annual (and quarterly for HouseholdDebtService)</t>
        </is>
      </c>
      <c r="H2" t="inlineStr">
        <is>
          <t>Copyright OUP; underlying BLS/BEA/Fed/IMF data are public domain or freely redistributable. Reproduced under fair use for replication.</t>
        </is>
      </c>
      <c r="I2" t="inlineStr">
        <is>
          <t>salvaged xlsx (anwarshaikhecon.org now offline)</t>
        </is>
      </c>
    </row>
    <row r="3">
      <c r="A3" t="inlineStr">
        <is>
          <t>S1605-B</t>
        </is>
      </c>
      <c r="B3" t="inlineStr">
        <is>
          <t>SHAIKH_APPENDIX_16_2</t>
        </is>
      </c>
      <c r="C3" t="inlineStr">
        <is>
          <t>Shaikh, Capitalism (2016), Appendix 16.2 -- Chapter 16 Data Tables (WageProdData, RXRRULCOECD, ProfitRates, DebtIncRatio, HouseholdDebtService)</t>
        </is>
      </c>
      <c r="D3" t="inlineStr">
        <is>
          <t>Anwar Shaikh (author construction from BLS / BEA NIPA / Federal Reserve Z.1 + H.10 + housedebt / IMF IFS / FRED)</t>
        </is>
      </c>
      <c r="E3" t="inlineStr">
        <is>
          <t>http://www.anwarshaikhecon.org/</t>
        </is>
      </c>
      <c r="F3" t="inlineStr">
        <is>
          <t>mixed (indices, decimal rates, ratios, billions USD)</t>
        </is>
      </c>
      <c r="G3" t="inlineStr">
        <is>
          <t>annual (and quarterly for HouseholdDebtService)</t>
        </is>
      </c>
      <c r="H3" t="inlineStr">
        <is>
          <t>Copyright OUP; underlying BLS/BEA/Fed/IMF data are public domain or freely redistributable. Reproduced under fair use for replication.</t>
        </is>
      </c>
      <c r="I3" t="inlineStr">
        <is>
          <t>salvaged xlsx (anwarshaikhecon.org now offline)</t>
        </is>
      </c>
    </row>
    <row r="4">
      <c r="A4" t="inlineStr">
        <is>
          <t>S1605-C</t>
        </is>
      </c>
      <c r="B4" t="inlineStr">
        <is>
          <t>SHAIKH_APPENDIX_16_2</t>
        </is>
      </c>
      <c r="C4" t="inlineStr">
        <is>
          <t>Shaikh, Capitalism (2016), Appendix 16.2 -- Chapter 16 Data Tables (WageProdData, RXRRULCOECD, ProfitRates, DebtIncRatio, HouseholdDebtService)</t>
        </is>
      </c>
      <c r="D4" t="inlineStr">
        <is>
          <t>Anwar Shaikh (author construction from BLS / BEA NIPA / Federal Reserve Z.1 + H.10 + housedebt / IMF IFS / FRED)</t>
        </is>
      </c>
      <c r="E4" t="inlineStr">
        <is>
          <t>http://www.anwarshaikhecon.org/</t>
        </is>
      </c>
      <c r="F4" t="inlineStr">
        <is>
          <t>mixed (indices, decimal rates, ratios, billions USD)</t>
        </is>
      </c>
      <c r="G4" t="inlineStr">
        <is>
          <t>annual (and quarterly for HouseholdDebtService)</t>
        </is>
      </c>
      <c r="H4" t="inlineStr">
        <is>
          <t>Copyright OUP; underlying BLS/BEA/Fed/IMF data are public domain or freely redistributable. Reproduced under fair use for replication.</t>
        </is>
      </c>
      <c r="I4" t="inlineStr">
        <is>
          <t>salvaged xlsx (anwarshaikhecon.org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S1605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[1975, 2012]</t>
        </is>
      </c>
    </row>
    <row r="7">
      <c r="A7" t="inlineStr">
        <is>
          <t>n_compared</t>
        </is>
      </c>
      <c r="B7" t="n">
        <v>114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per_subseries</t>
        </is>
      </c>
      <c r="B13" t="inlineStr">
        <is>
          <t>{"S1605-A": {"n": 38, "mae": 0.0, "max_pct_err": 0.0, "div_years": []}, "S1605-B": {"n": 38, "mae": 0.0, "max_pct_err": 0.0, "div_years": []}, "S1605-C": {"n": 38, "mae": 0.0, "max_pct_err": 0.0, "div_years": []}}</t>
        </is>
      </c>
    </row>
    <row r="14">
      <c r="A14" t="inlineStr">
        <is>
          <t>validated_at</t>
        </is>
      </c>
      <c r="B14" t="inlineStr">
        <is>
          <t>2026-07-02T06:20:30.436916+00:00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S1605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2026-07-02T11:32:48Z</dcterms:created>
  <dcterms:modified xmlns:dcterms="http://purl.org/dc/terms/" xmlns:xsi="http://www.w3.org/2001/XMLSchema-instance" xsi:type="dcterms:W3CDTF">2026-07-02T11:32:48Z</dcterms:modified>
</cp:coreProperties>
</file>
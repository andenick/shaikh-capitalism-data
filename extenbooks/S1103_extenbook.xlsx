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S1103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'Data'!$B$4:$B$53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'Data'!$C$4:$C$53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33" customWidth="1" min="4" max="4"/>
    <col width="21" customWidth="1" min="5" max="5"/>
  </cols>
  <sheetData>
    <row r="1">
      <c r="A1" s="1" t="inlineStr">
        <is>
          <t>S1103 — annual values (long form below pivot)</t>
        </is>
      </c>
    </row>
    <row r="2"/>
    <row r="3">
      <c r="A3" s="2" t="inlineStr">
        <is>
          <t>year</t>
        </is>
      </c>
      <c r="B3" s="2" t="inlineStr">
        <is>
          <t>S1103-A</t>
        </is>
      </c>
      <c r="C3" s="2" t="inlineStr">
        <is>
          <t>S1103-B</t>
        </is>
      </c>
    </row>
    <row r="4">
      <c r="A4" t="n">
        <v>1960</v>
      </c>
      <c r="B4" t="n">
        <v>99.78539908074232</v>
      </c>
      <c r="C4" t="n">
        <v>102.2158734278425</v>
      </c>
    </row>
    <row r="5">
      <c r="A5" t="n">
        <v>1961</v>
      </c>
      <c r="B5" t="n">
        <v>101.7480361644832</v>
      </c>
      <c r="C5" t="n">
        <v>102.2154282300439</v>
      </c>
    </row>
    <row r="6">
      <c r="A6" t="n">
        <v>1962</v>
      </c>
      <c r="B6" t="n">
        <v>93.59488830833688</v>
      </c>
      <c r="C6" t="n">
        <v>104.8341636679185</v>
      </c>
    </row>
    <row r="7">
      <c r="A7" t="n">
        <v>1963</v>
      </c>
      <c r="B7" t="n">
        <v>96.22654446771932</v>
      </c>
      <c r="C7" t="n">
        <v>104.9603257859429</v>
      </c>
    </row>
    <row r="8">
      <c r="A8" t="n">
        <v>1964</v>
      </c>
      <c r="B8" t="n">
        <v>91.60553085812163</v>
      </c>
      <c r="C8" t="n">
        <v>102.2165747700095</v>
      </c>
    </row>
    <row r="9">
      <c r="A9" t="n">
        <v>1965</v>
      </c>
      <c r="B9" t="n">
        <v>84.96099213941898</v>
      </c>
      <c r="C9" t="n">
        <v>105.778043883445</v>
      </c>
    </row>
    <row r="10">
      <c r="A10" t="n">
        <v>1966</v>
      </c>
      <c r="B10" t="n">
        <v>88.62449312915419</v>
      </c>
      <c r="C10" t="n">
        <v>107.1769318852253</v>
      </c>
    </row>
    <row r="11">
      <c r="A11" t="n">
        <v>1967</v>
      </c>
      <c r="B11" t="n">
        <v>94.49428152665759</v>
      </c>
      <c r="C11" t="n">
        <v>104.070478517542</v>
      </c>
    </row>
    <row r="12">
      <c r="A12" t="n">
        <v>1968</v>
      </c>
      <c r="B12" t="n">
        <v>93.78763966237119</v>
      </c>
      <c r="C12" t="n">
        <v>106.4945770157482</v>
      </c>
    </row>
    <row r="13">
      <c r="A13" t="n">
        <v>1969</v>
      </c>
      <c r="B13" t="n">
        <v>95.50402485908975</v>
      </c>
      <c r="C13" t="n">
        <v>102.9280904856309</v>
      </c>
    </row>
    <row r="14">
      <c r="A14" t="n">
        <v>1970</v>
      </c>
      <c r="B14" t="n">
        <v>95.80100177665973</v>
      </c>
      <c r="C14" t="n">
        <v>101.0795458897892</v>
      </c>
    </row>
    <row r="15">
      <c r="A15" t="n">
        <v>1971</v>
      </c>
      <c r="B15" t="n">
        <v>87.44975960469506</v>
      </c>
      <c r="C15" t="n">
        <v>104.2625505242065</v>
      </c>
    </row>
    <row r="16">
      <c r="A16" t="n">
        <v>1972</v>
      </c>
      <c r="B16" t="n">
        <v>91.42160462039709</v>
      </c>
      <c r="C16" t="n">
        <v>98.08871109743744</v>
      </c>
    </row>
    <row r="17">
      <c r="A17" t="n">
        <v>1973</v>
      </c>
      <c r="B17" t="n">
        <v>97.63307282554641</v>
      </c>
      <c r="C17" t="n">
        <v>89.19900425836262</v>
      </c>
    </row>
    <row r="18">
      <c r="A18" t="n">
        <v>1974</v>
      </c>
      <c r="B18" t="n">
        <v>91.22314818527816</v>
      </c>
      <c r="C18" t="n">
        <v>88.51121016404124</v>
      </c>
    </row>
    <row r="19">
      <c r="A19" t="n">
        <v>1975</v>
      </c>
      <c r="B19" t="n">
        <v>80.17084965343241</v>
      </c>
      <c r="C19" t="n">
        <v>99.08731204303686</v>
      </c>
    </row>
    <row r="20">
      <c r="A20" t="n">
        <v>1976</v>
      </c>
      <c r="B20" t="n">
        <v>86.1481396613752</v>
      </c>
      <c r="C20" t="n">
        <v>102.7674056869619</v>
      </c>
    </row>
    <row r="21">
      <c r="A21" t="n">
        <v>1977</v>
      </c>
      <c r="B21" t="n">
        <v>90.75354083440537</v>
      </c>
      <c r="C21" t="n">
        <v>100.8701225633895</v>
      </c>
    </row>
    <row r="22">
      <c r="A22" t="n">
        <v>1978</v>
      </c>
      <c r="B22" t="n">
        <v>106.3662107541374</v>
      </c>
      <c r="C22" t="n">
        <v>92.10936030927628</v>
      </c>
    </row>
    <row r="23">
      <c r="A23" t="n">
        <v>1979</v>
      </c>
      <c r="B23" t="n">
        <v>92.11542432200849</v>
      </c>
      <c r="C23" t="n">
        <v>89.77406934902578</v>
      </c>
    </row>
    <row r="24">
      <c r="A24" t="n">
        <v>1980</v>
      </c>
      <c r="B24" t="n">
        <v>92.68461665002802</v>
      </c>
      <c r="C24" t="n">
        <v>89.27509130187576</v>
      </c>
    </row>
    <row r="25">
      <c r="A25" t="n">
        <v>1981</v>
      </c>
      <c r="B25" t="n">
        <v>100.9319027722061</v>
      </c>
      <c r="C25" t="n">
        <v>106.895672224787</v>
      </c>
    </row>
    <row r="26">
      <c r="A26" t="n">
        <v>1982</v>
      </c>
      <c r="B26" t="n">
        <v>93.04909736832026</v>
      </c>
      <c r="C26" t="n">
        <v>111.4932942103442</v>
      </c>
    </row>
    <row r="27">
      <c r="A27" t="n">
        <v>1983</v>
      </c>
      <c r="B27" t="n">
        <v>96.37328291088699</v>
      </c>
      <c r="C27" t="n">
        <v>119.1778472621178</v>
      </c>
    </row>
    <row r="28">
      <c r="A28" t="n">
        <v>1984</v>
      </c>
      <c r="B28" t="n">
        <v>99.22451762937762</v>
      </c>
      <c r="C28" t="n">
        <v>124.411892534217</v>
      </c>
    </row>
    <row r="29">
      <c r="A29" t="n">
        <v>1985</v>
      </c>
      <c r="B29" t="n">
        <v>100.790922028561</v>
      </c>
      <c r="C29" t="n">
        <v>121.4651562604521</v>
      </c>
    </row>
    <row r="30">
      <c r="A30" t="n">
        <v>1986</v>
      </c>
      <c r="B30" t="n">
        <v>114.970844910714</v>
      </c>
      <c r="C30" t="n">
        <v>95.51160152956115</v>
      </c>
    </row>
    <row r="31">
      <c r="A31" t="n">
        <v>1987</v>
      </c>
      <c r="B31" t="n">
        <v>115.3022422557458</v>
      </c>
      <c r="C31" t="n">
        <v>87.51618313028312</v>
      </c>
    </row>
    <row r="32">
      <c r="A32" t="n">
        <v>1988</v>
      </c>
      <c r="B32" t="n">
        <v>120.9233707591172</v>
      </c>
      <c r="C32" t="n">
        <v>84.99258887650666</v>
      </c>
    </row>
    <row r="33">
      <c r="A33" t="n">
        <v>1989</v>
      </c>
      <c r="B33" t="n">
        <v>112.2408982231482</v>
      </c>
      <c r="C33" t="n">
        <v>91.3551286118263</v>
      </c>
    </row>
    <row r="34">
      <c r="A34" t="n">
        <v>1990</v>
      </c>
      <c r="B34" t="n">
        <v>98.94258096432715</v>
      </c>
      <c r="C34" t="n">
        <v>85.80519818823066</v>
      </c>
    </row>
    <row r="35">
      <c r="A35" t="n">
        <v>1991</v>
      </c>
      <c r="B35" t="n">
        <v>110.1052807311727</v>
      </c>
      <c r="C35" t="n">
        <v>86.9986347543496</v>
      </c>
    </row>
    <row r="36">
      <c r="A36" t="n">
        <v>1992</v>
      </c>
      <c r="B36" t="n">
        <v>111.4126552114365</v>
      </c>
      <c r="C36" t="n">
        <v>84.79225088375759</v>
      </c>
    </row>
    <row r="37">
      <c r="A37" t="n">
        <v>1993</v>
      </c>
      <c r="B37" t="n">
        <v>131.7779777304706</v>
      </c>
      <c r="C37" t="n">
        <v>92.65436236903118</v>
      </c>
    </row>
    <row r="38">
      <c r="A38" t="n">
        <v>1994</v>
      </c>
      <c r="B38" t="n">
        <v>130.081849893987</v>
      </c>
      <c r="C38" t="n">
        <v>89.74722046162894</v>
      </c>
    </row>
    <row r="39">
      <c r="A39" t="n">
        <v>1995</v>
      </c>
      <c r="B39" t="n">
        <v>124.5386260743559</v>
      </c>
      <c r="C39" t="n">
        <v>83.44492123978986</v>
      </c>
    </row>
    <row r="40">
      <c r="A40" t="n">
        <v>1996</v>
      </c>
      <c r="B40" t="n">
        <v>109.4351274065232</v>
      </c>
      <c r="C40" t="n">
        <v>89.97542946482722</v>
      </c>
    </row>
    <row r="41">
      <c r="A41" t="n">
        <v>1997</v>
      </c>
      <c r="B41" t="n">
        <v>103.4737183374834</v>
      </c>
      <c r="C41" t="n">
        <v>98.42829401685182</v>
      </c>
    </row>
    <row r="42">
      <c r="A42" t="n">
        <v>1998</v>
      </c>
      <c r="B42" t="n">
        <v>96.70624999650317</v>
      </c>
      <c r="C42" t="n">
        <v>97.54008080323624</v>
      </c>
    </row>
    <row r="43">
      <c r="A43" t="n">
        <v>1999</v>
      </c>
      <c r="B43" t="n">
        <v>111.8986125179153</v>
      </c>
      <c r="C43" t="n">
        <v>98.603985064646</v>
      </c>
    </row>
    <row r="44">
      <c r="A44" t="n">
        <v>2000</v>
      </c>
      <c r="B44" t="n">
        <v>123.5586747114106</v>
      </c>
      <c r="C44" t="n">
        <v>104.2915687445939</v>
      </c>
    </row>
    <row r="45">
      <c r="A45" t="n">
        <v>2001</v>
      </c>
      <c r="B45" t="n">
        <v>106.3261051040286</v>
      </c>
      <c r="C45" t="n">
        <v>110.7829754339943</v>
      </c>
    </row>
    <row r="46">
      <c r="A46" t="n">
        <v>2002</v>
      </c>
      <c r="B46" t="n">
        <v>99.96317291535757</v>
      </c>
      <c r="C46" t="n">
        <v>108.3212333366187</v>
      </c>
    </row>
    <row r="47">
      <c r="A47" t="n">
        <v>2003</v>
      </c>
      <c r="B47" t="n">
        <v>98.83650459820674</v>
      </c>
      <c r="C47" t="n">
        <v>96.4699093511032</v>
      </c>
    </row>
    <row r="48">
      <c r="A48" t="n">
        <v>2004</v>
      </c>
      <c r="B48" t="n">
        <v>96.59774696898577</v>
      </c>
      <c r="C48" t="n">
        <v>96.92735505117606</v>
      </c>
    </row>
    <row r="49">
      <c r="A49" t="n">
        <v>2005</v>
      </c>
      <c r="B49" t="n">
        <v>92.69818923287704</v>
      </c>
      <c r="C49" t="n">
        <v>102.2378015626927</v>
      </c>
    </row>
    <row r="50">
      <c r="A50" t="n">
        <v>2006</v>
      </c>
      <c r="B50" t="n">
        <v>82.75377533887705</v>
      </c>
      <c r="C50" t="n">
        <v>104.0283381144305</v>
      </c>
    </row>
    <row r="51">
      <c r="A51" t="n">
        <v>2007</v>
      </c>
      <c r="B51" t="n">
        <v>76.59710747693032</v>
      </c>
      <c r="C51" t="n">
        <v>99.64568156635781</v>
      </c>
    </row>
    <row r="52">
      <c r="A52" t="n">
        <v>2008</v>
      </c>
      <c r="B52" t="n">
        <v>79.01709605040546</v>
      </c>
      <c r="C52" t="n">
        <v>99.20450519791076</v>
      </c>
    </row>
    <row r="53">
      <c r="A53" t="n">
        <v>2009</v>
      </c>
      <c r="B53" t="n">
        <v>82.60942919209398</v>
      </c>
      <c r="C53" t="n">
        <v>110.8617738361768</v>
      </c>
    </row>
    <row r="54"/>
    <row r="55"/>
    <row r="56"/>
    <row r="57">
      <c r="A57" s="1" t="inlineStr">
        <is>
          <t>Long form (year, value, subseries_id, source_id, units)</t>
        </is>
      </c>
    </row>
    <row r="58">
      <c r="A58" s="3" t="inlineStr">
        <is>
          <t>year</t>
        </is>
      </c>
      <c r="B58" s="3" t="inlineStr">
        <is>
          <t>value</t>
        </is>
      </c>
      <c r="C58" s="3" t="inlineStr">
        <is>
          <t>subseries_id</t>
        </is>
      </c>
      <c r="D58" s="3" t="inlineStr">
        <is>
          <t>source_id</t>
        </is>
      </c>
      <c r="E58" s="3" t="inlineStr">
        <is>
          <t>units</t>
        </is>
      </c>
    </row>
    <row r="59">
      <c r="A59" t="n">
        <v>1960</v>
      </c>
      <c r="B59" t="n">
        <v>99.78539908074232</v>
      </c>
      <c r="C59" t="inlineStr">
        <is>
          <t>S1103-A</t>
        </is>
      </c>
      <c r="D59" t="inlineStr">
        <is>
          <t>BLS_ILC_LOP_RATIO_APPENDIX_11_1</t>
        </is>
      </c>
      <c r="E59" t="inlineStr">
        <is>
          <t>ratio_dimensionless</t>
        </is>
      </c>
    </row>
    <row r="60">
      <c r="A60" t="n">
        <v>1960</v>
      </c>
      <c r="B60" t="n">
        <v>102.2158734278425</v>
      </c>
      <c r="C60" t="inlineStr">
        <is>
          <t>S1103-B</t>
        </is>
      </c>
      <c r="D60" t="inlineStr">
        <is>
          <t>BLS_ILC_LOP_RATIO_APPENDIX_11_1</t>
        </is>
      </c>
      <c r="E60" t="inlineStr">
        <is>
          <t>ratio_dimensionless</t>
        </is>
      </c>
    </row>
    <row r="61">
      <c r="A61" t="n">
        <v>1961</v>
      </c>
      <c r="B61" t="n">
        <v>101.7480361644832</v>
      </c>
      <c r="C61" t="inlineStr">
        <is>
          <t>S1103-A</t>
        </is>
      </c>
      <c r="D61" t="inlineStr">
        <is>
          <t>BLS_ILC_LOP_RATIO_APPENDIX_11_1</t>
        </is>
      </c>
      <c r="E61" t="inlineStr">
        <is>
          <t>ratio_dimensionless</t>
        </is>
      </c>
    </row>
    <row r="62">
      <c r="A62" t="n">
        <v>1961</v>
      </c>
      <c r="B62" t="n">
        <v>102.2154282300439</v>
      </c>
      <c r="C62" t="inlineStr">
        <is>
          <t>S1103-B</t>
        </is>
      </c>
      <c r="D62" t="inlineStr">
        <is>
          <t>BLS_ILC_LOP_RATIO_APPENDIX_11_1</t>
        </is>
      </c>
      <c r="E62" t="inlineStr">
        <is>
          <t>ratio_dimensionless</t>
        </is>
      </c>
    </row>
    <row r="63">
      <c r="A63" t="n">
        <v>1962</v>
      </c>
      <c r="B63" t="n">
        <v>93.59488830833688</v>
      </c>
      <c r="C63" t="inlineStr">
        <is>
          <t>S1103-A</t>
        </is>
      </c>
      <c r="D63" t="inlineStr">
        <is>
          <t>BLS_ILC_LOP_RATIO_APPENDIX_11_1</t>
        </is>
      </c>
      <c r="E63" t="inlineStr">
        <is>
          <t>ratio_dimensionless</t>
        </is>
      </c>
    </row>
    <row r="64">
      <c r="A64" t="n">
        <v>1962</v>
      </c>
      <c r="B64" t="n">
        <v>104.8341636679185</v>
      </c>
      <c r="C64" t="inlineStr">
        <is>
          <t>S1103-B</t>
        </is>
      </c>
      <c r="D64" t="inlineStr">
        <is>
          <t>BLS_ILC_LOP_RATIO_APPENDIX_11_1</t>
        </is>
      </c>
      <c r="E64" t="inlineStr">
        <is>
          <t>ratio_dimensionless</t>
        </is>
      </c>
    </row>
    <row r="65">
      <c r="A65" t="n">
        <v>1963</v>
      </c>
      <c r="B65" t="n">
        <v>96.22654446771932</v>
      </c>
      <c r="C65" t="inlineStr">
        <is>
          <t>S1103-A</t>
        </is>
      </c>
      <c r="D65" t="inlineStr">
        <is>
          <t>BLS_ILC_LOP_RATIO_APPENDIX_11_1</t>
        </is>
      </c>
      <c r="E65" t="inlineStr">
        <is>
          <t>ratio_dimensionless</t>
        </is>
      </c>
    </row>
    <row r="66">
      <c r="A66" t="n">
        <v>1963</v>
      </c>
      <c r="B66" t="n">
        <v>104.9603257859429</v>
      </c>
      <c r="C66" t="inlineStr">
        <is>
          <t>S1103-B</t>
        </is>
      </c>
      <c r="D66" t="inlineStr">
        <is>
          <t>BLS_ILC_LOP_RATIO_APPENDIX_11_1</t>
        </is>
      </c>
      <c r="E66" t="inlineStr">
        <is>
          <t>ratio_dimensionless</t>
        </is>
      </c>
    </row>
    <row r="67">
      <c r="A67" t="n">
        <v>1964</v>
      </c>
      <c r="B67" t="n">
        <v>91.60553085812163</v>
      </c>
      <c r="C67" t="inlineStr">
        <is>
          <t>S1103-A</t>
        </is>
      </c>
      <c r="D67" t="inlineStr">
        <is>
          <t>BLS_ILC_LOP_RATIO_APPENDIX_11_1</t>
        </is>
      </c>
      <c r="E67" t="inlineStr">
        <is>
          <t>ratio_dimensionless</t>
        </is>
      </c>
    </row>
    <row r="68">
      <c r="A68" t="n">
        <v>1964</v>
      </c>
      <c r="B68" t="n">
        <v>102.2165747700095</v>
      </c>
      <c r="C68" t="inlineStr">
        <is>
          <t>S1103-B</t>
        </is>
      </c>
      <c r="D68" t="inlineStr">
        <is>
          <t>BLS_ILC_LOP_RATIO_APPENDIX_11_1</t>
        </is>
      </c>
      <c r="E68" t="inlineStr">
        <is>
          <t>ratio_dimensionless</t>
        </is>
      </c>
    </row>
    <row r="69">
      <c r="A69" t="n">
        <v>1965</v>
      </c>
      <c r="B69" t="n">
        <v>84.96099213941898</v>
      </c>
      <c r="C69" t="inlineStr">
        <is>
          <t>S1103-A</t>
        </is>
      </c>
      <c r="D69" t="inlineStr">
        <is>
          <t>BLS_ILC_LOP_RATIO_APPENDIX_11_1</t>
        </is>
      </c>
      <c r="E69" t="inlineStr">
        <is>
          <t>ratio_dimensionless</t>
        </is>
      </c>
    </row>
    <row r="70">
      <c r="A70" t="n">
        <v>1965</v>
      </c>
      <c r="B70" t="n">
        <v>105.778043883445</v>
      </c>
      <c r="C70" t="inlineStr">
        <is>
          <t>S1103-B</t>
        </is>
      </c>
      <c r="D70" t="inlineStr">
        <is>
          <t>BLS_ILC_LOP_RATIO_APPENDIX_11_1</t>
        </is>
      </c>
      <c r="E70" t="inlineStr">
        <is>
          <t>ratio_dimensionless</t>
        </is>
      </c>
    </row>
    <row r="71">
      <c r="A71" t="n">
        <v>1966</v>
      </c>
      <c r="B71" t="n">
        <v>88.62449312915419</v>
      </c>
      <c r="C71" t="inlineStr">
        <is>
          <t>S1103-A</t>
        </is>
      </c>
      <c r="D71" t="inlineStr">
        <is>
          <t>BLS_ILC_LOP_RATIO_APPENDIX_11_1</t>
        </is>
      </c>
      <c r="E71" t="inlineStr">
        <is>
          <t>ratio_dimensionless</t>
        </is>
      </c>
    </row>
    <row r="72">
      <c r="A72" t="n">
        <v>1966</v>
      </c>
      <c r="B72" t="n">
        <v>107.1769318852253</v>
      </c>
      <c r="C72" t="inlineStr">
        <is>
          <t>S1103-B</t>
        </is>
      </c>
      <c r="D72" t="inlineStr">
        <is>
          <t>BLS_ILC_LOP_RATIO_APPENDIX_11_1</t>
        </is>
      </c>
      <c r="E72" t="inlineStr">
        <is>
          <t>ratio_dimensionless</t>
        </is>
      </c>
    </row>
    <row r="73">
      <c r="A73" t="n">
        <v>1967</v>
      </c>
      <c r="B73" t="n">
        <v>94.49428152665759</v>
      </c>
      <c r="C73" t="inlineStr">
        <is>
          <t>S1103-A</t>
        </is>
      </c>
      <c r="D73" t="inlineStr">
        <is>
          <t>BLS_ILC_LOP_RATIO_APPENDIX_11_1</t>
        </is>
      </c>
      <c r="E73" t="inlineStr">
        <is>
          <t>ratio_dimensionless</t>
        </is>
      </c>
    </row>
    <row r="74">
      <c r="A74" t="n">
        <v>1967</v>
      </c>
      <c r="B74" t="n">
        <v>104.070478517542</v>
      </c>
      <c r="C74" t="inlineStr">
        <is>
          <t>S1103-B</t>
        </is>
      </c>
      <c r="D74" t="inlineStr">
        <is>
          <t>BLS_ILC_LOP_RATIO_APPENDIX_11_1</t>
        </is>
      </c>
      <c r="E74" t="inlineStr">
        <is>
          <t>ratio_dimensionless</t>
        </is>
      </c>
    </row>
    <row r="75">
      <c r="A75" t="n">
        <v>1968</v>
      </c>
      <c r="B75" t="n">
        <v>93.78763966237119</v>
      </c>
      <c r="C75" t="inlineStr">
        <is>
          <t>S1103-A</t>
        </is>
      </c>
      <c r="D75" t="inlineStr">
        <is>
          <t>BLS_ILC_LOP_RATIO_APPENDIX_11_1</t>
        </is>
      </c>
      <c r="E75" t="inlineStr">
        <is>
          <t>ratio_dimensionless</t>
        </is>
      </c>
    </row>
    <row r="76">
      <c r="A76" t="n">
        <v>1968</v>
      </c>
      <c r="B76" t="n">
        <v>106.4945770157482</v>
      </c>
      <c r="C76" t="inlineStr">
        <is>
          <t>S1103-B</t>
        </is>
      </c>
      <c r="D76" t="inlineStr">
        <is>
          <t>BLS_ILC_LOP_RATIO_APPENDIX_11_1</t>
        </is>
      </c>
      <c r="E76" t="inlineStr">
        <is>
          <t>ratio_dimensionless</t>
        </is>
      </c>
    </row>
    <row r="77">
      <c r="A77" t="n">
        <v>1969</v>
      </c>
      <c r="B77" t="n">
        <v>95.50402485908975</v>
      </c>
      <c r="C77" t="inlineStr">
        <is>
          <t>S1103-A</t>
        </is>
      </c>
      <c r="D77" t="inlineStr">
        <is>
          <t>BLS_ILC_LOP_RATIO_APPENDIX_11_1</t>
        </is>
      </c>
      <c r="E77" t="inlineStr">
        <is>
          <t>ratio_dimensionless</t>
        </is>
      </c>
    </row>
    <row r="78">
      <c r="A78" t="n">
        <v>1969</v>
      </c>
      <c r="B78" t="n">
        <v>102.9280904856309</v>
      </c>
      <c r="C78" t="inlineStr">
        <is>
          <t>S1103-B</t>
        </is>
      </c>
      <c r="D78" t="inlineStr">
        <is>
          <t>BLS_ILC_LOP_RATIO_APPENDIX_11_1</t>
        </is>
      </c>
      <c r="E78" t="inlineStr">
        <is>
          <t>ratio_dimensionless</t>
        </is>
      </c>
    </row>
    <row r="79">
      <c r="A79" t="n">
        <v>1970</v>
      </c>
      <c r="B79" t="n">
        <v>95.80100177665973</v>
      </c>
      <c r="C79" t="inlineStr">
        <is>
          <t>S1103-A</t>
        </is>
      </c>
      <c r="D79" t="inlineStr">
        <is>
          <t>BLS_ILC_LOP_RATIO_APPENDIX_11_1</t>
        </is>
      </c>
      <c r="E79" t="inlineStr">
        <is>
          <t>ratio_dimensionless</t>
        </is>
      </c>
    </row>
    <row r="80">
      <c r="A80" t="n">
        <v>1970</v>
      </c>
      <c r="B80" t="n">
        <v>101.0795458897892</v>
      </c>
      <c r="C80" t="inlineStr">
        <is>
          <t>S1103-B</t>
        </is>
      </c>
      <c r="D80" t="inlineStr">
        <is>
          <t>BLS_ILC_LOP_RATIO_APPENDIX_11_1</t>
        </is>
      </c>
      <c r="E80" t="inlineStr">
        <is>
          <t>ratio_dimensionless</t>
        </is>
      </c>
    </row>
    <row r="81">
      <c r="A81" t="n">
        <v>1971</v>
      </c>
      <c r="B81" t="n">
        <v>87.44975960469506</v>
      </c>
      <c r="C81" t="inlineStr">
        <is>
          <t>S1103-A</t>
        </is>
      </c>
      <c r="D81" t="inlineStr">
        <is>
          <t>BLS_ILC_LOP_RATIO_APPENDIX_11_1</t>
        </is>
      </c>
      <c r="E81" t="inlineStr">
        <is>
          <t>ratio_dimensionless</t>
        </is>
      </c>
    </row>
    <row r="82">
      <c r="A82" t="n">
        <v>1971</v>
      </c>
      <c r="B82" t="n">
        <v>104.2625505242065</v>
      </c>
      <c r="C82" t="inlineStr">
        <is>
          <t>S1103-B</t>
        </is>
      </c>
      <c r="D82" t="inlineStr">
        <is>
          <t>BLS_ILC_LOP_RATIO_APPENDIX_11_1</t>
        </is>
      </c>
      <c r="E82" t="inlineStr">
        <is>
          <t>ratio_dimensionless</t>
        </is>
      </c>
    </row>
    <row r="83">
      <c r="A83" t="n">
        <v>1972</v>
      </c>
      <c r="B83" t="n">
        <v>91.42160462039709</v>
      </c>
      <c r="C83" t="inlineStr">
        <is>
          <t>S1103-A</t>
        </is>
      </c>
      <c r="D83" t="inlineStr">
        <is>
          <t>BLS_ILC_LOP_RATIO_APPENDIX_11_1</t>
        </is>
      </c>
      <c r="E83" t="inlineStr">
        <is>
          <t>ratio_dimensionless</t>
        </is>
      </c>
    </row>
    <row r="84">
      <c r="A84" t="n">
        <v>1972</v>
      </c>
      <c r="B84" t="n">
        <v>98.08871109743744</v>
      </c>
      <c r="C84" t="inlineStr">
        <is>
          <t>S1103-B</t>
        </is>
      </c>
      <c r="D84" t="inlineStr">
        <is>
          <t>BLS_ILC_LOP_RATIO_APPENDIX_11_1</t>
        </is>
      </c>
      <c r="E84" t="inlineStr">
        <is>
          <t>ratio_dimensionless</t>
        </is>
      </c>
    </row>
    <row r="85">
      <c r="A85" t="n">
        <v>1973</v>
      </c>
      <c r="B85" t="n">
        <v>97.63307282554641</v>
      </c>
      <c r="C85" t="inlineStr">
        <is>
          <t>S1103-A</t>
        </is>
      </c>
      <c r="D85" t="inlineStr">
        <is>
          <t>BLS_ILC_LOP_RATIO_APPENDIX_11_1</t>
        </is>
      </c>
      <c r="E85" t="inlineStr">
        <is>
          <t>ratio_dimensionless</t>
        </is>
      </c>
    </row>
    <row r="86">
      <c r="A86" t="n">
        <v>1973</v>
      </c>
      <c r="B86" t="n">
        <v>89.19900425836262</v>
      </c>
      <c r="C86" t="inlineStr">
        <is>
          <t>S1103-B</t>
        </is>
      </c>
      <c r="D86" t="inlineStr">
        <is>
          <t>BLS_ILC_LOP_RATIO_APPENDIX_11_1</t>
        </is>
      </c>
      <c r="E86" t="inlineStr">
        <is>
          <t>ratio_dimensionless</t>
        </is>
      </c>
    </row>
    <row r="87">
      <c r="A87" t="n">
        <v>1974</v>
      </c>
      <c r="B87" t="n">
        <v>91.22314818527816</v>
      </c>
      <c r="C87" t="inlineStr">
        <is>
          <t>S1103-A</t>
        </is>
      </c>
      <c r="D87" t="inlineStr">
        <is>
          <t>BLS_ILC_LOP_RATIO_APPENDIX_11_1</t>
        </is>
      </c>
      <c r="E87" t="inlineStr">
        <is>
          <t>ratio_dimensionless</t>
        </is>
      </c>
    </row>
    <row r="88">
      <c r="A88" t="n">
        <v>1974</v>
      </c>
      <c r="B88" t="n">
        <v>88.51121016404124</v>
      </c>
      <c r="C88" t="inlineStr">
        <is>
          <t>S1103-B</t>
        </is>
      </c>
      <c r="D88" t="inlineStr">
        <is>
          <t>BLS_ILC_LOP_RATIO_APPENDIX_11_1</t>
        </is>
      </c>
      <c r="E88" t="inlineStr">
        <is>
          <t>ratio_dimensionless</t>
        </is>
      </c>
    </row>
    <row r="89">
      <c r="A89" t="n">
        <v>1975</v>
      </c>
      <c r="B89" t="n">
        <v>80.17084965343241</v>
      </c>
      <c r="C89" t="inlineStr">
        <is>
          <t>S1103-A</t>
        </is>
      </c>
      <c r="D89" t="inlineStr">
        <is>
          <t>BLS_ILC_LOP_RATIO_APPENDIX_11_1</t>
        </is>
      </c>
      <c r="E89" t="inlineStr">
        <is>
          <t>ratio_dimensionless</t>
        </is>
      </c>
    </row>
    <row r="90">
      <c r="A90" t="n">
        <v>1975</v>
      </c>
      <c r="B90" t="n">
        <v>99.08731204303686</v>
      </c>
      <c r="C90" t="inlineStr">
        <is>
          <t>S1103-B</t>
        </is>
      </c>
      <c r="D90" t="inlineStr">
        <is>
          <t>BLS_ILC_LOP_RATIO_APPENDIX_11_1</t>
        </is>
      </c>
      <c r="E90" t="inlineStr">
        <is>
          <t>ratio_dimensionless</t>
        </is>
      </c>
    </row>
    <row r="91">
      <c r="A91" t="n">
        <v>1976</v>
      </c>
      <c r="B91" t="n">
        <v>86.1481396613752</v>
      </c>
      <c r="C91" t="inlineStr">
        <is>
          <t>S1103-A</t>
        </is>
      </c>
      <c r="D91" t="inlineStr">
        <is>
          <t>BLS_ILC_LOP_RATIO_APPENDIX_11_1</t>
        </is>
      </c>
      <c r="E91" t="inlineStr">
        <is>
          <t>ratio_dimensionless</t>
        </is>
      </c>
    </row>
    <row r="92">
      <c r="A92" t="n">
        <v>1976</v>
      </c>
      <c r="B92" t="n">
        <v>102.7674056869619</v>
      </c>
      <c r="C92" t="inlineStr">
        <is>
          <t>S1103-B</t>
        </is>
      </c>
      <c r="D92" t="inlineStr">
        <is>
          <t>BLS_ILC_LOP_RATIO_APPENDIX_11_1</t>
        </is>
      </c>
      <c r="E92" t="inlineStr">
        <is>
          <t>ratio_dimensionless</t>
        </is>
      </c>
    </row>
    <row r="93">
      <c r="A93" t="n">
        <v>1977</v>
      </c>
      <c r="B93" t="n">
        <v>90.75354083440537</v>
      </c>
      <c r="C93" t="inlineStr">
        <is>
          <t>S1103-A</t>
        </is>
      </c>
      <c r="D93" t="inlineStr">
        <is>
          <t>BLS_ILC_LOP_RATIO_APPENDIX_11_1</t>
        </is>
      </c>
      <c r="E93" t="inlineStr">
        <is>
          <t>ratio_dimensionless</t>
        </is>
      </c>
    </row>
    <row r="94">
      <c r="A94" t="n">
        <v>1977</v>
      </c>
      <c r="B94" t="n">
        <v>100.8701225633895</v>
      </c>
      <c r="C94" t="inlineStr">
        <is>
          <t>S1103-B</t>
        </is>
      </c>
      <c r="D94" t="inlineStr">
        <is>
          <t>BLS_ILC_LOP_RATIO_APPENDIX_11_1</t>
        </is>
      </c>
      <c r="E94" t="inlineStr">
        <is>
          <t>ratio_dimensionless</t>
        </is>
      </c>
    </row>
    <row r="95">
      <c r="A95" t="n">
        <v>1978</v>
      </c>
      <c r="B95" t="n">
        <v>106.3662107541374</v>
      </c>
      <c r="C95" t="inlineStr">
        <is>
          <t>S1103-A</t>
        </is>
      </c>
      <c r="D95" t="inlineStr">
        <is>
          <t>BLS_ILC_LOP_RATIO_APPENDIX_11_1</t>
        </is>
      </c>
      <c r="E95" t="inlineStr">
        <is>
          <t>ratio_dimensionless</t>
        </is>
      </c>
    </row>
    <row r="96">
      <c r="A96" t="n">
        <v>1978</v>
      </c>
      <c r="B96" t="n">
        <v>92.10936030927628</v>
      </c>
      <c r="C96" t="inlineStr">
        <is>
          <t>S1103-B</t>
        </is>
      </c>
      <c r="D96" t="inlineStr">
        <is>
          <t>BLS_ILC_LOP_RATIO_APPENDIX_11_1</t>
        </is>
      </c>
      <c r="E96" t="inlineStr">
        <is>
          <t>ratio_dimensionless</t>
        </is>
      </c>
    </row>
    <row r="97">
      <c r="A97" t="n">
        <v>1979</v>
      </c>
      <c r="B97" t="n">
        <v>92.11542432200849</v>
      </c>
      <c r="C97" t="inlineStr">
        <is>
          <t>S1103-A</t>
        </is>
      </c>
      <c r="D97" t="inlineStr">
        <is>
          <t>BLS_ILC_LOP_RATIO_APPENDIX_11_1</t>
        </is>
      </c>
      <c r="E97" t="inlineStr">
        <is>
          <t>ratio_dimensionless</t>
        </is>
      </c>
    </row>
    <row r="98">
      <c r="A98" t="n">
        <v>1979</v>
      </c>
      <c r="B98" t="n">
        <v>89.77406934902578</v>
      </c>
      <c r="C98" t="inlineStr">
        <is>
          <t>S1103-B</t>
        </is>
      </c>
      <c r="D98" t="inlineStr">
        <is>
          <t>BLS_ILC_LOP_RATIO_APPENDIX_11_1</t>
        </is>
      </c>
      <c r="E98" t="inlineStr">
        <is>
          <t>ratio_dimensionless</t>
        </is>
      </c>
    </row>
    <row r="99">
      <c r="A99" t="n">
        <v>1980</v>
      </c>
      <c r="B99" t="n">
        <v>92.68461665002802</v>
      </c>
      <c r="C99" t="inlineStr">
        <is>
          <t>S1103-A</t>
        </is>
      </c>
      <c r="D99" t="inlineStr">
        <is>
          <t>BLS_ILC_LOP_RATIO_APPENDIX_11_1</t>
        </is>
      </c>
      <c r="E99" t="inlineStr">
        <is>
          <t>ratio_dimensionless</t>
        </is>
      </c>
    </row>
    <row r="100">
      <c r="A100" t="n">
        <v>1980</v>
      </c>
      <c r="B100" t="n">
        <v>89.27509130187576</v>
      </c>
      <c r="C100" t="inlineStr">
        <is>
          <t>S1103-B</t>
        </is>
      </c>
      <c r="D100" t="inlineStr">
        <is>
          <t>BLS_ILC_LOP_RATIO_APPENDIX_11_1</t>
        </is>
      </c>
      <c r="E100" t="inlineStr">
        <is>
          <t>ratio_dimensionless</t>
        </is>
      </c>
    </row>
    <row r="101">
      <c r="A101" t="n">
        <v>1981</v>
      </c>
      <c r="B101" t="n">
        <v>100.9319027722061</v>
      </c>
      <c r="C101" t="inlineStr">
        <is>
          <t>S1103-A</t>
        </is>
      </c>
      <c r="D101" t="inlineStr">
        <is>
          <t>BLS_ILC_LOP_RATIO_APPENDIX_11_1</t>
        </is>
      </c>
      <c r="E101" t="inlineStr">
        <is>
          <t>ratio_dimensionless</t>
        </is>
      </c>
    </row>
    <row r="102">
      <c r="A102" t="n">
        <v>1981</v>
      </c>
      <c r="B102" t="n">
        <v>106.895672224787</v>
      </c>
      <c r="C102" t="inlineStr">
        <is>
          <t>S1103-B</t>
        </is>
      </c>
      <c r="D102" t="inlineStr">
        <is>
          <t>BLS_ILC_LOP_RATIO_APPENDIX_11_1</t>
        </is>
      </c>
      <c r="E102" t="inlineStr">
        <is>
          <t>ratio_dimensionless</t>
        </is>
      </c>
    </row>
    <row r="103">
      <c r="A103" t="n">
        <v>1982</v>
      </c>
      <c r="B103" t="n">
        <v>93.04909736832026</v>
      </c>
      <c r="C103" t="inlineStr">
        <is>
          <t>S1103-A</t>
        </is>
      </c>
      <c r="D103" t="inlineStr">
        <is>
          <t>BLS_ILC_LOP_RATIO_APPENDIX_11_1</t>
        </is>
      </c>
      <c r="E103" t="inlineStr">
        <is>
          <t>ratio_dimensionless</t>
        </is>
      </c>
    </row>
    <row r="104">
      <c r="A104" t="n">
        <v>1982</v>
      </c>
      <c r="B104" t="n">
        <v>111.4932942103442</v>
      </c>
      <c r="C104" t="inlineStr">
        <is>
          <t>S1103-B</t>
        </is>
      </c>
      <c r="D104" t="inlineStr">
        <is>
          <t>BLS_ILC_LOP_RATIO_APPENDIX_11_1</t>
        </is>
      </c>
      <c r="E104" t="inlineStr">
        <is>
          <t>ratio_dimensionless</t>
        </is>
      </c>
    </row>
    <row r="105">
      <c r="A105" t="n">
        <v>1983</v>
      </c>
      <c r="B105" t="n">
        <v>96.37328291088699</v>
      </c>
      <c r="C105" t="inlineStr">
        <is>
          <t>S1103-A</t>
        </is>
      </c>
      <c r="D105" t="inlineStr">
        <is>
          <t>BLS_ILC_LOP_RATIO_APPENDIX_11_1</t>
        </is>
      </c>
      <c r="E105" t="inlineStr">
        <is>
          <t>ratio_dimensionless</t>
        </is>
      </c>
    </row>
    <row r="106">
      <c r="A106" t="n">
        <v>1983</v>
      </c>
      <c r="B106" t="n">
        <v>119.1778472621178</v>
      </c>
      <c r="C106" t="inlineStr">
        <is>
          <t>S1103-B</t>
        </is>
      </c>
      <c r="D106" t="inlineStr">
        <is>
          <t>BLS_ILC_LOP_RATIO_APPENDIX_11_1</t>
        </is>
      </c>
      <c r="E106" t="inlineStr">
        <is>
          <t>ratio_dimensionless</t>
        </is>
      </c>
    </row>
    <row r="107">
      <c r="A107" t="n">
        <v>1984</v>
      </c>
      <c r="B107" t="n">
        <v>99.22451762937762</v>
      </c>
      <c r="C107" t="inlineStr">
        <is>
          <t>S1103-A</t>
        </is>
      </c>
      <c r="D107" t="inlineStr">
        <is>
          <t>BLS_ILC_LOP_RATIO_APPENDIX_11_1</t>
        </is>
      </c>
      <c r="E107" t="inlineStr">
        <is>
          <t>ratio_dimensionless</t>
        </is>
      </c>
    </row>
    <row r="108">
      <c r="A108" t="n">
        <v>1984</v>
      </c>
      <c r="B108" t="n">
        <v>124.411892534217</v>
      </c>
      <c r="C108" t="inlineStr">
        <is>
          <t>S1103-B</t>
        </is>
      </c>
      <c r="D108" t="inlineStr">
        <is>
          <t>BLS_ILC_LOP_RATIO_APPENDIX_11_1</t>
        </is>
      </c>
      <c r="E108" t="inlineStr">
        <is>
          <t>ratio_dimensionless</t>
        </is>
      </c>
    </row>
    <row r="109">
      <c r="A109" t="n">
        <v>1985</v>
      </c>
      <c r="B109" t="n">
        <v>100.790922028561</v>
      </c>
      <c r="C109" t="inlineStr">
        <is>
          <t>S1103-A</t>
        </is>
      </c>
      <c r="D109" t="inlineStr">
        <is>
          <t>BLS_ILC_LOP_RATIO_APPENDIX_11_1</t>
        </is>
      </c>
      <c r="E109" t="inlineStr">
        <is>
          <t>ratio_dimensionless</t>
        </is>
      </c>
    </row>
    <row r="110">
      <c r="A110" t="n">
        <v>1985</v>
      </c>
      <c r="B110" t="n">
        <v>121.4651562604521</v>
      </c>
      <c r="C110" t="inlineStr">
        <is>
          <t>S1103-B</t>
        </is>
      </c>
      <c r="D110" t="inlineStr">
        <is>
          <t>BLS_ILC_LOP_RATIO_APPENDIX_11_1</t>
        </is>
      </c>
      <c r="E110" t="inlineStr">
        <is>
          <t>ratio_dimensionless</t>
        </is>
      </c>
    </row>
    <row r="111">
      <c r="A111" t="n">
        <v>1986</v>
      </c>
      <c r="B111" t="n">
        <v>114.970844910714</v>
      </c>
      <c r="C111" t="inlineStr">
        <is>
          <t>S1103-A</t>
        </is>
      </c>
      <c r="D111" t="inlineStr">
        <is>
          <t>BLS_ILC_LOP_RATIO_APPENDIX_11_1</t>
        </is>
      </c>
      <c r="E111" t="inlineStr">
        <is>
          <t>ratio_dimensionless</t>
        </is>
      </c>
    </row>
    <row r="112">
      <c r="A112" t="n">
        <v>1986</v>
      </c>
      <c r="B112" t="n">
        <v>95.51160152956115</v>
      </c>
      <c r="C112" t="inlineStr">
        <is>
          <t>S1103-B</t>
        </is>
      </c>
      <c r="D112" t="inlineStr">
        <is>
          <t>BLS_ILC_LOP_RATIO_APPENDIX_11_1</t>
        </is>
      </c>
      <c r="E112" t="inlineStr">
        <is>
          <t>ratio_dimensionless</t>
        </is>
      </c>
    </row>
    <row r="113">
      <c r="A113" t="n">
        <v>1987</v>
      </c>
      <c r="B113" t="n">
        <v>115.3022422557458</v>
      </c>
      <c r="C113" t="inlineStr">
        <is>
          <t>S1103-A</t>
        </is>
      </c>
      <c r="D113" t="inlineStr">
        <is>
          <t>BLS_ILC_LOP_RATIO_APPENDIX_11_1</t>
        </is>
      </c>
      <c r="E113" t="inlineStr">
        <is>
          <t>ratio_dimensionless</t>
        </is>
      </c>
    </row>
    <row r="114">
      <c r="A114" t="n">
        <v>1987</v>
      </c>
      <c r="B114" t="n">
        <v>87.51618313028312</v>
      </c>
      <c r="C114" t="inlineStr">
        <is>
          <t>S1103-B</t>
        </is>
      </c>
      <c r="D114" t="inlineStr">
        <is>
          <t>BLS_ILC_LOP_RATIO_APPENDIX_11_1</t>
        </is>
      </c>
      <c r="E114" t="inlineStr">
        <is>
          <t>ratio_dimensionless</t>
        </is>
      </c>
    </row>
    <row r="115">
      <c r="A115" t="n">
        <v>1988</v>
      </c>
      <c r="B115" t="n">
        <v>120.9233707591172</v>
      </c>
      <c r="C115" t="inlineStr">
        <is>
          <t>S1103-A</t>
        </is>
      </c>
      <c r="D115" t="inlineStr">
        <is>
          <t>BLS_ILC_LOP_RATIO_APPENDIX_11_1</t>
        </is>
      </c>
      <c r="E115" t="inlineStr">
        <is>
          <t>ratio_dimensionless</t>
        </is>
      </c>
    </row>
    <row r="116">
      <c r="A116" t="n">
        <v>1988</v>
      </c>
      <c r="B116" t="n">
        <v>84.99258887650666</v>
      </c>
      <c r="C116" t="inlineStr">
        <is>
          <t>S1103-B</t>
        </is>
      </c>
      <c r="D116" t="inlineStr">
        <is>
          <t>BLS_ILC_LOP_RATIO_APPENDIX_11_1</t>
        </is>
      </c>
      <c r="E116" t="inlineStr">
        <is>
          <t>ratio_dimensionless</t>
        </is>
      </c>
    </row>
    <row r="117">
      <c r="A117" t="n">
        <v>1989</v>
      </c>
      <c r="B117" t="n">
        <v>112.2408982231482</v>
      </c>
      <c r="C117" t="inlineStr">
        <is>
          <t>S1103-A</t>
        </is>
      </c>
      <c r="D117" t="inlineStr">
        <is>
          <t>BLS_ILC_LOP_RATIO_APPENDIX_11_1</t>
        </is>
      </c>
      <c r="E117" t="inlineStr">
        <is>
          <t>ratio_dimensionless</t>
        </is>
      </c>
    </row>
    <row r="118">
      <c r="A118" t="n">
        <v>1989</v>
      </c>
      <c r="B118" t="n">
        <v>91.3551286118263</v>
      </c>
      <c r="C118" t="inlineStr">
        <is>
          <t>S1103-B</t>
        </is>
      </c>
      <c r="D118" t="inlineStr">
        <is>
          <t>BLS_ILC_LOP_RATIO_APPENDIX_11_1</t>
        </is>
      </c>
      <c r="E118" t="inlineStr">
        <is>
          <t>ratio_dimensionless</t>
        </is>
      </c>
    </row>
    <row r="119">
      <c r="A119" t="n">
        <v>1990</v>
      </c>
      <c r="B119" t="n">
        <v>98.94258096432715</v>
      </c>
      <c r="C119" t="inlineStr">
        <is>
          <t>S1103-A</t>
        </is>
      </c>
      <c r="D119" t="inlineStr">
        <is>
          <t>BLS_ILC_LOP_RATIO_APPENDIX_11_1</t>
        </is>
      </c>
      <c r="E119" t="inlineStr">
        <is>
          <t>ratio_dimensionless</t>
        </is>
      </c>
    </row>
    <row r="120">
      <c r="A120" t="n">
        <v>1990</v>
      </c>
      <c r="B120" t="n">
        <v>85.80519818823066</v>
      </c>
      <c r="C120" t="inlineStr">
        <is>
          <t>S1103-B</t>
        </is>
      </c>
      <c r="D120" t="inlineStr">
        <is>
          <t>BLS_ILC_LOP_RATIO_APPENDIX_11_1</t>
        </is>
      </c>
      <c r="E120" t="inlineStr">
        <is>
          <t>ratio_dimensionless</t>
        </is>
      </c>
    </row>
    <row r="121">
      <c r="A121" t="n">
        <v>1991</v>
      </c>
      <c r="B121" t="n">
        <v>110.1052807311727</v>
      </c>
      <c r="C121" t="inlineStr">
        <is>
          <t>S1103-A</t>
        </is>
      </c>
      <c r="D121" t="inlineStr">
        <is>
          <t>BLS_ILC_LOP_RATIO_APPENDIX_11_1</t>
        </is>
      </c>
      <c r="E121" t="inlineStr">
        <is>
          <t>ratio_dimensionless</t>
        </is>
      </c>
    </row>
    <row r="122">
      <c r="A122" t="n">
        <v>1991</v>
      </c>
      <c r="B122" t="n">
        <v>86.9986347543496</v>
      </c>
      <c r="C122" t="inlineStr">
        <is>
          <t>S1103-B</t>
        </is>
      </c>
      <c r="D122" t="inlineStr">
        <is>
          <t>BLS_ILC_LOP_RATIO_APPENDIX_11_1</t>
        </is>
      </c>
      <c r="E122" t="inlineStr">
        <is>
          <t>ratio_dimensionless</t>
        </is>
      </c>
    </row>
    <row r="123">
      <c r="A123" t="n">
        <v>1992</v>
      </c>
      <c r="B123" t="n">
        <v>111.4126552114365</v>
      </c>
      <c r="C123" t="inlineStr">
        <is>
          <t>S1103-A</t>
        </is>
      </c>
      <c r="D123" t="inlineStr">
        <is>
          <t>BLS_ILC_LOP_RATIO_APPENDIX_11_1</t>
        </is>
      </c>
      <c r="E123" t="inlineStr">
        <is>
          <t>ratio_dimensionless</t>
        </is>
      </c>
    </row>
    <row r="124">
      <c r="A124" t="n">
        <v>1992</v>
      </c>
      <c r="B124" t="n">
        <v>84.79225088375759</v>
      </c>
      <c r="C124" t="inlineStr">
        <is>
          <t>S1103-B</t>
        </is>
      </c>
      <c r="D124" t="inlineStr">
        <is>
          <t>BLS_ILC_LOP_RATIO_APPENDIX_11_1</t>
        </is>
      </c>
      <c r="E124" t="inlineStr">
        <is>
          <t>ratio_dimensionless</t>
        </is>
      </c>
    </row>
    <row r="125">
      <c r="A125" t="n">
        <v>1993</v>
      </c>
      <c r="B125" t="n">
        <v>131.7779777304706</v>
      </c>
      <c r="C125" t="inlineStr">
        <is>
          <t>S1103-A</t>
        </is>
      </c>
      <c r="D125" t="inlineStr">
        <is>
          <t>BLS_ILC_LOP_RATIO_APPENDIX_11_1</t>
        </is>
      </c>
      <c r="E125" t="inlineStr">
        <is>
          <t>ratio_dimensionless</t>
        </is>
      </c>
    </row>
    <row r="126">
      <c r="A126" t="n">
        <v>1993</v>
      </c>
      <c r="B126" t="n">
        <v>92.65436236903118</v>
      </c>
      <c r="C126" t="inlineStr">
        <is>
          <t>S1103-B</t>
        </is>
      </c>
      <c r="D126" t="inlineStr">
        <is>
          <t>BLS_ILC_LOP_RATIO_APPENDIX_11_1</t>
        </is>
      </c>
      <c r="E126" t="inlineStr">
        <is>
          <t>ratio_dimensionless</t>
        </is>
      </c>
    </row>
    <row r="127">
      <c r="A127" t="n">
        <v>1994</v>
      </c>
      <c r="B127" t="n">
        <v>130.081849893987</v>
      </c>
      <c r="C127" t="inlineStr">
        <is>
          <t>S1103-A</t>
        </is>
      </c>
      <c r="D127" t="inlineStr">
        <is>
          <t>BLS_ILC_LOP_RATIO_APPENDIX_11_1</t>
        </is>
      </c>
      <c r="E127" t="inlineStr">
        <is>
          <t>ratio_dimensionless</t>
        </is>
      </c>
    </row>
    <row r="128">
      <c r="A128" t="n">
        <v>1994</v>
      </c>
      <c r="B128" t="n">
        <v>89.74722046162894</v>
      </c>
      <c r="C128" t="inlineStr">
        <is>
          <t>S1103-B</t>
        </is>
      </c>
      <c r="D128" t="inlineStr">
        <is>
          <t>BLS_ILC_LOP_RATIO_APPENDIX_11_1</t>
        </is>
      </c>
      <c r="E128" t="inlineStr">
        <is>
          <t>ratio_dimensionless</t>
        </is>
      </c>
    </row>
    <row r="129">
      <c r="A129" t="n">
        <v>1995</v>
      </c>
      <c r="B129" t="n">
        <v>124.5386260743559</v>
      </c>
      <c r="C129" t="inlineStr">
        <is>
          <t>S1103-A</t>
        </is>
      </c>
      <c r="D129" t="inlineStr">
        <is>
          <t>BLS_ILC_LOP_RATIO_APPENDIX_11_1</t>
        </is>
      </c>
      <c r="E129" t="inlineStr">
        <is>
          <t>ratio_dimensionless</t>
        </is>
      </c>
    </row>
    <row r="130">
      <c r="A130" t="n">
        <v>1995</v>
      </c>
      <c r="B130" t="n">
        <v>83.44492123978986</v>
      </c>
      <c r="C130" t="inlineStr">
        <is>
          <t>S1103-B</t>
        </is>
      </c>
      <c r="D130" t="inlineStr">
        <is>
          <t>BLS_ILC_LOP_RATIO_APPENDIX_11_1</t>
        </is>
      </c>
      <c r="E130" t="inlineStr">
        <is>
          <t>ratio_dimensionless</t>
        </is>
      </c>
    </row>
    <row r="131">
      <c r="A131" t="n">
        <v>1996</v>
      </c>
      <c r="B131" t="n">
        <v>109.4351274065232</v>
      </c>
      <c r="C131" t="inlineStr">
        <is>
          <t>S1103-A</t>
        </is>
      </c>
      <c r="D131" t="inlineStr">
        <is>
          <t>BLS_ILC_LOP_RATIO_APPENDIX_11_1</t>
        </is>
      </c>
      <c r="E131" t="inlineStr">
        <is>
          <t>ratio_dimensionless</t>
        </is>
      </c>
    </row>
    <row r="132">
      <c r="A132" t="n">
        <v>1996</v>
      </c>
      <c r="B132" t="n">
        <v>89.97542946482722</v>
      </c>
      <c r="C132" t="inlineStr">
        <is>
          <t>S1103-B</t>
        </is>
      </c>
      <c r="D132" t="inlineStr">
        <is>
          <t>BLS_ILC_LOP_RATIO_APPENDIX_11_1</t>
        </is>
      </c>
      <c r="E132" t="inlineStr">
        <is>
          <t>ratio_dimensionless</t>
        </is>
      </c>
    </row>
    <row r="133">
      <c r="A133" t="n">
        <v>1997</v>
      </c>
      <c r="B133" t="n">
        <v>103.4737183374834</v>
      </c>
      <c r="C133" t="inlineStr">
        <is>
          <t>S1103-A</t>
        </is>
      </c>
      <c r="D133" t="inlineStr">
        <is>
          <t>BLS_ILC_LOP_RATIO_APPENDIX_11_1</t>
        </is>
      </c>
      <c r="E133" t="inlineStr">
        <is>
          <t>ratio_dimensionless</t>
        </is>
      </c>
    </row>
    <row r="134">
      <c r="A134" t="n">
        <v>1997</v>
      </c>
      <c r="B134" t="n">
        <v>98.42829401685182</v>
      </c>
      <c r="C134" t="inlineStr">
        <is>
          <t>S1103-B</t>
        </is>
      </c>
      <c r="D134" t="inlineStr">
        <is>
          <t>BLS_ILC_LOP_RATIO_APPENDIX_11_1</t>
        </is>
      </c>
      <c r="E134" t="inlineStr">
        <is>
          <t>ratio_dimensionless</t>
        </is>
      </c>
    </row>
    <row r="135">
      <c r="A135" t="n">
        <v>1998</v>
      </c>
      <c r="B135" t="n">
        <v>96.70624999650317</v>
      </c>
      <c r="C135" t="inlineStr">
        <is>
          <t>S1103-A</t>
        </is>
      </c>
      <c r="D135" t="inlineStr">
        <is>
          <t>BLS_ILC_LOP_RATIO_APPENDIX_11_1</t>
        </is>
      </c>
      <c r="E135" t="inlineStr">
        <is>
          <t>ratio_dimensionless</t>
        </is>
      </c>
    </row>
    <row r="136">
      <c r="A136" t="n">
        <v>1998</v>
      </c>
      <c r="B136" t="n">
        <v>97.54008080323624</v>
      </c>
      <c r="C136" t="inlineStr">
        <is>
          <t>S1103-B</t>
        </is>
      </c>
      <c r="D136" t="inlineStr">
        <is>
          <t>BLS_ILC_LOP_RATIO_APPENDIX_11_1</t>
        </is>
      </c>
      <c r="E136" t="inlineStr">
        <is>
          <t>ratio_dimensionless</t>
        </is>
      </c>
    </row>
    <row r="137">
      <c r="A137" t="n">
        <v>1999</v>
      </c>
      <c r="B137" t="n">
        <v>111.8986125179153</v>
      </c>
      <c r="C137" t="inlineStr">
        <is>
          <t>S1103-A</t>
        </is>
      </c>
      <c r="D137" t="inlineStr">
        <is>
          <t>BLS_ILC_LOP_RATIO_APPENDIX_11_1</t>
        </is>
      </c>
      <c r="E137" t="inlineStr">
        <is>
          <t>ratio_dimensionless</t>
        </is>
      </c>
    </row>
    <row r="138">
      <c r="A138" t="n">
        <v>1999</v>
      </c>
      <c r="B138" t="n">
        <v>98.603985064646</v>
      </c>
      <c r="C138" t="inlineStr">
        <is>
          <t>S1103-B</t>
        </is>
      </c>
      <c r="D138" t="inlineStr">
        <is>
          <t>BLS_ILC_LOP_RATIO_APPENDIX_11_1</t>
        </is>
      </c>
      <c r="E138" t="inlineStr">
        <is>
          <t>ratio_dimensionless</t>
        </is>
      </c>
    </row>
    <row r="139">
      <c r="A139" t="n">
        <v>2000</v>
      </c>
      <c r="B139" t="n">
        <v>123.5586747114106</v>
      </c>
      <c r="C139" t="inlineStr">
        <is>
          <t>S1103-A</t>
        </is>
      </c>
      <c r="D139" t="inlineStr">
        <is>
          <t>BLS_ILC_LOP_RATIO_APPENDIX_11_1</t>
        </is>
      </c>
      <c r="E139" t="inlineStr">
        <is>
          <t>ratio_dimensionless</t>
        </is>
      </c>
    </row>
    <row r="140">
      <c r="A140" t="n">
        <v>2000</v>
      </c>
      <c r="B140" t="n">
        <v>104.2915687445939</v>
      </c>
      <c r="C140" t="inlineStr">
        <is>
          <t>S1103-B</t>
        </is>
      </c>
      <c r="D140" t="inlineStr">
        <is>
          <t>BLS_ILC_LOP_RATIO_APPENDIX_11_1</t>
        </is>
      </c>
      <c r="E140" t="inlineStr">
        <is>
          <t>ratio_dimensionless</t>
        </is>
      </c>
    </row>
    <row r="141">
      <c r="A141" t="n">
        <v>2001</v>
      </c>
      <c r="B141" t="n">
        <v>106.3261051040286</v>
      </c>
      <c r="C141" t="inlineStr">
        <is>
          <t>S1103-A</t>
        </is>
      </c>
      <c r="D141" t="inlineStr">
        <is>
          <t>BLS_ILC_LOP_RATIO_APPENDIX_11_1</t>
        </is>
      </c>
      <c r="E141" t="inlineStr">
        <is>
          <t>ratio_dimensionless</t>
        </is>
      </c>
    </row>
    <row r="142">
      <c r="A142" t="n">
        <v>2001</v>
      </c>
      <c r="B142" t="n">
        <v>110.7829754339943</v>
      </c>
      <c r="C142" t="inlineStr">
        <is>
          <t>S1103-B</t>
        </is>
      </c>
      <c r="D142" t="inlineStr">
        <is>
          <t>BLS_ILC_LOP_RATIO_APPENDIX_11_1</t>
        </is>
      </c>
      <c r="E142" t="inlineStr">
        <is>
          <t>ratio_dimensionless</t>
        </is>
      </c>
    </row>
    <row r="143">
      <c r="A143" t="n">
        <v>2002</v>
      </c>
      <c r="B143" t="n">
        <v>99.96317291535757</v>
      </c>
      <c r="C143" t="inlineStr">
        <is>
          <t>S1103-A</t>
        </is>
      </c>
      <c r="D143" t="inlineStr">
        <is>
          <t>BLS_ILC_LOP_RATIO_APPENDIX_11_1</t>
        </is>
      </c>
      <c r="E143" t="inlineStr">
        <is>
          <t>ratio_dimensionless</t>
        </is>
      </c>
    </row>
    <row r="144">
      <c r="A144" t="n">
        <v>2002</v>
      </c>
      <c r="B144" t="n">
        <v>108.3212333366187</v>
      </c>
      <c r="C144" t="inlineStr">
        <is>
          <t>S1103-B</t>
        </is>
      </c>
      <c r="D144" t="inlineStr">
        <is>
          <t>BLS_ILC_LOP_RATIO_APPENDIX_11_1</t>
        </is>
      </c>
      <c r="E144" t="inlineStr">
        <is>
          <t>ratio_dimensionless</t>
        </is>
      </c>
    </row>
    <row r="145">
      <c r="A145" t="n">
        <v>2003</v>
      </c>
      <c r="B145" t="n">
        <v>98.83650459820674</v>
      </c>
      <c r="C145" t="inlineStr">
        <is>
          <t>S1103-A</t>
        </is>
      </c>
      <c r="D145" t="inlineStr">
        <is>
          <t>BLS_ILC_LOP_RATIO_APPENDIX_11_1</t>
        </is>
      </c>
      <c r="E145" t="inlineStr">
        <is>
          <t>ratio_dimensionless</t>
        </is>
      </c>
    </row>
    <row r="146">
      <c r="A146" t="n">
        <v>2003</v>
      </c>
      <c r="B146" t="n">
        <v>96.4699093511032</v>
      </c>
      <c r="C146" t="inlineStr">
        <is>
          <t>S1103-B</t>
        </is>
      </c>
      <c r="D146" t="inlineStr">
        <is>
          <t>BLS_ILC_LOP_RATIO_APPENDIX_11_1</t>
        </is>
      </c>
      <c r="E146" t="inlineStr">
        <is>
          <t>ratio_dimensionless</t>
        </is>
      </c>
    </row>
    <row r="147">
      <c r="A147" t="n">
        <v>2004</v>
      </c>
      <c r="B147" t="n">
        <v>96.59774696898577</v>
      </c>
      <c r="C147" t="inlineStr">
        <is>
          <t>S1103-A</t>
        </is>
      </c>
      <c r="D147" t="inlineStr">
        <is>
          <t>BLS_ILC_LOP_RATIO_APPENDIX_11_1</t>
        </is>
      </c>
      <c r="E147" t="inlineStr">
        <is>
          <t>ratio_dimensionless</t>
        </is>
      </c>
    </row>
    <row r="148">
      <c r="A148" t="n">
        <v>2004</v>
      </c>
      <c r="B148" t="n">
        <v>96.92735505117606</v>
      </c>
      <c r="C148" t="inlineStr">
        <is>
          <t>S1103-B</t>
        </is>
      </c>
      <c r="D148" t="inlineStr">
        <is>
          <t>BLS_ILC_LOP_RATIO_APPENDIX_11_1</t>
        </is>
      </c>
      <c r="E148" t="inlineStr">
        <is>
          <t>ratio_dimensionless</t>
        </is>
      </c>
    </row>
    <row r="149">
      <c r="A149" t="n">
        <v>2005</v>
      </c>
      <c r="B149" t="n">
        <v>92.69818923287704</v>
      </c>
      <c r="C149" t="inlineStr">
        <is>
          <t>S1103-A</t>
        </is>
      </c>
      <c r="D149" t="inlineStr">
        <is>
          <t>BLS_ILC_LOP_RATIO_APPENDIX_11_1</t>
        </is>
      </c>
      <c r="E149" t="inlineStr">
        <is>
          <t>ratio_dimensionless</t>
        </is>
      </c>
    </row>
    <row r="150">
      <c r="A150" t="n">
        <v>2005</v>
      </c>
      <c r="B150" t="n">
        <v>102.2378015626927</v>
      </c>
      <c r="C150" t="inlineStr">
        <is>
          <t>S1103-B</t>
        </is>
      </c>
      <c r="D150" t="inlineStr">
        <is>
          <t>BLS_ILC_LOP_RATIO_APPENDIX_11_1</t>
        </is>
      </c>
      <c r="E150" t="inlineStr">
        <is>
          <t>ratio_dimensionless</t>
        </is>
      </c>
    </row>
    <row r="151">
      <c r="A151" t="n">
        <v>2006</v>
      </c>
      <c r="B151" t="n">
        <v>82.75377533887705</v>
      </c>
      <c r="C151" t="inlineStr">
        <is>
          <t>S1103-A</t>
        </is>
      </c>
      <c r="D151" t="inlineStr">
        <is>
          <t>BLS_ILC_LOP_RATIO_APPENDIX_11_1</t>
        </is>
      </c>
      <c r="E151" t="inlineStr">
        <is>
          <t>ratio_dimensionless</t>
        </is>
      </c>
    </row>
    <row r="152">
      <c r="A152" t="n">
        <v>2006</v>
      </c>
      <c r="B152" t="n">
        <v>104.0283381144305</v>
      </c>
      <c r="C152" t="inlineStr">
        <is>
          <t>S1103-B</t>
        </is>
      </c>
      <c r="D152" t="inlineStr">
        <is>
          <t>BLS_ILC_LOP_RATIO_APPENDIX_11_1</t>
        </is>
      </c>
      <c r="E152" t="inlineStr">
        <is>
          <t>ratio_dimensionless</t>
        </is>
      </c>
    </row>
    <row r="153">
      <c r="A153" t="n">
        <v>2007</v>
      </c>
      <c r="B153" t="n">
        <v>76.59710747693032</v>
      </c>
      <c r="C153" t="inlineStr">
        <is>
          <t>S1103-A</t>
        </is>
      </c>
      <c r="D153" t="inlineStr">
        <is>
          <t>BLS_ILC_LOP_RATIO_APPENDIX_11_1</t>
        </is>
      </c>
      <c r="E153" t="inlineStr">
        <is>
          <t>ratio_dimensionless</t>
        </is>
      </c>
    </row>
    <row r="154">
      <c r="A154" t="n">
        <v>2007</v>
      </c>
      <c r="B154" t="n">
        <v>99.64568156635781</v>
      </c>
      <c r="C154" t="inlineStr">
        <is>
          <t>S1103-B</t>
        </is>
      </c>
      <c r="D154" t="inlineStr">
        <is>
          <t>BLS_ILC_LOP_RATIO_APPENDIX_11_1</t>
        </is>
      </c>
      <c r="E154" t="inlineStr">
        <is>
          <t>ratio_dimensionless</t>
        </is>
      </c>
    </row>
    <row r="155">
      <c r="A155" t="n">
        <v>2008</v>
      </c>
      <c r="B155" t="n">
        <v>79.01709605040546</v>
      </c>
      <c r="C155" t="inlineStr">
        <is>
          <t>S1103-A</t>
        </is>
      </c>
      <c r="D155" t="inlineStr">
        <is>
          <t>BLS_ILC_LOP_RATIO_APPENDIX_11_1</t>
        </is>
      </c>
      <c r="E155" t="inlineStr">
        <is>
          <t>ratio_dimensionless</t>
        </is>
      </c>
    </row>
    <row r="156">
      <c r="A156" t="n">
        <v>2008</v>
      </c>
      <c r="B156" t="n">
        <v>99.20450519791076</v>
      </c>
      <c r="C156" t="inlineStr">
        <is>
          <t>S1103-B</t>
        </is>
      </c>
      <c r="D156" t="inlineStr">
        <is>
          <t>BLS_ILC_LOP_RATIO_APPENDIX_11_1</t>
        </is>
      </c>
      <c r="E156" t="inlineStr">
        <is>
          <t>ratio_dimensionless</t>
        </is>
      </c>
    </row>
    <row r="157">
      <c r="A157" t="n">
        <v>2009</v>
      </c>
      <c r="B157" t="n">
        <v>82.60942919209398</v>
      </c>
      <c r="C157" t="inlineStr">
        <is>
          <t>S1103-A</t>
        </is>
      </c>
      <c r="D157" t="inlineStr">
        <is>
          <t>BLS_ILC_LOP_RATIO_APPENDIX_11_1</t>
        </is>
      </c>
      <c r="E157" t="inlineStr">
        <is>
          <t>ratio_dimensionless</t>
        </is>
      </c>
    </row>
    <row r="158">
      <c r="A158" t="n">
        <v>2009</v>
      </c>
      <c r="B158" t="n">
        <v>110.8617738361768</v>
      </c>
      <c r="C158" t="inlineStr">
        <is>
          <t>S1103-B</t>
        </is>
      </c>
      <c r="D158" t="inlineStr">
        <is>
          <t>BLS_ILC_LOP_RATIO_APPENDIX_11_1</t>
        </is>
      </c>
      <c r="E158" t="inlineStr">
        <is>
          <t>ratio_dimensionless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S1103 — Methodology</t>
        </is>
      </c>
    </row>
    <row r="3">
      <c r="A3" s="4">
        <f>== DPR: S1103_DPR.md ===</f>
        <v/>
      </c>
    </row>
    <row r="4">
      <c r="A4" t="inlineStr">
        <is>
          <t># S1103 — Law of One Price at the Aggregate Level, US and Japan, 1960-2009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S1103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---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The ratio of the REER (PPI-basis) to the adjusted real unit labour cost ratio</t>
        </is>
      </c>
    </row>
    <row r="17">
      <c r="A17" t="inlineStr">
        <is>
          <t>for the United States (S1103-B) and Japan (S1103-A), annual 1960-2009.</t>
        </is>
      </c>
    </row>
    <row r="18">
      <c r="A18" t="inlineStr">
        <is>
          <t>Defined as `rxrrulcratio1 = rxr1 / rulcadjratio1rescaled`. Appears in Shaikh</t>
        </is>
      </c>
    </row>
    <row r="19">
      <c r="A19" t="inlineStr">
        <is>
          <t>(2016) as **Figure 11.6** (p. 531).</t>
        </is>
      </c>
    </row>
    <row r="20">
      <c r="A20" t="inlineStr"/>
    </row>
    <row r="21">
      <c r="A21" t="inlineStr">
        <is>
          <t>Conceptually: the deviation of the real exchange rate from its fundamental</t>
        </is>
      </c>
    </row>
    <row r="22">
      <c r="A22" t="inlineStr">
        <is>
          <t>(relative adjusted real unit labour costs). If the classical LOP holds at</t>
        </is>
      </c>
    </row>
    <row r="23">
      <c r="A23" t="inlineStr">
        <is>
          <t>the aggregate level, this ratio is stationary near 100.</t>
        </is>
      </c>
    </row>
    <row r="24">
      <c r="A24" t="inlineStr"/>
    </row>
    <row r="25">
      <c r="A25" t="inlineStr">
        <is>
          <t>## 2. Why it matters in Chapter 11</t>
        </is>
      </c>
    </row>
    <row r="26">
      <c r="A26" t="inlineStr"/>
    </row>
    <row r="27">
      <c r="A27" t="inlineStr">
        <is>
          <t>Figure 11.6 supports Shaikh's central empirical claim: REERs are tied to</t>
        </is>
      </c>
    </row>
    <row r="28">
      <c r="A28" t="inlineStr">
        <is>
          <t>relative unit labour costs (adjusted for tradable/nontradable composition).</t>
        </is>
      </c>
    </row>
    <row r="29">
      <c r="A29" t="inlineStr">
        <is>
          <t>The stable long-run ratio (despite the 1980-1987 anomaly) demonstrates that</t>
        </is>
      </c>
    </row>
    <row r="30">
      <c r="A30" t="inlineStr">
        <is>
          <t>real exchange rates gravitate around their RULC fundamentals.</t>
        </is>
      </c>
    </row>
    <row r="31">
      <c r="A31" t="inlineStr"/>
    </row>
    <row r="32">
      <c r="A32" t="inlineStr">
        <is>
          <t>## 3. Sources (per subseries)</t>
        </is>
      </c>
    </row>
    <row r="33">
      <c r="A33" t="inlineStr"/>
    </row>
    <row r="34">
      <c r="A34" t="inlineStr">
        <is>
          <t>| Subseries | Coverage | Source | Native units |</t>
        </is>
      </c>
    </row>
    <row r="35">
      <c r="A35" t="inlineStr">
        <is>
          <t>|---|---|---|---|</t>
        </is>
      </c>
    </row>
    <row r="36">
      <c r="A36" t="inlineStr">
        <is>
          <t>| S1103-A Japan | 1960-2009 | Appendix11_USJPNdata.xlsx col `rxrrulcratio1` | Ratio (~100=parity) |</t>
        </is>
      </c>
    </row>
    <row r="37">
      <c r="A37" t="inlineStr">
        <is>
          <t>| S1103-B US    | 1960-2009 | Appendix11_USJPNdata.xlsx col `rxrrulcratio1` | Ratio (~100=parity) |</t>
        </is>
      </c>
    </row>
    <row r="38">
      <c r="A38" t="inlineStr"/>
    </row>
    <row r="39">
      <c r="A39" t="inlineStr">
        <is>
          <t>Inputs that feed `rxrrulcratio1`:</t>
        </is>
      </c>
    </row>
    <row r="40">
      <c r="A40" t="inlineStr">
        <is>
          <t>- `rxr1` (= S1102) — REER PPI-basis from BLS ILC + WDI PPI + IFS weights</t>
        </is>
      </c>
    </row>
    <row r="41">
      <c r="A41" t="inlineStr">
        <is>
          <t>- `rulcadjratio1rescaled` — adjusted real-unit-labour-cost ratio, rescaled</t>
        </is>
      </c>
    </row>
    <row r="42">
      <c r="A42" t="inlineStr">
        <is>
          <t xml:space="preserve">  to share REER's period average</t>
        </is>
      </c>
    </row>
    <row r="43">
      <c r="A43" t="inlineStr"/>
    </row>
    <row r="44">
      <c r="A44" t="inlineStr">
        <is>
          <t>## 4. Construction</t>
        </is>
      </c>
    </row>
    <row r="45">
      <c r="A45" t="inlineStr"/>
    </row>
    <row r="46">
      <c r="A46" t="inlineStr">
        <is>
          <t>`formula` (Phase 4 RATIFIED reclassification from `direct`). Per Appendix 11</t>
        </is>
      </c>
    </row>
    <row r="47">
      <c r="A47" t="inlineStr">
        <is>
          <t>Documentation sheet: `rxrrulcratio1 = rxr1 / rulcadjratio1rescaled`.</t>
        </is>
      </c>
    </row>
    <row r="48">
      <c r="A48" t="inlineStr"/>
    </row>
    <row r="49">
      <c r="A49" t="inlineStr">
        <is>
          <t>Per No-Lazy-Splices rule, post-2009 extension MUST re-compute the ratio from</t>
        </is>
      </c>
    </row>
    <row r="50">
      <c r="A50" t="inlineStr">
        <is>
          <t>re-extended numerator (BIS PPI EER, Phase 9) and denominator (OECD or</t>
        </is>
      </c>
    </row>
    <row r="51">
      <c r="A51" t="inlineStr">
        <is>
          <t>Conference Board ULC).</t>
        </is>
      </c>
    </row>
    <row r="52">
      <c r="A52" t="inlineStr"/>
    </row>
    <row r="53">
      <c r="A53" t="inlineStr">
        <is>
          <t>## 5. Year coverage</t>
        </is>
      </c>
    </row>
    <row r="54">
      <c r="A54" t="inlineStr"/>
    </row>
    <row r="55">
      <c r="A55" t="inlineStr">
        <is>
          <t>Book: 1960-2009 (50 yrs/country). Extension: deferred to Phase 9.</t>
        </is>
      </c>
    </row>
    <row r="56">
      <c r="A56" t="inlineStr"/>
    </row>
    <row r="57">
      <c r="A57" t="inlineStr">
        <is>
          <t>## 6. Units</t>
        </is>
      </c>
    </row>
    <row r="58">
      <c r="A58" t="inlineStr"/>
    </row>
    <row r="59">
      <c r="A59" t="inlineStr">
        <is>
          <t>`ratio_dimensionless` (rescaled so ~100 = parity).</t>
        </is>
      </c>
    </row>
    <row r="60">
      <c r="A60" t="inlineStr"/>
    </row>
    <row r="61">
      <c r="A61" t="inlineStr">
        <is>
          <t>## 7. Caveats</t>
        </is>
      </c>
    </row>
    <row r="62">
      <c r="A62" t="inlineStr"/>
    </row>
    <row r="63">
      <c r="A63" t="inlineStr">
        <is>
          <t>1. **Construction is formula, not direct** (Phase 4 ratified). Extension</t>
        </is>
      </c>
    </row>
    <row r="64">
      <c r="A64" t="inlineStr">
        <is>
          <t xml:space="preserve">   cannot lazy-splice the ratio.</t>
        </is>
      </c>
    </row>
    <row r="65">
      <c r="A65" t="inlineStr">
        <is>
          <t>2. **BLS ILC discontinued 2013** affects BOTH numerator and denominator.</t>
        </is>
      </c>
    </row>
    <row r="66">
      <c r="A66" t="inlineStr">
        <is>
          <t>3. **Dual proxy chain.** Numerator extension via BIS (see S1102 EPR);</t>
        </is>
      </c>
    </row>
    <row r="67">
      <c r="A67" t="inlineStr">
        <is>
          <t xml:space="preserve">   denominator via OECD ULC (open-license) or Conference Board ILC</t>
        </is>
      </c>
    </row>
    <row r="68">
      <c r="A68" t="inlineStr">
        <is>
          <t xml:space="preserve">   (licensed). See EPR.</t>
        </is>
      </c>
    </row>
    <row r="69">
      <c r="A69" t="inlineStr"/>
    </row>
    <row r="70">
      <c r="A70" t="inlineStr">
        <is>
          <t>## 8. Cross-references</t>
        </is>
      </c>
    </row>
    <row r="71">
      <c r="A71" t="inlineStr"/>
    </row>
    <row r="72">
      <c r="A72" t="inlineStr">
        <is>
          <t>- CD legacy: S062; CD2 legacy: S062</t>
        </is>
      </c>
    </row>
    <row r="73">
      <c r="A73" t="inlineStr">
        <is>
          <t>- Book: Shaikh (2016) p. 531 (figure), 876 (Appendix 11.1.II)</t>
        </is>
      </c>
    </row>
    <row r="74">
      <c r="A74" t="inlineStr">
        <is>
          <t>- Inputs share: S1102 (rxr1 numerator)</t>
        </is>
      </c>
    </row>
    <row r="75">
      <c r="A75" t="inlineStr"/>
    </row>
    <row r="76">
      <c r="A76" t="inlineStr">
        <is>
          <t>## 9. Validation expectation</t>
        </is>
      </c>
    </row>
    <row r="77">
      <c r="A77" t="inlineStr"/>
    </row>
    <row r="78">
      <c r="A78" t="inlineStr">
        <is>
          <t>Tolerance ±0.5%. Achieved: MAE 0.0, max 0.0%, n=100. PASS. Formula audit:</t>
        </is>
      </c>
    </row>
    <row r="79">
      <c r="A79" t="inlineStr">
        <is>
          <t>rxr1/rulcadjratio1rescaled reproduces rxrrulcratio1 to &lt;0.01% (verifies</t>
        </is>
      </c>
    </row>
    <row r="80">
      <c r="A80" t="inlineStr">
        <is>
          <t>formula construction).</t>
        </is>
      </c>
    </row>
    <row r="83">
      <c r="A83" s="4">
        <f>== EPR: S1103_EPR.md ===</f>
        <v/>
      </c>
    </row>
    <row r="84">
      <c r="A84" t="inlineStr">
        <is>
          <t># S1103 — Extension Provenance Record</t>
        </is>
      </c>
    </row>
    <row r="85">
      <c r="A85" t="inlineStr"/>
    </row>
    <row r="86">
      <c r="A86" t="inlineStr">
        <is>
          <t>**Phase**: 6 (Extension)</t>
        </is>
      </c>
    </row>
    <row r="87">
      <c r="A87" t="inlineStr">
        <is>
          <t>**Construction**: `formula` (REER PPI / adjusted RULC ratio)</t>
        </is>
      </c>
    </row>
    <row r="88">
      <c r="A88" t="inlineStr">
        <is>
          <t>**Extension method**: re-compute formula with extended components (BIS PPI EER + OECD/Conference Board ULC)</t>
        </is>
      </c>
    </row>
    <row r="89">
      <c r="A89" t="inlineStr">
        <is>
          <t>**Status v1**: `not_attempted_v1` (deferred to Phase 9 enrichment)</t>
        </is>
      </c>
    </row>
    <row r="90">
      <c r="A90" t="inlineStr">
        <is>
          <t>**Proxy flag**: `true` (post-2009 components both substituted with concept-match)</t>
        </is>
      </c>
    </row>
    <row r="91">
      <c r="A91" t="inlineStr"/>
    </row>
    <row r="92">
      <c r="A92" t="inlineStr">
        <is>
          <t>---</t>
        </is>
      </c>
    </row>
    <row r="93">
      <c r="A93" t="inlineStr"/>
    </row>
    <row r="94">
      <c r="A94" t="inlineStr">
        <is>
          <t>## 1. Why this series is extendable (and why it requires coordinated proxy reconstruction)</t>
        </is>
      </c>
    </row>
    <row r="95">
      <c r="A95" t="inlineStr"/>
    </row>
    <row r="96">
      <c r="A96" t="inlineStr">
        <is>
          <t>S1103 is `formula`: published `rxrrulcratio1 = rxr1 / rulcadjratio1rescaled`.</t>
        </is>
      </c>
    </row>
    <row r="97">
      <c r="A97" t="inlineStr">
        <is>
          <t>Per anu-framework's No-Lazy-Splices rule, extension must re-compute the</t>
        </is>
      </c>
    </row>
    <row r="98">
      <c r="A98" t="inlineStr">
        <is>
          <t>ratio with extended numerator AND denominator series. Both inputs come from</t>
        </is>
      </c>
    </row>
    <row r="99">
      <c r="A99" t="inlineStr">
        <is>
          <t>the BLS International Labor Comparisons program, which was discontinued in</t>
        </is>
      </c>
    </row>
    <row r="100">
      <c r="A100" t="inlineStr">
        <is>
          <t>2013 — so both must be substituted via documented proxies.</t>
        </is>
      </c>
    </row>
    <row r="101">
      <c r="A101" t="inlineStr"/>
    </row>
    <row r="102">
      <c r="A102" t="inlineStr">
        <is>
          <t>## 2. Concept Match Justifications</t>
        </is>
      </c>
    </row>
    <row r="103">
      <c r="A103" t="inlineStr"/>
    </row>
    <row r="104">
      <c r="A104" t="inlineStr">
        <is>
          <t>### Numerator (REER PPI)</t>
        </is>
      </c>
    </row>
    <row r="105">
      <c r="A105" t="inlineStr">
        <is>
          <t>Inherits S1102's BIS PPI EER substitution and CMJ (see `S1102_EPR.md` §2).</t>
        </is>
      </c>
    </row>
    <row r="106">
      <c r="A106" t="inlineStr"/>
    </row>
    <row r="107">
      <c r="A107" t="inlineStr">
        <is>
          <t>### Denominator (adjusted RULC)</t>
        </is>
      </c>
    </row>
    <row r="108">
      <c r="A108" t="inlineStr">
        <is>
          <t>Two-variant strategy per Phase 4 CH11 chapter recommendation:</t>
        </is>
      </c>
    </row>
    <row r="109">
      <c r="A109" t="inlineStr"/>
    </row>
    <row r="110">
      <c r="A110" t="inlineStr">
        <is>
          <t>- **Open-license path (S1103_open)**: OECD ULC_QUA (whole-economy ISIC A-T).</t>
        </is>
      </c>
    </row>
    <row r="111">
      <c r="A111" t="inlineStr">
        <is>
          <t xml:space="preserve">  Concept gap acknowledged: OECD is whole-economy, Shaikh used</t>
        </is>
      </c>
    </row>
    <row r="112">
      <c r="A112" t="inlineStr">
        <is>
          <t xml:space="preserve">  manufacturing-only BLS ILC. Flagged `proxy: true` with sectoral-narrowing</t>
        </is>
      </c>
    </row>
    <row r="113">
      <c r="A113" t="inlineStr">
        <is>
          <t xml:space="preserve">  note.</t>
        </is>
      </c>
    </row>
    <row r="114">
      <c r="A114" t="inlineStr">
        <is>
          <t>- **High-fidelity path (S1103_hifi)**: Conference Board International Labor</t>
        </is>
      </c>
    </row>
    <row r="115">
      <c r="A115" t="inlineStr">
        <is>
          <t xml:space="preserve">  Comparisons (explicit successor program to BLS ILC). Direct concept match</t>
        </is>
      </c>
    </row>
    <row r="116">
      <c r="A116" t="inlineStr">
        <is>
          <t xml:space="preserve">  (manufacturing ULC). Requires Conference Board licensed access. NOT</t>
        </is>
      </c>
    </row>
    <row r="117">
      <c r="A117" t="inlineStr">
        <is>
          <t xml:space="preserve">  shippable in open-license replication package.</t>
        </is>
      </c>
    </row>
    <row r="118">
      <c r="A118" t="inlineStr"/>
    </row>
    <row r="119">
      <c r="A119" t="inlineStr">
        <is>
          <t>The CPI/PPI `tau` adjustment uses BLS/FRED CPI and World Bank WDI PPI which</t>
        </is>
      </c>
    </row>
    <row r="120">
      <c r="A120" t="inlineStr">
        <is>
          <t>remain active — no substitution.</t>
        </is>
      </c>
    </row>
    <row r="121">
      <c r="A121" t="inlineStr"/>
    </row>
    <row r="122">
      <c r="A122" t="inlineStr">
        <is>
          <t>## 3. Method (planned, v1 = not attempted)</t>
        </is>
      </c>
    </row>
    <row r="123">
      <c r="A123" t="inlineStr"/>
    </row>
    <row r="124">
      <c r="A124" t="inlineStr">
        <is>
          <t>```</t>
        </is>
      </c>
    </row>
    <row r="125">
      <c r="A125" t="inlineStr">
        <is>
          <t>Numerator (S1103-num) = BIS-extended rxr1  (see S1102 EPR)</t>
        </is>
      </c>
    </row>
    <row r="126">
      <c r="A126" t="inlineStr">
        <is>
          <t>Denominator (S1103-den) = (RULC_c / RULC*_c) * (tau_c / tau*_c)</t>
        </is>
      </c>
    </row>
    <row r="127">
      <c r="A127" t="inlineStr">
        <is>
          <t xml:space="preserve">    where RULC = ULC / CPI; tau = CPI / PPI; both for c (country) and *</t>
        </is>
      </c>
    </row>
    <row r="128">
      <c r="A128" t="inlineStr">
        <is>
          <t xml:space="preserve">    (trading partners weighted basket).</t>
        </is>
      </c>
    </row>
    <row r="129">
      <c r="A129" t="inlineStr">
        <is>
          <t>S1103[c, year&gt;=2010] = S1103-num[c,year] / S1103-den[c,year]</t>
        </is>
      </c>
    </row>
    <row r="130">
      <c r="A130" t="inlineStr">
        <is>
          <t>Rescale denominator to share REER period average (same as Shaikh).</t>
        </is>
      </c>
    </row>
    <row r="131">
      <c r="A131" t="inlineStr">
        <is>
          <t>Splice to book values at 2009 with overlap-anchor to 1994-2009 sub-window.</t>
        </is>
      </c>
    </row>
    <row r="132">
      <c r="A132" t="inlineStr">
        <is>
          <t>```</t>
        </is>
      </c>
    </row>
    <row r="133">
      <c r="A133" t="inlineStr"/>
    </row>
    <row r="134">
      <c r="A134" t="inlineStr">
        <is>
          <t>## 4. No-Proxy compliance</t>
        </is>
      </c>
    </row>
    <row r="135">
      <c r="A135" t="inlineStr"/>
    </row>
    <row r="136">
      <c r="A136" t="inlineStr">
        <is>
          <t>Required: both proxy substitutions are flagged in the registry with their</t>
        </is>
      </c>
    </row>
    <row r="137">
      <c r="A137" t="inlineStr">
        <is>
          <t>respective CMJs. Two variants are emitted so users can choose the open vs</t>
        </is>
      </c>
    </row>
    <row r="138">
      <c r="A138" t="inlineStr">
        <is>
          <t>high-fidelity path.</t>
        </is>
      </c>
    </row>
    <row r="139">
      <c r="A139" t="inlineStr"/>
    </row>
    <row r="140">
      <c r="A140" t="inlineStr">
        <is>
          <t>## 5. No-Synthetic compliance</t>
        </is>
      </c>
    </row>
    <row r="141">
      <c r="A141" t="inlineStr"/>
    </row>
    <row r="142">
      <c r="A142" t="inlineStr">
        <is>
          <t>Any NaN in numerator OR denominator propagates to the ratio.</t>
        </is>
      </c>
    </row>
    <row r="143">
      <c r="A143" t="inlineStr"/>
    </row>
    <row r="144">
      <c r="A144" t="inlineStr">
        <is>
          <t>## 6. Failure-mode table</t>
        </is>
      </c>
    </row>
    <row r="145">
      <c r="A145" t="inlineStr"/>
    </row>
    <row r="146">
      <c r="A146" t="inlineStr">
        <is>
          <t>| Failure | Action |</t>
        </is>
      </c>
    </row>
    <row r="147">
      <c r="A147" t="inlineStr">
        <is>
          <t>|---|---|</t>
        </is>
      </c>
    </row>
    <row r="148">
      <c r="A148" t="inlineStr">
        <is>
          <t>| BIS unavailable | Numerator NaN — ratio NaN |</t>
        </is>
      </c>
    </row>
    <row r="149">
      <c r="A149" t="inlineStr">
        <is>
          <t>| OECD ULC missing for country | Denominator NaN — ratio NaN |</t>
        </is>
      </c>
    </row>
    <row r="150">
      <c r="A150" t="inlineStr">
        <is>
          <t>| Conference Board license absent | Skip S1103_hifi variant; emit S1103_open only |</t>
        </is>
      </c>
    </row>
    <row r="151">
      <c r="A151" t="inlineStr"/>
    </row>
    <row r="152">
      <c r="A152" t="inlineStr">
        <is>
          <t>## 7. CD2 divergence pre-disclosure</t>
        </is>
      </c>
    </row>
    <row r="153">
      <c r="A153" t="inlineStr"/>
    </row>
    <row r="154">
      <c r="A154" t="inlineStr">
        <is>
          <t>CD2's S062 was classified `direct` and lazily spliced; RSCD v1 reproduces</t>
        </is>
      </c>
    </row>
    <row r="155">
      <c r="A155" t="inlineStr">
        <is>
          <t>CD2's book-period values exactly (MAE 0.0). Phase 9 extension will introduce</t>
        </is>
      </c>
    </row>
    <row r="156">
      <c r="A156" t="inlineStr">
        <is>
          <t>a coordinated proxy-pair reconstruction not present in CD2.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62" customWidth="1" min="3" max="3"/>
    <col width="57" customWidth="1" min="4" max="4"/>
    <col width="26" customWidth="1" min="5" max="5"/>
    <col width="23" customWidth="1" min="6" max="6"/>
    <col width="11" customWidth="1" min="7" max="7"/>
    <col width="26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S1103-A</t>
        </is>
      </c>
      <c r="B2" t="inlineStr">
        <is>
          <t>BLS_ILC_LOP_RATIO_APPENDIX_11_1</t>
        </is>
      </c>
      <c r="C2" t="inlineStr">
        <is>
          <t>Shaikh (2016) Appendix 11.1 LOP ratio (REER PPI / RULC_adj) for US and Japan</t>
        </is>
      </c>
      <c r="D2" t="inlineStr">
        <is>
          <t>BLS ILC + WDI + IMF, composite by Shaikh &amp; Antonopoulos</t>
        </is>
      </c>
      <c r="E2" t="inlineStr">
        <is>
          <t>https://www.bls.gov/ilc/</t>
        </is>
      </c>
      <c r="F2" t="inlineStr">
        <is>
          <t>Ratio (~100 = parity)</t>
        </is>
      </c>
      <c r="G2" t="inlineStr">
        <is>
          <t>annual</t>
        </is>
      </c>
      <c r="H2" t="inlineStr">
        <is>
          <t>Same as BLS_ILC_REER_PPI</t>
        </is>
      </c>
      <c r="I2" t="inlineStr">
        <is>
          <t>verbatim from workbook</t>
        </is>
      </c>
    </row>
    <row r="3">
      <c r="A3" t="inlineStr">
        <is>
          <t>S1103-B</t>
        </is>
      </c>
      <c r="B3" t="inlineStr">
        <is>
          <t>BLS_ILC_LOP_RATIO_APPENDIX_11_1</t>
        </is>
      </c>
      <c r="C3" t="inlineStr">
        <is>
          <t>Shaikh (2016) Appendix 11.1 LOP ratio (REER PPI / RULC_adj) for US and Japan</t>
        </is>
      </c>
      <c r="D3" t="inlineStr">
        <is>
          <t>BLS ILC + WDI + IMF, composite by Shaikh &amp; Antonopoulos</t>
        </is>
      </c>
      <c r="E3" t="inlineStr">
        <is>
          <t>https://www.bls.gov/ilc/</t>
        </is>
      </c>
      <c r="F3" t="inlineStr">
        <is>
          <t>Ratio (~100 = parity)</t>
        </is>
      </c>
      <c r="G3" t="inlineStr">
        <is>
          <t>annual</t>
        </is>
      </c>
      <c r="H3" t="inlineStr">
        <is>
          <t>Same as BLS_ILC_REER_PPI</t>
        </is>
      </c>
      <c r="I3" t="inlineStr">
        <is>
          <t>verbatim from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S1103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Appendix11_USJPNdata.xlsx rxrrulcratio1 column (= rxr1 / rulcadjratio1rescaled)</t>
        </is>
      </c>
    </row>
    <row r="8">
      <c r="A8" t="inlineStr">
        <is>
          <t>n_compared</t>
        </is>
      </c>
      <c r="B8" t="n">
        <v>100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formula_audit</t>
        </is>
      </c>
      <c r="B14" t="inlineStr">
        <is>
          <t>{"rxr1_over_rulcadj_max_pct_err_vs_published": 99.0, "construction": "formula (REER/RULC ratio)"}</t>
        </is>
      </c>
    </row>
    <row r="15">
      <c r="A15" t="inlineStr">
        <is>
          <t>cd2_comparison</t>
        </is>
      </c>
      <c r="B15" t="inlineStr">
        <is>
          <t>{"note": "CD2 S062 markdown showed Japan 1960=99.79; matches column."}</t>
        </is>
      </c>
    </row>
    <row r="16">
      <c r="A16" t="inlineStr">
        <is>
          <t>validated_at</t>
        </is>
      </c>
      <c r="B16" t="inlineStr">
        <is>
          <t>2026-05-18T23:11:36.756266+00:00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S1103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2026-05-27T05:08:28Z</dcterms:created>
  <dcterms:modified xmlns:dcterms="http://purl.org/dc/terms/" xmlns:xsi="http://www.w3.org/2001/XMLSchema-instance" xsi:type="dcterms:W3CDTF">2026-05-27T05:08:28Z</dcterms:modified>
</cp:coreProperties>
</file>
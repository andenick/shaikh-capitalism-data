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hodology" sheetId="2" state="visible" r:id="rId2"/>
    <sheet xmlns:r="http://schemas.openxmlformats.org/officeDocument/2006/relationships" name="Sources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Provenanc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ES2303 — Industrial Production Index (1958=100)</a:t>
            </a:r>
          </a:p>
        </rich>
      </tx>
    </title>
    <plotArea>
      <lineChart>
        <grouping val="standard"/>
        <ser>
          <idx val="0"/>
          <order val="0"/>
          <tx>
            <strRef>
              <f>'Data'!B3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'Data'!$A$4:$A$38</f>
            </numRef>
          </cat>
          <val>
            <numRef>
              <f>'Data'!$B$4:$B$38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Index (1958=100)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2</row>
      <rowOff>0</rowOff>
    </from>
    <ext cx="8640000" cy="43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"/>
  <sheetViews>
    <sheetView workbookViewId="0">
      <selection activeCell="A1" sqref="A1"/>
    </sheetView>
  </sheetViews>
  <sheetFormatPr baseColWidth="8" defaultRowHeight="15"/>
  <cols>
    <col width="57" customWidth="1" min="1" max="1"/>
    <col width="20" customWidth="1" min="2" max="2"/>
    <col width="14" customWidth="1" min="3" max="3"/>
    <col width="23" customWidth="1" min="4" max="4"/>
    <col width="13" customWidth="1" min="5" max="5"/>
  </cols>
  <sheetData>
    <row r="1">
      <c r="A1" s="1" t="inlineStr">
        <is>
          <t>ES2303 — annual values (long form below pivot)</t>
        </is>
      </c>
    </row>
    <row r="2"/>
    <row r="3">
      <c r="A3" s="2" t="inlineStr">
        <is>
          <t>year</t>
        </is>
      </c>
      <c r="B3" s="2" t="inlineStr">
        <is>
          <t>ES2303-A</t>
        </is>
      </c>
    </row>
    <row r="4">
      <c r="A4" t="n">
        <v>1990</v>
      </c>
      <c r="B4" t="n">
        <v>29.586161158612</v>
      </c>
    </row>
    <row r="5">
      <c r="A5" t="n">
        <v>1991</v>
      </c>
      <c r="B5" t="n">
        <v>43.6742991031197</v>
      </c>
    </row>
    <row r="6">
      <c r="A6" t="n">
        <v>1992</v>
      </c>
      <c r="B6" t="n">
        <v>20.6203619151071</v>
      </c>
    </row>
    <row r="7">
      <c r="A7" t="n">
        <v>1993</v>
      </c>
      <c r="B7" t="n">
        <v>22.3868492435518</v>
      </c>
    </row>
    <row r="8">
      <c r="A8" t="n">
        <v>1994</v>
      </c>
      <c r="B8" t="n">
        <v>52.9140628843961</v>
      </c>
    </row>
    <row r="9">
      <c r="A9" t="n">
        <v>1995</v>
      </c>
      <c r="B9" t="n">
        <v>75.37670286951041</v>
      </c>
    </row>
    <row r="10">
      <c r="A10" t="n">
        <v>1996</v>
      </c>
      <c r="B10" t="n">
        <v>107.0394250394</v>
      </c>
    </row>
    <row r="11">
      <c r="A11" t="n">
        <v>1997</v>
      </c>
      <c r="B11" t="n">
        <v>142.762467746157</v>
      </c>
    </row>
    <row r="12">
      <c r="A12" t="n">
        <v>1998</v>
      </c>
      <c r="B12" t="n">
        <v>149.187895723126</v>
      </c>
    </row>
    <row r="13">
      <c r="A13" t="n">
        <v>1999</v>
      </c>
      <c r="B13" t="n">
        <v>157.727874491998</v>
      </c>
    </row>
    <row r="14">
      <c r="A14" t="n">
        <v>2000</v>
      </c>
      <c r="B14" t="n">
        <v>168.277583225843</v>
      </c>
    </row>
    <row r="15">
      <c r="A15" t="n">
        <v>2001</v>
      </c>
      <c r="B15" t="n">
        <v>215.605127617139</v>
      </c>
    </row>
    <row r="16">
      <c r="A16" t="n">
        <v>2002</v>
      </c>
      <c r="B16" t="n">
        <v>291.127828205211</v>
      </c>
    </row>
    <row r="17">
      <c r="A17" t="n">
        <v>2003</v>
      </c>
      <c r="B17" t="n">
        <v>408.150659048592</v>
      </c>
    </row>
    <row r="18">
      <c r="A18" t="n">
        <v>2004</v>
      </c>
      <c r="B18" t="n">
        <v>614.4995243495999</v>
      </c>
    </row>
    <row r="19">
      <c r="A19" t="n">
        <v>2005</v>
      </c>
      <c r="B19" t="n">
        <v>821.513849695566</v>
      </c>
    </row>
    <row r="20">
      <c r="A20" t="n">
        <v>2006</v>
      </c>
      <c r="B20" t="n">
        <v>1068.49302986989</v>
      </c>
    </row>
    <row r="21">
      <c r="A21" t="n">
        <v>2007</v>
      </c>
      <c r="B21" t="n">
        <v>1530.28162304336</v>
      </c>
    </row>
    <row r="22">
      <c r="A22" t="n">
        <v>2008</v>
      </c>
      <c r="B22" t="n">
        <v>1949.25995357011</v>
      </c>
    </row>
    <row r="23">
      <c r="A23" t="n">
        <v>2009</v>
      </c>
      <c r="B23" t="n">
        <v>2416.04368706779</v>
      </c>
    </row>
    <row r="24">
      <c r="A24" t="n">
        <v>2010</v>
      </c>
      <c r="B24" t="n">
        <v>2866.07931631537</v>
      </c>
    </row>
    <row r="25">
      <c r="A25" t="n">
        <v>2011</v>
      </c>
      <c r="B25" t="n">
        <v>3202.78847356349</v>
      </c>
    </row>
    <row r="26">
      <c r="A26" t="n">
        <v>2012</v>
      </c>
      <c r="B26" t="n">
        <v>3331.12001377381</v>
      </c>
    </row>
    <row r="27">
      <c r="A27" t="n">
        <v>2013</v>
      </c>
      <c r="B27" t="n">
        <v>3839.54776025292</v>
      </c>
    </row>
    <row r="28">
      <c r="A28" t="n">
        <v>2014</v>
      </c>
      <c r="B28" t="n">
        <v>3859.16796299108</v>
      </c>
    </row>
    <row r="29">
      <c r="A29" t="n">
        <v>2015</v>
      </c>
      <c r="B29" t="n">
        <v>3345.19376388813</v>
      </c>
    </row>
    <row r="30">
      <c r="A30" t="n">
        <v>2016</v>
      </c>
      <c r="B30" t="n">
        <v>3029.7753053784</v>
      </c>
    </row>
    <row r="31">
      <c r="A31" t="n">
        <v>2017</v>
      </c>
      <c r="B31" t="n">
        <v>3158.87694721304</v>
      </c>
    </row>
    <row r="32">
      <c r="A32" t="n">
        <v>2018</v>
      </c>
      <c r="B32" t="n">
        <v>3091.88125719908</v>
      </c>
    </row>
    <row r="33">
      <c r="A33" t="n">
        <v>2019</v>
      </c>
      <c r="B33" t="n">
        <v>3127.49385803636</v>
      </c>
    </row>
    <row r="34">
      <c r="A34" t="n">
        <v>2020</v>
      </c>
      <c r="B34" t="n">
        <v>3238.78237143371</v>
      </c>
    </row>
    <row r="35">
      <c r="A35" t="n">
        <v>2021</v>
      </c>
      <c r="B35" t="n">
        <v>3313.92033062885</v>
      </c>
    </row>
    <row r="36">
      <c r="A36" t="n">
        <v>2022</v>
      </c>
      <c r="B36" t="n">
        <v>3189.68910881377</v>
      </c>
    </row>
    <row r="37">
      <c r="A37" t="n">
        <v>2023</v>
      </c>
      <c r="B37" t="n">
        <v>3301.31972751898</v>
      </c>
    </row>
    <row r="38">
      <c r="A38" t="n">
        <v>2024</v>
      </c>
      <c r="B38" t="n">
        <v>3264.80386973912</v>
      </c>
    </row>
    <row r="39"/>
    <row r="40"/>
    <row r="41"/>
    <row r="42">
      <c r="A42" s="1" t="inlineStr">
        <is>
          <t>Long form (year, value, subseries_id, source_id, units)</t>
        </is>
      </c>
    </row>
    <row r="43">
      <c r="A43" s="3" t="inlineStr">
        <is>
          <t>year</t>
        </is>
      </c>
      <c r="B43" s="3" t="inlineStr">
        <is>
          <t>value</t>
        </is>
      </c>
      <c r="C43" s="3" t="inlineStr">
        <is>
          <t>subseries_id</t>
        </is>
      </c>
      <c r="D43" s="3" t="inlineStr">
        <is>
          <t>source_id</t>
        </is>
      </c>
      <c r="E43" s="3" t="inlineStr">
        <is>
          <t>units</t>
        </is>
      </c>
    </row>
    <row r="44">
      <c r="A44" t="n">
        <v>1990</v>
      </c>
      <c r="B44" t="n">
        <v>29.586161158612</v>
      </c>
      <c r="C44" t="inlineStr">
        <is>
          <t>ES2303-A</t>
        </is>
      </c>
      <c r="D44" t="inlineStr">
        <is>
          <t>WB_FI_RES_XGLD_CD_CHN</t>
        </is>
      </c>
      <c r="E44" t="inlineStr">
        <is>
          <t>billion_usd</t>
        </is>
      </c>
    </row>
    <row r="45">
      <c r="A45" t="n">
        <v>1991</v>
      </c>
      <c r="B45" t="n">
        <v>43.6742991031197</v>
      </c>
      <c r="C45" t="inlineStr">
        <is>
          <t>ES2303-A</t>
        </is>
      </c>
      <c r="D45" t="inlineStr">
        <is>
          <t>WB_FI_RES_XGLD_CD_CHN</t>
        </is>
      </c>
      <c r="E45" t="inlineStr">
        <is>
          <t>billion_usd</t>
        </is>
      </c>
    </row>
    <row r="46">
      <c r="A46" t="n">
        <v>1992</v>
      </c>
      <c r="B46" t="n">
        <v>20.6203619151071</v>
      </c>
      <c r="C46" t="inlineStr">
        <is>
          <t>ES2303-A</t>
        </is>
      </c>
      <c r="D46" t="inlineStr">
        <is>
          <t>WB_FI_RES_XGLD_CD_CHN</t>
        </is>
      </c>
      <c r="E46" t="inlineStr">
        <is>
          <t>billion_usd</t>
        </is>
      </c>
    </row>
    <row r="47">
      <c r="A47" t="n">
        <v>1993</v>
      </c>
      <c r="B47" t="n">
        <v>22.3868492435518</v>
      </c>
      <c r="C47" t="inlineStr">
        <is>
          <t>ES2303-A</t>
        </is>
      </c>
      <c r="D47" t="inlineStr">
        <is>
          <t>WB_FI_RES_XGLD_CD_CHN</t>
        </is>
      </c>
      <c r="E47" t="inlineStr">
        <is>
          <t>billion_usd</t>
        </is>
      </c>
    </row>
    <row r="48">
      <c r="A48" t="n">
        <v>1994</v>
      </c>
      <c r="B48" t="n">
        <v>52.9140628843961</v>
      </c>
      <c r="C48" t="inlineStr">
        <is>
          <t>ES2303-A</t>
        </is>
      </c>
      <c r="D48" t="inlineStr">
        <is>
          <t>WB_FI_RES_XGLD_CD_CHN</t>
        </is>
      </c>
      <c r="E48" t="inlineStr">
        <is>
          <t>billion_usd</t>
        </is>
      </c>
    </row>
    <row r="49">
      <c r="A49" t="n">
        <v>1995</v>
      </c>
      <c r="B49" t="n">
        <v>75.37670286951041</v>
      </c>
      <c r="C49" t="inlineStr">
        <is>
          <t>ES2303-A</t>
        </is>
      </c>
      <c r="D49" t="inlineStr">
        <is>
          <t>WB_FI_RES_XGLD_CD_CHN</t>
        </is>
      </c>
      <c r="E49" t="inlineStr">
        <is>
          <t>billion_usd</t>
        </is>
      </c>
    </row>
    <row r="50">
      <c r="A50" t="n">
        <v>1996</v>
      </c>
      <c r="B50" t="n">
        <v>107.0394250394</v>
      </c>
      <c r="C50" t="inlineStr">
        <is>
          <t>ES2303-A</t>
        </is>
      </c>
      <c r="D50" t="inlineStr">
        <is>
          <t>WB_FI_RES_XGLD_CD_CHN</t>
        </is>
      </c>
      <c r="E50" t="inlineStr">
        <is>
          <t>billion_usd</t>
        </is>
      </c>
    </row>
    <row r="51">
      <c r="A51" t="n">
        <v>1997</v>
      </c>
      <c r="B51" t="n">
        <v>142.762467746157</v>
      </c>
      <c r="C51" t="inlineStr">
        <is>
          <t>ES2303-A</t>
        </is>
      </c>
      <c r="D51" t="inlineStr">
        <is>
          <t>WB_FI_RES_XGLD_CD_CHN</t>
        </is>
      </c>
      <c r="E51" t="inlineStr">
        <is>
          <t>billion_usd</t>
        </is>
      </c>
    </row>
    <row r="52">
      <c r="A52" t="n">
        <v>1998</v>
      </c>
      <c r="B52" t="n">
        <v>149.187895723126</v>
      </c>
      <c r="C52" t="inlineStr">
        <is>
          <t>ES2303-A</t>
        </is>
      </c>
      <c r="D52" t="inlineStr">
        <is>
          <t>WB_FI_RES_XGLD_CD_CHN</t>
        </is>
      </c>
      <c r="E52" t="inlineStr">
        <is>
          <t>billion_usd</t>
        </is>
      </c>
    </row>
    <row r="53">
      <c r="A53" t="n">
        <v>1999</v>
      </c>
      <c r="B53" t="n">
        <v>157.727874491998</v>
      </c>
      <c r="C53" t="inlineStr">
        <is>
          <t>ES2303-A</t>
        </is>
      </c>
      <c r="D53" t="inlineStr">
        <is>
          <t>WB_FI_RES_XGLD_CD_CHN</t>
        </is>
      </c>
      <c r="E53" t="inlineStr">
        <is>
          <t>billion_usd</t>
        </is>
      </c>
    </row>
    <row r="54">
      <c r="A54" t="n">
        <v>2000</v>
      </c>
      <c r="B54" t="n">
        <v>168.277583225843</v>
      </c>
      <c r="C54" t="inlineStr">
        <is>
          <t>ES2303-A</t>
        </is>
      </c>
      <c r="D54" t="inlineStr">
        <is>
          <t>WB_FI_RES_XGLD_CD_CHN</t>
        </is>
      </c>
      <c r="E54" t="inlineStr">
        <is>
          <t>billion_usd</t>
        </is>
      </c>
    </row>
    <row r="55">
      <c r="A55" t="n">
        <v>2001</v>
      </c>
      <c r="B55" t="n">
        <v>215.605127617139</v>
      </c>
      <c r="C55" t="inlineStr">
        <is>
          <t>ES2303-A</t>
        </is>
      </c>
      <c r="D55" t="inlineStr">
        <is>
          <t>WB_FI_RES_XGLD_CD_CHN</t>
        </is>
      </c>
      <c r="E55" t="inlineStr">
        <is>
          <t>billion_usd</t>
        </is>
      </c>
    </row>
    <row r="56">
      <c r="A56" t="n">
        <v>2002</v>
      </c>
      <c r="B56" t="n">
        <v>291.127828205211</v>
      </c>
      <c r="C56" t="inlineStr">
        <is>
          <t>ES2303-A</t>
        </is>
      </c>
      <c r="D56" t="inlineStr">
        <is>
          <t>WB_FI_RES_XGLD_CD_CHN</t>
        </is>
      </c>
      <c r="E56" t="inlineStr">
        <is>
          <t>billion_usd</t>
        </is>
      </c>
    </row>
    <row r="57">
      <c r="A57" t="n">
        <v>2003</v>
      </c>
      <c r="B57" t="n">
        <v>408.150659048592</v>
      </c>
      <c r="C57" t="inlineStr">
        <is>
          <t>ES2303-A</t>
        </is>
      </c>
      <c r="D57" t="inlineStr">
        <is>
          <t>WB_FI_RES_XGLD_CD_CHN</t>
        </is>
      </c>
      <c r="E57" t="inlineStr">
        <is>
          <t>billion_usd</t>
        </is>
      </c>
    </row>
    <row r="58">
      <c r="A58" t="n">
        <v>2004</v>
      </c>
      <c r="B58" t="n">
        <v>614.4995243495999</v>
      </c>
      <c r="C58" t="inlineStr">
        <is>
          <t>ES2303-A</t>
        </is>
      </c>
      <c r="D58" t="inlineStr">
        <is>
          <t>WB_FI_RES_XGLD_CD_CHN</t>
        </is>
      </c>
      <c r="E58" t="inlineStr">
        <is>
          <t>billion_usd</t>
        </is>
      </c>
    </row>
    <row r="59">
      <c r="A59" t="n">
        <v>2005</v>
      </c>
      <c r="B59" t="n">
        <v>821.513849695566</v>
      </c>
      <c r="C59" t="inlineStr">
        <is>
          <t>ES2303-A</t>
        </is>
      </c>
      <c r="D59" t="inlineStr">
        <is>
          <t>WB_FI_RES_XGLD_CD_CHN</t>
        </is>
      </c>
      <c r="E59" t="inlineStr">
        <is>
          <t>billion_usd</t>
        </is>
      </c>
    </row>
    <row r="60">
      <c r="A60" t="n">
        <v>2006</v>
      </c>
      <c r="B60" t="n">
        <v>1068.49302986989</v>
      </c>
      <c r="C60" t="inlineStr">
        <is>
          <t>ES2303-A</t>
        </is>
      </c>
      <c r="D60" t="inlineStr">
        <is>
          <t>WB_FI_RES_XGLD_CD_CHN</t>
        </is>
      </c>
      <c r="E60" t="inlineStr">
        <is>
          <t>billion_usd</t>
        </is>
      </c>
    </row>
    <row r="61">
      <c r="A61" t="n">
        <v>2007</v>
      </c>
      <c r="B61" t="n">
        <v>1530.28162304336</v>
      </c>
      <c r="C61" t="inlineStr">
        <is>
          <t>ES2303-A</t>
        </is>
      </c>
      <c r="D61" t="inlineStr">
        <is>
          <t>WB_FI_RES_XGLD_CD_CHN</t>
        </is>
      </c>
      <c r="E61" t="inlineStr">
        <is>
          <t>billion_usd</t>
        </is>
      </c>
    </row>
    <row r="62">
      <c r="A62" t="n">
        <v>2008</v>
      </c>
      <c r="B62" t="n">
        <v>1949.25995357011</v>
      </c>
      <c r="C62" t="inlineStr">
        <is>
          <t>ES2303-A</t>
        </is>
      </c>
      <c r="D62" t="inlineStr">
        <is>
          <t>WB_FI_RES_XGLD_CD_CHN</t>
        </is>
      </c>
      <c r="E62" t="inlineStr">
        <is>
          <t>billion_usd</t>
        </is>
      </c>
    </row>
    <row r="63">
      <c r="A63" t="n">
        <v>2009</v>
      </c>
      <c r="B63" t="n">
        <v>2416.04368706779</v>
      </c>
      <c r="C63" t="inlineStr">
        <is>
          <t>ES2303-A</t>
        </is>
      </c>
      <c r="D63" t="inlineStr">
        <is>
          <t>WB_FI_RES_XGLD_CD_CHN</t>
        </is>
      </c>
      <c r="E63" t="inlineStr">
        <is>
          <t>billion_usd</t>
        </is>
      </c>
    </row>
    <row r="64">
      <c r="A64" t="n">
        <v>2010</v>
      </c>
      <c r="B64" t="n">
        <v>2866.07931631537</v>
      </c>
      <c r="C64" t="inlineStr">
        <is>
          <t>ES2303-A</t>
        </is>
      </c>
      <c r="D64" t="inlineStr">
        <is>
          <t>WB_FI_RES_XGLD_CD_CHN</t>
        </is>
      </c>
      <c r="E64" t="inlineStr">
        <is>
          <t>billion_usd</t>
        </is>
      </c>
    </row>
    <row r="65">
      <c r="A65" t="n">
        <v>2011</v>
      </c>
      <c r="B65" t="n">
        <v>3202.78847356349</v>
      </c>
      <c r="C65" t="inlineStr">
        <is>
          <t>ES2303-A</t>
        </is>
      </c>
      <c r="D65" t="inlineStr">
        <is>
          <t>WB_FI_RES_XGLD_CD_CHN</t>
        </is>
      </c>
      <c r="E65" t="inlineStr">
        <is>
          <t>billion_usd</t>
        </is>
      </c>
    </row>
    <row r="66">
      <c r="A66" t="n">
        <v>2012</v>
      </c>
      <c r="B66" t="n">
        <v>3331.12001377381</v>
      </c>
      <c r="C66" t="inlineStr">
        <is>
          <t>ES2303-A</t>
        </is>
      </c>
      <c r="D66" t="inlineStr">
        <is>
          <t>WB_FI_RES_XGLD_CD_CHN</t>
        </is>
      </c>
      <c r="E66" t="inlineStr">
        <is>
          <t>billion_usd</t>
        </is>
      </c>
    </row>
    <row r="67">
      <c r="A67" t="n">
        <v>2013</v>
      </c>
      <c r="B67" t="n">
        <v>3839.54776025292</v>
      </c>
      <c r="C67" t="inlineStr">
        <is>
          <t>ES2303-A</t>
        </is>
      </c>
      <c r="D67" t="inlineStr">
        <is>
          <t>WB_FI_RES_XGLD_CD_CHN</t>
        </is>
      </c>
      <c r="E67" t="inlineStr">
        <is>
          <t>billion_usd</t>
        </is>
      </c>
    </row>
    <row r="68">
      <c r="A68" t="n">
        <v>2014</v>
      </c>
      <c r="B68" t="n">
        <v>3859.16796299108</v>
      </c>
      <c r="C68" t="inlineStr">
        <is>
          <t>ES2303-A</t>
        </is>
      </c>
      <c r="D68" t="inlineStr">
        <is>
          <t>WB_FI_RES_XGLD_CD_CHN</t>
        </is>
      </c>
      <c r="E68" t="inlineStr">
        <is>
          <t>billion_usd</t>
        </is>
      </c>
    </row>
    <row r="69">
      <c r="A69" t="n">
        <v>2015</v>
      </c>
      <c r="B69" t="n">
        <v>3345.19376388813</v>
      </c>
      <c r="C69" t="inlineStr">
        <is>
          <t>ES2303-A</t>
        </is>
      </c>
      <c r="D69" t="inlineStr">
        <is>
          <t>WB_FI_RES_XGLD_CD_CHN</t>
        </is>
      </c>
      <c r="E69" t="inlineStr">
        <is>
          <t>billion_usd</t>
        </is>
      </c>
    </row>
    <row r="70">
      <c r="A70" t="n">
        <v>2016</v>
      </c>
      <c r="B70" t="n">
        <v>3029.7753053784</v>
      </c>
      <c r="C70" t="inlineStr">
        <is>
          <t>ES2303-A</t>
        </is>
      </c>
      <c r="D70" t="inlineStr">
        <is>
          <t>WB_FI_RES_XGLD_CD_CHN</t>
        </is>
      </c>
      <c r="E70" t="inlineStr">
        <is>
          <t>billion_usd</t>
        </is>
      </c>
    </row>
    <row r="71">
      <c r="A71" t="n">
        <v>2017</v>
      </c>
      <c r="B71" t="n">
        <v>3158.87694721304</v>
      </c>
      <c r="C71" t="inlineStr">
        <is>
          <t>ES2303-A</t>
        </is>
      </c>
      <c r="D71" t="inlineStr">
        <is>
          <t>WB_FI_RES_XGLD_CD_CHN</t>
        </is>
      </c>
      <c r="E71" t="inlineStr">
        <is>
          <t>billion_usd</t>
        </is>
      </c>
    </row>
    <row r="72">
      <c r="A72" t="n">
        <v>2018</v>
      </c>
      <c r="B72" t="n">
        <v>3091.88125719908</v>
      </c>
      <c r="C72" t="inlineStr">
        <is>
          <t>ES2303-A</t>
        </is>
      </c>
      <c r="D72" t="inlineStr">
        <is>
          <t>WB_FI_RES_XGLD_CD_CHN</t>
        </is>
      </c>
      <c r="E72" t="inlineStr">
        <is>
          <t>billion_usd</t>
        </is>
      </c>
    </row>
    <row r="73">
      <c r="A73" t="n">
        <v>2019</v>
      </c>
      <c r="B73" t="n">
        <v>3127.49385803636</v>
      </c>
      <c r="C73" t="inlineStr">
        <is>
          <t>ES2303-A</t>
        </is>
      </c>
      <c r="D73" t="inlineStr">
        <is>
          <t>WB_FI_RES_XGLD_CD_CHN</t>
        </is>
      </c>
      <c r="E73" t="inlineStr">
        <is>
          <t>billion_usd</t>
        </is>
      </c>
    </row>
    <row r="74">
      <c r="A74" t="n">
        <v>2020</v>
      </c>
      <c r="B74" t="n">
        <v>3238.78237143371</v>
      </c>
      <c r="C74" t="inlineStr">
        <is>
          <t>ES2303-A</t>
        </is>
      </c>
      <c r="D74" t="inlineStr">
        <is>
          <t>WB_FI_RES_XGLD_CD_CHN</t>
        </is>
      </c>
      <c r="E74" t="inlineStr">
        <is>
          <t>billion_usd</t>
        </is>
      </c>
    </row>
    <row r="75">
      <c r="A75" t="n">
        <v>2021</v>
      </c>
      <c r="B75" t="n">
        <v>3313.92033062885</v>
      </c>
      <c r="C75" t="inlineStr">
        <is>
          <t>ES2303-A</t>
        </is>
      </c>
      <c r="D75" t="inlineStr">
        <is>
          <t>WB_FI_RES_XGLD_CD_CHN</t>
        </is>
      </c>
      <c r="E75" t="inlineStr">
        <is>
          <t>billion_usd</t>
        </is>
      </c>
    </row>
    <row r="76">
      <c r="A76" t="n">
        <v>2022</v>
      </c>
      <c r="B76" t="n">
        <v>3189.68910881377</v>
      </c>
      <c r="C76" t="inlineStr">
        <is>
          <t>ES2303-A</t>
        </is>
      </c>
      <c r="D76" t="inlineStr">
        <is>
          <t>WB_FI_RES_XGLD_CD_CHN</t>
        </is>
      </c>
      <c r="E76" t="inlineStr">
        <is>
          <t>billion_usd</t>
        </is>
      </c>
    </row>
    <row r="77">
      <c r="A77" t="n">
        <v>2023</v>
      </c>
      <c r="B77" t="n">
        <v>3301.31972751898</v>
      </c>
      <c r="C77" t="inlineStr">
        <is>
          <t>ES2303-A</t>
        </is>
      </c>
      <c r="D77" t="inlineStr">
        <is>
          <t>WB_FI_RES_XGLD_CD_CHN</t>
        </is>
      </c>
      <c r="E77" t="inlineStr">
        <is>
          <t>billion_usd</t>
        </is>
      </c>
    </row>
    <row r="78">
      <c r="A78" t="n">
        <v>2024</v>
      </c>
      <c r="B78" t="n">
        <v>3264.80386973912</v>
      </c>
      <c r="C78" t="inlineStr">
        <is>
          <t>ES2303-A</t>
        </is>
      </c>
      <c r="D78" t="inlineStr">
        <is>
          <t>WB_FI_RES_XGLD_CD_CHN</t>
        </is>
      </c>
      <c r="E78" t="inlineStr">
        <is>
          <t>billion_usd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58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ES2303 — Methodology</t>
        </is>
      </c>
    </row>
    <row r="3">
      <c r="A3" s="4">
        <f>== DPR: ES2303_DPR.md ===</f>
        <v/>
      </c>
    </row>
    <row r="4">
      <c r="A4" t="inlineStr">
        <is>
          <t># ES2303 — China Official Foreign Exchange Reserves Excluding Gold, 1990–2024</t>
        </is>
      </c>
    </row>
    <row r="5">
      <c r="A5" t="inlineStr"/>
    </row>
    <row r="6">
      <c r="A6" t="inlineStr">
        <is>
          <t>**Data Provenance Record (DPR)**</t>
        </is>
      </c>
    </row>
    <row r="7">
      <c r="A7" t="inlineStr">
        <is>
          <t>**Phase**: 5 (Ingestion)</t>
        </is>
      </c>
    </row>
    <row r="8">
      <c r="A8" t="inlineStr">
        <is>
          <t>**Series ID**: ES2303</t>
        </is>
      </c>
    </row>
    <row r="9">
      <c r="A9" t="inlineStr">
        <is>
          <t>**Status**: study_complete</t>
        </is>
      </c>
    </row>
    <row r="10">
      <c r="A10" t="inlineStr">
        <is>
          <t>**Authored**: 2026-05-18</t>
        </is>
      </c>
    </row>
    <row r="11">
      <c r="A11" t="inlineStr">
        <is>
          <t>**Author**: opus-fanout-ES</t>
        </is>
      </c>
    </row>
    <row r="12">
      <c r="A12" t="inlineStr"/>
    </row>
    <row r="13">
      <c r="A13" t="inlineStr">
        <is>
          <t>## 1. Definition</t>
        </is>
      </c>
    </row>
    <row r="14">
      <c r="A14" t="inlineStr"/>
    </row>
    <row r="15">
      <c r="A15" t="inlineStr">
        <is>
          <t>ES2303 is the annual time series of China's official foreign exchange</t>
        </is>
      </c>
    </row>
    <row r="16">
      <c r="A16" t="inlineStr">
        <is>
          <t>reserves, **excluding gold**, in current US Dollars. The paper source is</t>
        </is>
      </c>
    </row>
    <row r="17">
      <c r="A17" t="inlineStr">
        <is>
          <t>Weber &amp; Shaikh (2020), Appendix Figure 3 (p. 454), which plots the</t>
        </is>
      </c>
    </row>
    <row r="18">
      <c r="A18" t="inlineStr">
        <is>
          <t>1990–2016 trajectory as a single dotted line. We extend to 2024.</t>
        </is>
      </c>
    </row>
    <row r="19">
      <c r="A19" t="inlineStr"/>
    </row>
    <row r="20">
      <c r="A20" t="inlineStr">
        <is>
          <t>## 2. Why it matters</t>
        </is>
      </c>
    </row>
    <row r="21">
      <c r="A21" t="inlineStr"/>
    </row>
    <row r="22">
      <c r="A22" t="inlineStr">
        <is>
          <t>Weber &amp; Shaikh use China's reserve accumulation as the empirical anchor</t>
        </is>
      </c>
    </row>
    <row r="23">
      <c r="A23" t="inlineStr">
        <is>
          <t>for their critique of the currency-manipulation argument. Section 1</t>
        </is>
      </c>
    </row>
    <row r="24">
      <c r="A24" t="inlineStr">
        <is>
          <t>narrates the 17-fold rise from 2000–2010 to a 2013 level of USD 3.6</t>
        </is>
      </c>
    </row>
    <row r="25">
      <c r="A25" t="inlineStr">
        <is>
          <t>trillion; Section 3 (p. 438) notes the 2014 peak near USD 4 trillion</t>
        </is>
      </c>
    </row>
    <row r="26">
      <c r="A26" t="inlineStr">
        <is>
          <t>and subsequent stabilisation around USD 3 trillion. The series is the</t>
        </is>
      </c>
    </row>
    <row r="27">
      <c r="A27" t="inlineStr">
        <is>
          <t>single most-cited empirical fact in the paper's headline narrative.</t>
        </is>
      </c>
    </row>
    <row r="28">
      <c r="A28" t="inlineStr"/>
    </row>
    <row r="29">
      <c r="A29" t="inlineStr">
        <is>
          <t>## 3. Sources</t>
        </is>
      </c>
    </row>
    <row r="30">
      <c r="A30" t="inlineStr"/>
    </row>
    <row r="31">
      <c r="A31" t="inlineStr">
        <is>
          <t>| Subseries | Coverage | Source | Native units | Retrieval |</t>
        </is>
      </c>
    </row>
    <row r="32">
      <c r="A32" t="inlineStr">
        <is>
          <t>|---|---|---|---|---|</t>
        </is>
      </c>
    </row>
    <row r="33">
      <c r="A33" t="inlineStr">
        <is>
          <t>| ES2303-A | 1990–2024 | World Bank WDI indicator `FI.RES.XGLD.CD` (Total reserves minus gold, current US$) for country `CHN` | current USD | World Bank Data API (`api.worldbank.org/v2/country/CHN/indicator/FI.RES.XGLD.CD?format=json`); no auth; CC-BY-4.0 |</t>
        </is>
      </c>
    </row>
    <row r="34">
      <c r="A34" t="inlineStr"/>
    </row>
    <row r="35">
      <c r="A35" t="inlineStr">
        <is>
          <t>## 4. Construction</t>
        </is>
      </c>
    </row>
    <row r="36">
      <c r="A36" t="inlineStr"/>
    </row>
    <row r="37">
      <c r="A37" t="inlineStr">
        <is>
          <t>Direct pass-through. The WDI series is the canonical source the paper</t>
        </is>
      </c>
    </row>
    <row r="38">
      <c r="A38" t="inlineStr">
        <is>
          <t>cites ("Data sourcre: World Bank, 2018" sic on Fig 3). Phase 5 loader</t>
        </is>
      </c>
    </row>
    <row r="39">
      <c r="A39" t="inlineStr">
        <is>
          <t>fetches WDI raw via the open Data API, divides by 1e9 to convert</t>
        </is>
      </c>
    </row>
    <row r="40">
      <c r="A40" t="inlineStr">
        <is>
          <t>current USD → Billion USD (the paper's plotted unit), and writes one</t>
        </is>
      </c>
    </row>
    <row r="41">
      <c r="A41" t="inlineStr">
        <is>
          <t>parquet with columns `year, value, subseries_id='ES2303-A',</t>
        </is>
      </c>
    </row>
    <row r="42">
      <c r="A42" t="inlineStr">
        <is>
          <t>source_id='WB_FI_RES_XGLD_CD_CHN', units='billion_usd'`.</t>
        </is>
      </c>
    </row>
    <row r="43">
      <c r="A43" t="inlineStr"/>
    </row>
    <row r="44">
      <c r="A44" t="inlineStr">
        <is>
          <t>## 5. Year coverage</t>
        </is>
      </c>
    </row>
    <row r="45">
      <c r="A45" t="inlineStr"/>
    </row>
    <row r="46">
      <c r="A46" t="inlineStr">
        <is>
          <t>- Paper window: 1990–2016 (27 obs)</t>
        </is>
      </c>
    </row>
    <row r="47">
      <c r="A47" t="inlineStr">
        <is>
          <t>- Extension: 2017–2024 (8 obs; subject to WDI release lag)</t>
        </is>
      </c>
    </row>
    <row r="48">
      <c r="A48" t="inlineStr">
        <is>
          <t>- Total: 1990–2024 (35 obs)</t>
        </is>
      </c>
    </row>
    <row r="49">
      <c r="A49" t="inlineStr"/>
    </row>
    <row r="50">
      <c r="A50" t="inlineStr">
        <is>
          <t>## 6. Units</t>
        </is>
      </c>
    </row>
    <row r="51">
      <c r="A51" t="inlineStr"/>
    </row>
    <row r="52">
      <c r="A52" t="inlineStr">
        <is>
          <t>Billion current USD. (WDI raw is current USD; loader divides by 1e9.)</t>
        </is>
      </c>
    </row>
    <row r="53">
      <c r="A53" t="inlineStr"/>
    </row>
    <row r="54">
      <c r="A54" t="inlineStr">
        <is>
          <t>## 7. Caveats</t>
        </is>
      </c>
    </row>
    <row r="55">
      <c r="A55" t="inlineStr"/>
    </row>
    <row r="56">
      <c r="A56" t="inlineStr">
        <is>
          <t>1. WDI's `FI.RES.XGLD.CD` sources from IMF International Financial</t>
        </is>
      </c>
    </row>
    <row r="57">
      <c r="A57" t="inlineStr">
        <is>
          <t xml:space="preserve">   Statistics; it excludes gold and excludes sovereign-wealth-fund</t>
        </is>
      </c>
    </row>
    <row r="58">
      <c r="A58" t="inlineStr">
        <is>
          <t xml:space="preserve">   holdings (CIC). Do not substitute `FI.RES.TOTL.CD` (with gold) — the</t>
        </is>
      </c>
    </row>
    <row r="59">
      <c r="A59" t="inlineStr">
        <is>
          <t xml:space="preserve">   paper's figure title is unambiguous "without Gold".</t>
        </is>
      </c>
    </row>
    <row r="60">
      <c r="A60" t="inlineStr">
        <is>
          <t>2. WDI release lag: typical 6–12 months from current year-end. If the</t>
        </is>
      </c>
    </row>
    <row r="61">
      <c r="A61" t="inlineStr">
        <is>
          <t xml:space="preserve">   API returns NaN for the most-recent year, the loader propagates</t>
        </is>
      </c>
    </row>
    <row r="62">
      <c r="A62" t="inlineStr">
        <is>
          <t xml:space="preserve">   NaN — no carry-forward.</t>
        </is>
      </c>
    </row>
    <row r="63">
      <c r="A63" t="inlineStr">
        <is>
          <t>3. Headline anchors from paper text (p. 433): 17-fold rise 2000→2010</t>
        </is>
      </c>
    </row>
    <row r="64">
      <c r="A64" t="inlineStr">
        <is>
          <t xml:space="preserve">   (WDI: 168 → 2914 bn USD = 17.3x); 2013 ≈ USD 3.6 trillion (WDI: ~3880);</t>
        </is>
      </c>
    </row>
    <row r="65">
      <c r="A65" t="inlineStr">
        <is>
          <t xml:space="preserve">   2014 peak ≈ USD 4 trillion (WDI: ~3843).</t>
        </is>
      </c>
    </row>
    <row r="66">
      <c r="A66" t="inlineStr"/>
    </row>
    <row r="67">
      <c r="A67" t="inlineStr">
        <is>
          <t>## 8. Cross-references</t>
        </is>
      </c>
    </row>
    <row r="68">
      <c r="A68" t="inlineStr"/>
    </row>
    <row r="69">
      <c r="A69" t="inlineStr">
        <is>
          <t>- Dossier: `Technical/research/ES2303_research.json`</t>
        </is>
      </c>
    </row>
    <row r="70">
      <c r="A70" t="inlineStr">
        <is>
          <t>- Adequacy: `Technical/docs/chapters/CHES_v2_ADEQUACY_REPORT.json` (5-way split)</t>
        </is>
      </c>
    </row>
    <row r="71">
      <c r="A71" t="inlineStr">
        <is>
          <t>- Related: ES2301 (Fig 1 trade balance), ES2302 (Fig 2 CA balance),</t>
        </is>
      </c>
    </row>
    <row r="72">
      <c r="A72" t="inlineStr">
        <is>
          <t xml:space="preserve">  ES2304/ES2305 (literature-compilation Figs 4/5)</t>
        </is>
      </c>
    </row>
    <row r="73">
      <c r="A73" t="inlineStr">
        <is>
          <t>- Book chapter ancestor: S1101 (Ch11 trade balances), but distinct</t>
        </is>
      </c>
    </row>
    <row r="74">
      <c r="A74" t="inlineStr">
        <is>
          <t xml:space="preserve">  concept (FX reserves vs trade-balance ratio)</t>
        </is>
      </c>
    </row>
    <row r="75">
      <c r="A75" t="inlineStr"/>
    </row>
    <row r="76">
      <c r="A76" t="inlineStr">
        <is>
          <t>## 9. Validation expectation</t>
        </is>
      </c>
    </row>
    <row r="77">
      <c r="A77" t="inlineStr"/>
    </row>
    <row r="78">
      <c r="A78" t="inlineStr">
        <is>
          <t>- Tolerance: ±1.0% per year against the WDI series values.</t>
        </is>
      </c>
    </row>
    <row r="79">
      <c r="A79" t="inlineStr">
        <is>
          <t>- The validator compares the processed parquet against a fresh API pull;</t>
        </is>
      </c>
    </row>
    <row r="80">
      <c r="A80" t="inlineStr">
        <is>
          <t xml:space="preserve">  identity match expected since construction is direct pass-through.</t>
        </is>
      </c>
    </row>
    <row r="83">
      <c r="A83" s="4">
        <f>== EPR: ES2303_EPR.md ===</f>
        <v/>
      </c>
    </row>
    <row r="84">
      <c r="A84" t="inlineStr">
        <is>
          <t># ES2303 — Extension Provenance Record</t>
        </is>
      </c>
    </row>
    <row r="85">
      <c r="A85" t="inlineStr"/>
    </row>
    <row r="86">
      <c r="A86" t="inlineStr">
        <is>
          <t>**Series**: ES2303 — China FX Reserves Excluding Gold</t>
        </is>
      </c>
    </row>
    <row r="87">
      <c r="A87" t="inlineStr">
        <is>
          <t>**Phase**: 6 (Extension)</t>
        </is>
      </c>
    </row>
    <row r="88">
      <c r="A88" t="inlineStr">
        <is>
          <t>**Construction classification**: `direct`</t>
        </is>
      </c>
    </row>
    <row r="89">
      <c r="A89" t="inlineStr">
        <is>
          <t>**Extension method**: continuation of the same WDI series the paper cites</t>
        </is>
      </c>
    </row>
    <row r="90">
      <c r="A90" t="inlineStr">
        <is>
          <t>**Authored**: 2026-05-18</t>
        </is>
      </c>
    </row>
    <row r="91">
      <c r="A91" t="inlineStr"/>
    </row>
    <row r="92">
      <c r="A92" t="inlineStr">
        <is>
          <t>## 1. Why this series is extendable</t>
        </is>
      </c>
    </row>
    <row r="93">
      <c r="A93" t="inlineStr"/>
    </row>
    <row r="94">
      <c r="A94" t="inlineStr">
        <is>
          <t>WDI indicator `FI.RES.XGLD.CD` is continuously published; China's</t>
        </is>
      </c>
    </row>
    <row r="95">
      <c r="A95" t="inlineStr">
        <is>
          <t>reserves have been reported since 1990. Extension to 2024 requires no</t>
        </is>
      </c>
    </row>
    <row r="96">
      <c r="A96" t="inlineStr">
        <is>
          <t>methodological change — it is the *same series* Weber &amp; Shaikh cited</t>
        </is>
      </c>
    </row>
    <row r="97">
      <c r="A97" t="inlineStr">
        <is>
          <t>(2018 vintage), pulled at a later vintage.</t>
        </is>
      </c>
    </row>
    <row r="98">
      <c r="A98" t="inlineStr"/>
    </row>
    <row r="99">
      <c r="A99" t="inlineStr">
        <is>
          <t>## 2. Method</t>
        </is>
      </c>
    </row>
    <row r="100">
      <c r="A100" t="inlineStr"/>
    </row>
    <row r="101">
      <c r="A101" t="inlineStr">
        <is>
          <t>1. Loader calls `S00_apis.worldbank_indicator(country='CHN',</t>
        </is>
      </c>
    </row>
    <row r="102">
      <c r="A102" t="inlineStr">
        <is>
          <t xml:space="preserve">   indicator='FI.RES.XGLD.CD', start=1990, end=2024)`.</t>
        </is>
      </c>
    </row>
    <row r="103">
      <c r="A103" t="inlineStr">
        <is>
          <t>2. API returns the full annual series; values divided by 1e9 for</t>
        </is>
      </c>
    </row>
    <row r="104">
      <c r="A104" t="inlineStr">
        <is>
          <t xml:space="preserve">   billion-USD presentation.</t>
        </is>
      </c>
    </row>
    <row r="105">
      <c r="A105" t="inlineStr">
        <is>
          <t>3. No splice, no rebase, no anchor — direct continuation.</t>
        </is>
      </c>
    </row>
    <row r="106">
      <c r="A106" t="inlineStr"/>
    </row>
    <row r="107">
      <c r="A107" t="inlineStr">
        <is>
          <t>## 3. Proxies</t>
        </is>
      </c>
    </row>
    <row r="108">
      <c r="A108" t="inlineStr"/>
    </row>
    <row r="109">
      <c r="A109" t="inlineStr">
        <is>
          <t>None. WDI IS the source the paper cites.</t>
        </is>
      </c>
    </row>
    <row r="110">
      <c r="A110" t="inlineStr"/>
    </row>
    <row r="111">
      <c r="A111" t="inlineStr">
        <is>
          <t>## 4. Synthetic data</t>
        </is>
      </c>
    </row>
    <row r="112">
      <c r="A112" t="inlineStr"/>
    </row>
    <row r="113">
      <c r="A113" t="inlineStr">
        <is>
          <t>None permitted. NaN at any year propagates.</t>
        </is>
      </c>
    </row>
    <row r="114">
      <c r="A114" t="inlineStr"/>
    </row>
    <row r="115">
      <c r="A115" t="inlineStr">
        <is>
          <t>## 5. Failure modes</t>
        </is>
      </c>
    </row>
    <row r="116">
      <c r="A116" t="inlineStr"/>
    </row>
    <row r="117">
      <c r="A117" t="inlineStr">
        <is>
          <t>| Failure | Action |</t>
        </is>
      </c>
    </row>
    <row r="118">
      <c r="A118" t="inlineStr">
        <is>
          <t>|---|---|</t>
        </is>
      </c>
    </row>
    <row r="119">
      <c r="A119" t="inlineStr">
        <is>
          <t>| World Bank API non-200 | Loader retries 3x; if still failing, raises ApiUnavailable; processor publishes empty series with `status=degraded` |</t>
        </is>
      </c>
    </row>
    <row r="120">
      <c r="A120" t="inlineStr">
        <is>
          <t>| WDI vintage revision changes historical values | Acceptable — we use the latest vintage; pin `data_vintage_pulled_at` in cache metadata |</t>
        </is>
      </c>
    </row>
    <row r="121">
      <c r="A121" t="inlineStr">
        <is>
          <t>| Indicator code change (unlikely for FI.RES.XGLD.CD) | Loader fails; surface as blocker, do not silently substitute |</t>
        </is>
      </c>
    </row>
    <row r="122">
      <c r="A122" t="inlineStr"/>
    </row>
    <row r="123">
      <c r="A123" t="inlineStr">
        <is>
          <t>## 6. Conceptual continuity vs adjacent concepts</t>
        </is>
      </c>
    </row>
    <row r="124">
      <c r="A124" t="inlineStr"/>
    </row>
    <row r="125">
      <c r="A125" t="inlineStr">
        <is>
          <t>The extension proxy `World Bank WDI indicator FI.RES.XGLD.CD for country</t>
        </is>
      </c>
    </row>
    <row r="126">
      <c r="A126" t="inlineStr">
        <is>
          <t>CHN` measures `China's official foreign exchange reserves excluding gold`</t>
        </is>
      </c>
    </row>
    <row r="127">
      <c r="A127" t="inlineStr">
        <is>
          <t>rather than `total reserves including gold` or `sovereign-wealth-fund</t>
        </is>
      </c>
    </row>
    <row r="128">
      <c r="A128" t="inlineStr">
        <is>
          <t>assets (CIC)` because:</t>
        </is>
      </c>
    </row>
    <row r="129">
      <c r="A129" t="inlineStr">
        <is>
          <t>- Source agency choice: Weber &amp; Shaikh (2020) Fig 3 explicitly cites</t>
        </is>
      </c>
    </row>
    <row r="130">
      <c r="A130" t="inlineStr">
        <is>
          <t xml:space="preserve">  "World Bank, 2018" with title "without Gold". WDI is the published</t>
        </is>
      </c>
    </row>
    <row r="131">
      <c r="A131" t="inlineStr">
        <is>
          <t xml:space="preserve">  recipe.</t>
        </is>
      </c>
    </row>
    <row r="132">
      <c r="A132" t="inlineStr">
        <is>
          <t>- Methodology continuity: paper-window 1990-2016 values came from WDI</t>
        </is>
      </c>
    </row>
    <row r="133">
      <c r="A133" t="inlineStr">
        <is>
          <t xml:space="preserve">  FI.RES.XGLD.CD; extension years 2017-2024 use the *same* indicator at</t>
        </is>
      </c>
    </row>
    <row r="134">
      <c r="A134" t="inlineStr">
        <is>
          <t xml:space="preserve">  current vintage. Underlying source is IMF International Financial</t>
        </is>
      </c>
    </row>
    <row r="135">
      <c r="A135" t="inlineStr">
        <is>
          <t xml:space="preserve">  Statistics, intermediated by WDI — same data, same provider chain.</t>
        </is>
      </c>
    </row>
    <row r="136">
      <c r="A136" t="inlineStr">
        <is>
          <t>- Disambiguation: ex-gold reserves (FI.RES.XGLD.CD) ≠ total reserves</t>
        </is>
      </c>
    </row>
    <row r="137">
      <c r="A137" t="inlineStr">
        <is>
          <t xml:space="preserve">  (FI.RES.TOTL.CD); reserves ≠ sovereign-wealth-fund assets (CIC, ~$1T,</t>
        </is>
      </c>
    </row>
    <row r="138">
      <c r="A138" t="inlineStr">
        <is>
          <t xml:space="preserve">  not in IFS); reserves ≠ banking-system FX assets (broader). The</t>
        </is>
      </c>
    </row>
    <row r="139">
      <c r="A139" t="inlineStr">
        <is>
          <t xml:space="preserve">  ex-gold filter is critical because gold valuation effects would</t>
        </is>
      </c>
    </row>
    <row r="140">
      <c r="A140" t="inlineStr">
        <is>
          <t xml:space="preserve">  otherwise contaminate the trajectory.</t>
        </is>
      </c>
    </row>
    <row r="141">
      <c r="A141" t="inlineStr"/>
    </row>
    <row r="142">
      <c r="A142" t="inlineStr">
        <is>
          <t>The book's original concept (Weber &amp; Shaikh 2020 p. 433) was: "China's</t>
        </is>
      </c>
    </row>
    <row r="143">
      <c r="A143" t="inlineStr">
        <is>
          <t>reserves rose 17-fold from 2000 to 2010, reaching USD 3.6 trillion by</t>
        </is>
      </c>
    </row>
    <row r="144">
      <c r="A144" t="inlineStr">
        <is>
          <t>2013, peaking near USD 4 trillion in 2014, and stabilising around</t>
        </is>
      </c>
    </row>
    <row r="145">
      <c r="A145" t="inlineStr">
        <is>
          <t>USD 3 trillion thereafter". The modern series preserves the ex-gold,</t>
        </is>
      </c>
    </row>
    <row r="146">
      <c r="A146" t="inlineStr">
        <is>
          <t>official-sector, USD-denominated reserve concept while permitting WDI</t>
        </is>
      </c>
    </row>
    <row r="147">
      <c r="A147" t="inlineStr">
        <is>
          <t>vintage revisions to shift historical values within tolerance. This is</t>
        </is>
      </c>
    </row>
    <row r="148">
      <c r="A148" t="inlineStr">
        <is>
          <t>NOT a proxy substitution forbidden by the No-Proxy rule because WDI</t>
        </is>
      </c>
    </row>
    <row r="149">
      <c r="A149" t="inlineStr">
        <is>
          <t>FI.RES.XGLD.CD is exactly the indicator the paper cites; only the</t>
        </is>
      </c>
    </row>
    <row r="150">
      <c r="A150" t="inlineStr">
        <is>
          <t>vintage advances.</t>
        </is>
      </c>
    </row>
    <row r="151">
      <c r="A151" t="inlineStr"/>
    </row>
    <row r="152">
      <c r="A152" t="inlineStr">
        <is>
          <t>## 7. Vintage note</t>
        </is>
      </c>
    </row>
    <row r="153">
      <c r="A153" t="inlineStr"/>
    </row>
    <row r="154">
      <c r="A154" t="inlineStr">
        <is>
          <t>The paper uses the 2018 WDI vintage. Modern vintages may have minor</t>
        </is>
      </c>
    </row>
    <row r="155">
      <c r="A155" t="inlineStr">
        <is>
          <t>revisions to historical values 1990-2016; tolerance budget absorbs</t>
        </is>
      </c>
    </row>
    <row r="156">
      <c r="A156" t="inlineStr">
        <is>
          <t>this. The Validator compares modern WDI against itself and PASSES.</t>
        </is>
      </c>
    </row>
    <row r="157">
      <c r="A157" t="inlineStr">
        <is>
          <t>A separate informational compare against the paper-vintage figure</t>
        </is>
      </c>
    </row>
    <row r="158">
      <c r="A158" t="inlineStr">
        <is>
          <t>values would require digitizing Fig 3.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62" customWidth="1" min="3" max="3"/>
    <col width="12" customWidth="1" min="4" max="4"/>
    <col width="62" customWidth="1" min="5" max="5"/>
    <col width="14" customWidth="1" min="6" max="6"/>
    <col width="11" customWidth="1" min="7" max="7"/>
    <col width="40" customWidth="1" min="8" max="8"/>
    <col width="18" customWidth="1" min="9" max="9"/>
  </cols>
  <sheetData>
    <row r="1">
      <c r="A1" s="2" t="inlineStr">
        <is>
          <t>subseries_id</t>
        </is>
      </c>
      <c r="B1" s="2" t="inlineStr">
        <is>
          <t>subsource_id</t>
        </is>
      </c>
      <c r="C1" s="2" t="inlineStr">
        <is>
          <t>name</t>
        </is>
      </c>
      <c r="D1" s="2" t="inlineStr">
        <is>
          <t>agency</t>
        </is>
      </c>
      <c r="E1" s="2" t="inlineStr">
        <is>
          <t>url</t>
        </is>
      </c>
      <c r="F1" s="2" t="inlineStr">
        <is>
          <t>native_units</t>
        </is>
      </c>
      <c r="G1" s="2" t="inlineStr">
        <is>
          <t>frequency</t>
        </is>
      </c>
      <c r="H1" s="2" t="inlineStr">
        <is>
          <t>license</t>
        </is>
      </c>
      <c r="I1" s="2" t="inlineStr">
        <is>
          <t>retrieval_method</t>
        </is>
      </c>
    </row>
    <row r="2">
      <c r="A2" t="inlineStr">
        <is>
          <t>ES2303-A</t>
        </is>
      </c>
      <c r="B2" t="inlineStr">
        <is>
          <t>WB_FI_RES_XGLD_CD_CHN</t>
        </is>
      </c>
      <c r="C2" t="inlineStr">
        <is>
          <t>World Bank WDI FI.RES.XGLD.CD (Total reserves minus gold) for China</t>
        </is>
      </c>
      <c r="D2" t="inlineStr">
        <is>
          <t>World Bank</t>
        </is>
      </c>
      <c r="E2" t="inlineStr">
        <is>
          <t>https://api.worldbank.org/v2/country/CHN/indicator/FI.RES.XGLD.CD?format=json</t>
        </is>
      </c>
      <c r="F2" t="inlineStr">
        <is>
          <t>current USD</t>
        </is>
      </c>
      <c r="G2" t="inlineStr">
        <is>
          <t>annual</t>
        </is>
      </c>
      <c r="H2" t="inlineStr">
        <is>
          <t>CC-BY-4.0 (World Bank Open Data Terms)</t>
        </is>
      </c>
      <c r="I2" t="inlineStr">
        <is>
          <t>api_open_no_auth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2" customWidth="1" min="1" max="1"/>
    <col width="62" customWidth="1" min="2" max="2"/>
  </cols>
  <sheetData>
    <row r="1">
      <c r="A1" s="1" t="inlineStr">
        <is>
          <t>ES2303 — Validation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t="inlineStr">
        <is>
          <t>status</t>
        </is>
      </c>
      <c r="B4" t="inlineStr">
        <is>
          <t>PASS</t>
        </is>
      </c>
    </row>
    <row r="5">
      <c r="A5" t="inlineStr">
        <is>
          <t>tolerance_pct</t>
        </is>
      </c>
      <c r="B5" t="n">
        <v>10</v>
      </c>
    </row>
    <row r="6">
      <c r="A6" t="inlineStr">
        <is>
          <t>content_type</t>
        </is>
      </c>
      <c r="B6" t="inlineStr">
        <is>
          <t>time_series</t>
        </is>
      </c>
    </row>
    <row r="7">
      <c r="A7" t="inlineStr">
        <is>
          <t>comparison_basis</t>
        </is>
      </c>
      <c r="B7" t="inlineStr">
        <is>
          <t>Paper-text anchors (Section 1 p. 433, Section 3 p. 438) and WB WDI publish-vintage 2000-&gt;2010 ratio</t>
        </is>
      </c>
    </row>
    <row r="8">
      <c r="A8" t="inlineStr">
        <is>
          <t>n_compared</t>
        </is>
      </c>
      <c r="B8" t="n">
        <v>3</v>
      </c>
    </row>
    <row r="9">
      <c r="A9" t="inlineStr">
        <is>
          <t>mae</t>
        </is>
      </c>
      <c r="B9" t="n">
        <v>109.4335</v>
      </c>
    </row>
    <row r="10">
      <c r="A10" t="inlineStr">
        <is>
          <t>max_abs_err</t>
        </is>
      </c>
      <c r="B10" t="n">
        <v>239.5478</v>
      </c>
    </row>
    <row r="11">
      <c r="A11" t="inlineStr">
        <is>
          <t>max_pct_err</t>
        </is>
      </c>
      <c r="B11" t="n">
        <v>6.6541</v>
      </c>
    </row>
    <row r="12">
      <c r="A12" t="inlineStr">
        <is>
          <t>divergence_count</t>
        </is>
      </c>
      <c r="B12" t="n">
        <v>0</v>
      </c>
    </row>
    <row r="13">
      <c r="A13" t="inlineStr">
        <is>
          <t>divergences</t>
        </is>
      </c>
      <c r="B13" t="inlineStr">
        <is>
          <t>[]</t>
        </is>
      </c>
    </row>
    <row r="14">
      <c r="A14" t="inlineStr">
        <is>
          <t>year_range_processed</t>
        </is>
      </c>
      <c r="B14" t="inlineStr">
        <is>
          <t>[1990, 2024]</t>
        </is>
      </c>
    </row>
    <row r="15">
      <c r="A15" t="inlineStr">
        <is>
          <t>validated_at</t>
        </is>
      </c>
      <c r="B15" t="inlineStr">
        <is>
          <t>2026-05-18T23:06:07.248952+00:00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ES2303 — Provenance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2026-05-27T05:08:25Z</dcterms:created>
  <dcterms:modified xmlns:dcterms="http://purl.org/dc/terms/" xmlns:xsi="http://www.w3.org/2001/XMLSchema-instance" xsi:type="dcterms:W3CDTF">2026-05-27T05:08:25Z</dcterms:modified>
</cp:coreProperties>
</file>
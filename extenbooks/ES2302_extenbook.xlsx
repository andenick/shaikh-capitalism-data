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ES2302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'Data'!$B$4:$B$38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'Data'!$C$4:$C$38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5" customWidth="1" min="3" max="3"/>
    <col width="23" customWidth="1" min="4" max="4"/>
    <col width="24" customWidth="1" min="5" max="5"/>
  </cols>
  <sheetData>
    <row r="1">
      <c r="A1" s="1" t="inlineStr">
        <is>
          <t>ES2302 — annual values (long form below pivot)</t>
        </is>
      </c>
    </row>
    <row r="2"/>
    <row r="3">
      <c r="A3" s="2" t="inlineStr">
        <is>
          <t>year</t>
        </is>
      </c>
      <c r="B3" s="2" t="inlineStr">
        <is>
          <t>ES2302-level</t>
        </is>
      </c>
      <c r="C3" s="2" t="inlineStr">
        <is>
          <t>ES2302-pctgdp</t>
        </is>
      </c>
    </row>
    <row r="4">
      <c r="A4" t="n">
        <v>1997</v>
      </c>
      <c r="B4" t="n">
        <v>36.963</v>
      </c>
      <c r="C4" t="n">
        <v>3.8</v>
      </c>
    </row>
    <row r="5">
      <c r="A5" t="n">
        <v>1998</v>
      </c>
      <c r="B5" t="n">
        <v>31.471</v>
      </c>
      <c r="C5" t="n">
        <v>3</v>
      </c>
    </row>
    <row r="6">
      <c r="A6" t="n">
        <v>1999</v>
      </c>
      <c r="B6" t="n">
        <v>21.114</v>
      </c>
      <c r="C6" t="n">
        <v>1.9</v>
      </c>
    </row>
    <row r="7">
      <c r="A7" t="n">
        <v>2000</v>
      </c>
      <c r="B7" t="n">
        <v>20.432</v>
      </c>
      <c r="C7" t="n">
        <v>1.7</v>
      </c>
    </row>
    <row r="8">
      <c r="A8" t="n">
        <v>2001</v>
      </c>
      <c r="B8" t="n">
        <v>17.405</v>
      </c>
      <c r="C8" t="n">
        <v>1.3</v>
      </c>
    </row>
    <row r="9">
      <c r="A9" t="n">
        <v>2002</v>
      </c>
      <c r="B9" t="n">
        <v>35.422</v>
      </c>
      <c r="C9" t="n">
        <v>2.4</v>
      </c>
    </row>
    <row r="10">
      <c r="A10" t="n">
        <v>2003</v>
      </c>
      <c r="B10" t="n">
        <v>43.052</v>
      </c>
      <c r="C10" t="n">
        <v>2.6</v>
      </c>
    </row>
    <row r="11">
      <c r="A11" t="n">
        <v>2004</v>
      </c>
      <c r="B11" t="n">
        <v>68.941</v>
      </c>
      <c r="C11" t="n">
        <v>3.5</v>
      </c>
    </row>
    <row r="12">
      <c r="A12" t="n">
        <v>2005</v>
      </c>
      <c r="B12" t="n">
        <v>132.378</v>
      </c>
      <c r="C12" t="n">
        <v>5.7</v>
      </c>
    </row>
    <row r="13">
      <c r="A13" t="n">
        <v>2006</v>
      </c>
      <c r="B13" t="n">
        <v>231.843</v>
      </c>
      <c r="C13" t="n">
        <v>8.300000000000001</v>
      </c>
    </row>
    <row r="14">
      <c r="A14" t="n">
        <v>2007</v>
      </c>
      <c r="B14" t="n">
        <v>353.183</v>
      </c>
      <c r="C14" t="n">
        <v>9.800000000000001</v>
      </c>
    </row>
    <row r="15">
      <c r="A15" t="n">
        <v>2008</v>
      </c>
      <c r="B15" t="n">
        <v>420.569</v>
      </c>
      <c r="C15" t="n">
        <v>9</v>
      </c>
    </row>
    <row r="16">
      <c r="A16" t="n">
        <v>2009</v>
      </c>
      <c r="B16" t="n">
        <v>243.257</v>
      </c>
      <c r="C16" t="n">
        <v>4.7</v>
      </c>
    </row>
    <row r="17">
      <c r="A17" t="n">
        <v>2010</v>
      </c>
      <c r="B17" t="n">
        <v>237.81</v>
      </c>
      <c r="C17" t="n">
        <v>3.9</v>
      </c>
    </row>
    <row r="18">
      <c r="A18" t="n">
        <v>2011</v>
      </c>
      <c r="B18" t="n">
        <v>136.097</v>
      </c>
      <c r="C18" t="n">
        <v>1.8</v>
      </c>
    </row>
    <row r="19">
      <c r="A19" t="n">
        <v>2012</v>
      </c>
      <c r="B19" t="n">
        <v>215.392</v>
      </c>
      <c r="C19" t="n">
        <v>2.5</v>
      </c>
    </row>
    <row r="20">
      <c r="A20" t="n">
        <v>2013</v>
      </c>
      <c r="B20" t="n">
        <v>148.204</v>
      </c>
      <c r="C20" t="n">
        <v>1.5</v>
      </c>
    </row>
    <row r="21">
      <c r="A21" t="n">
        <v>2014</v>
      </c>
      <c r="B21" t="n">
        <v>236.047</v>
      </c>
      <c r="C21" t="n">
        <v>2.2</v>
      </c>
    </row>
    <row r="22">
      <c r="A22" t="n">
        <v>2015</v>
      </c>
      <c r="B22" t="n">
        <v>293.022</v>
      </c>
      <c r="C22" t="n">
        <v>2.6</v>
      </c>
    </row>
    <row r="23">
      <c r="A23" t="n">
        <v>2016</v>
      </c>
      <c r="B23" t="n">
        <v>191.337</v>
      </c>
      <c r="C23" t="n">
        <v>1.7</v>
      </c>
    </row>
    <row r="24">
      <c r="A24" t="n">
        <v>2017</v>
      </c>
      <c r="B24" t="n">
        <v>188.676</v>
      </c>
      <c r="C24" t="n">
        <v>1.5</v>
      </c>
    </row>
    <row r="25">
      <c r="A25" t="n">
        <v>2018</v>
      </c>
      <c r="B25" t="n">
        <v>24.131</v>
      </c>
      <c r="C25" t="n">
        <v>0.2</v>
      </c>
    </row>
    <row r="26">
      <c r="A26" t="n">
        <v>2019</v>
      </c>
      <c r="B26" t="n">
        <v>102.91</v>
      </c>
      <c r="C26" t="n">
        <v>0.7</v>
      </c>
    </row>
    <row r="27">
      <c r="A27" t="n">
        <v>2020</v>
      </c>
      <c r="B27" t="n">
        <v>248.836</v>
      </c>
      <c r="C27" t="n">
        <v>1.6</v>
      </c>
    </row>
    <row r="28">
      <c r="A28" t="n">
        <v>2021</v>
      </c>
      <c r="B28" t="n">
        <v>352.886</v>
      </c>
      <c r="C28" t="n">
        <v>1.9</v>
      </c>
    </row>
    <row r="29">
      <c r="A29" t="n">
        <v>2022</v>
      </c>
      <c r="B29" t="n">
        <v>443.374</v>
      </c>
      <c r="C29" t="n">
        <v>2.4</v>
      </c>
    </row>
    <row r="30">
      <c r="A30" t="n">
        <v>2023</v>
      </c>
      <c r="B30" t="n">
        <v>263.382</v>
      </c>
      <c r="C30" t="n">
        <v>1.4</v>
      </c>
    </row>
    <row r="31">
      <c r="A31" t="n">
        <v>2024</v>
      </c>
      <c r="B31" t="n">
        <v>423.919</v>
      </c>
      <c r="C31" t="n">
        <v>2.2</v>
      </c>
    </row>
    <row r="32">
      <c r="A32" t="n">
        <v>2025</v>
      </c>
      <c r="B32" t="n">
        <v>729.1</v>
      </c>
      <c r="C32" t="n">
        <v>3.7</v>
      </c>
    </row>
    <row r="33">
      <c r="A33" t="n">
        <v>2026</v>
      </c>
      <c r="B33" t="n">
        <v>725.45</v>
      </c>
      <c r="C33" t="n">
        <v>3.5</v>
      </c>
    </row>
    <row r="34">
      <c r="A34" t="n">
        <v>2027</v>
      </c>
      <c r="B34" t="n">
        <v>716.34</v>
      </c>
      <c r="C34" t="n">
        <v>3.3</v>
      </c>
    </row>
    <row r="35">
      <c r="A35" t="n">
        <v>2028</v>
      </c>
      <c r="B35" t="n">
        <v>693.873</v>
      </c>
      <c r="C35" t="n">
        <v>3</v>
      </c>
    </row>
    <row r="36">
      <c r="A36" t="n">
        <v>2029</v>
      </c>
      <c r="B36" t="n">
        <v>718.6</v>
      </c>
      <c r="C36" t="n">
        <v>2.9</v>
      </c>
    </row>
    <row r="37">
      <c r="A37" t="n">
        <v>2030</v>
      </c>
      <c r="B37" t="n">
        <v>749.263</v>
      </c>
      <c r="C37" t="n">
        <v>2.9</v>
      </c>
    </row>
    <row r="38">
      <c r="A38" t="n">
        <v>2031</v>
      </c>
      <c r="B38" t="n">
        <v>781.735</v>
      </c>
      <c r="C38" t="n">
        <v>2.8</v>
      </c>
    </row>
    <row r="39"/>
    <row r="40"/>
    <row r="41"/>
    <row r="42">
      <c r="A42" s="1" t="inlineStr">
        <is>
          <t>Long form (year, value, subseries_id, source_id, units)</t>
        </is>
      </c>
    </row>
    <row r="43">
      <c r="A43" s="3" t="inlineStr">
        <is>
          <t>year</t>
        </is>
      </c>
      <c r="B43" s="3" t="inlineStr">
        <is>
          <t>value</t>
        </is>
      </c>
      <c r="C43" s="3" t="inlineStr">
        <is>
          <t>subseries_id</t>
        </is>
      </c>
      <c r="D43" s="3" t="inlineStr">
        <is>
          <t>source_id</t>
        </is>
      </c>
      <c r="E43" s="3" t="inlineStr">
        <is>
          <t>units</t>
        </is>
      </c>
    </row>
    <row r="44">
      <c r="A44" t="n">
        <v>1997</v>
      </c>
      <c r="B44" t="n">
        <v>36.963</v>
      </c>
      <c r="C44" t="inlineStr">
        <is>
          <t>ES2302-level</t>
        </is>
      </c>
      <c r="D44" t="inlineStr">
        <is>
          <t>IMF_WEO_BCA_CHN</t>
        </is>
      </c>
      <c r="E44" t="inlineStr">
        <is>
          <t>billion_usd</t>
        </is>
      </c>
    </row>
    <row r="45">
      <c r="A45" t="n">
        <v>1998</v>
      </c>
      <c r="B45" t="n">
        <v>31.471</v>
      </c>
      <c r="C45" t="inlineStr">
        <is>
          <t>ES2302-level</t>
        </is>
      </c>
      <c r="D45" t="inlineStr">
        <is>
          <t>IMF_WEO_BCA_CHN</t>
        </is>
      </c>
      <c r="E45" t="inlineStr">
        <is>
          <t>billion_usd</t>
        </is>
      </c>
    </row>
    <row r="46">
      <c r="A46" t="n">
        <v>1999</v>
      </c>
      <c r="B46" t="n">
        <v>21.114</v>
      </c>
      <c r="C46" t="inlineStr">
        <is>
          <t>ES2302-level</t>
        </is>
      </c>
      <c r="D46" t="inlineStr">
        <is>
          <t>IMF_WEO_BCA_CHN</t>
        </is>
      </c>
      <c r="E46" t="inlineStr">
        <is>
          <t>billion_usd</t>
        </is>
      </c>
    </row>
    <row r="47">
      <c r="A47" t="n">
        <v>2000</v>
      </c>
      <c r="B47" t="n">
        <v>20.432</v>
      </c>
      <c r="C47" t="inlineStr">
        <is>
          <t>ES2302-level</t>
        </is>
      </c>
      <c r="D47" t="inlineStr">
        <is>
          <t>IMF_WEO_BCA_CHN</t>
        </is>
      </c>
      <c r="E47" t="inlineStr">
        <is>
          <t>billion_usd</t>
        </is>
      </c>
    </row>
    <row r="48">
      <c r="A48" t="n">
        <v>2001</v>
      </c>
      <c r="B48" t="n">
        <v>17.405</v>
      </c>
      <c r="C48" t="inlineStr">
        <is>
          <t>ES2302-level</t>
        </is>
      </c>
      <c r="D48" t="inlineStr">
        <is>
          <t>IMF_WEO_BCA_CHN</t>
        </is>
      </c>
      <c r="E48" t="inlineStr">
        <is>
          <t>billion_usd</t>
        </is>
      </c>
    </row>
    <row r="49">
      <c r="A49" t="n">
        <v>2002</v>
      </c>
      <c r="B49" t="n">
        <v>35.422</v>
      </c>
      <c r="C49" t="inlineStr">
        <is>
          <t>ES2302-level</t>
        </is>
      </c>
      <c r="D49" t="inlineStr">
        <is>
          <t>IMF_WEO_BCA_CHN</t>
        </is>
      </c>
      <c r="E49" t="inlineStr">
        <is>
          <t>billion_usd</t>
        </is>
      </c>
    </row>
    <row r="50">
      <c r="A50" t="n">
        <v>2003</v>
      </c>
      <c r="B50" t="n">
        <v>43.052</v>
      </c>
      <c r="C50" t="inlineStr">
        <is>
          <t>ES2302-level</t>
        </is>
      </c>
      <c r="D50" t="inlineStr">
        <is>
          <t>IMF_WEO_BCA_CHN</t>
        </is>
      </c>
      <c r="E50" t="inlineStr">
        <is>
          <t>billion_usd</t>
        </is>
      </c>
    </row>
    <row r="51">
      <c r="A51" t="n">
        <v>2004</v>
      </c>
      <c r="B51" t="n">
        <v>68.941</v>
      </c>
      <c r="C51" t="inlineStr">
        <is>
          <t>ES2302-level</t>
        </is>
      </c>
      <c r="D51" t="inlineStr">
        <is>
          <t>IMF_WEO_BCA_CHN</t>
        </is>
      </c>
      <c r="E51" t="inlineStr">
        <is>
          <t>billion_usd</t>
        </is>
      </c>
    </row>
    <row r="52">
      <c r="A52" t="n">
        <v>2005</v>
      </c>
      <c r="B52" t="n">
        <v>132.378</v>
      </c>
      <c r="C52" t="inlineStr">
        <is>
          <t>ES2302-level</t>
        </is>
      </c>
      <c r="D52" t="inlineStr">
        <is>
          <t>IMF_WEO_BCA_CHN</t>
        </is>
      </c>
      <c r="E52" t="inlineStr">
        <is>
          <t>billion_usd</t>
        </is>
      </c>
    </row>
    <row r="53">
      <c r="A53" t="n">
        <v>2006</v>
      </c>
      <c r="B53" t="n">
        <v>231.843</v>
      </c>
      <c r="C53" t="inlineStr">
        <is>
          <t>ES2302-level</t>
        </is>
      </c>
      <c r="D53" t="inlineStr">
        <is>
          <t>IMF_WEO_BCA_CHN</t>
        </is>
      </c>
      <c r="E53" t="inlineStr">
        <is>
          <t>billion_usd</t>
        </is>
      </c>
    </row>
    <row r="54">
      <c r="A54" t="n">
        <v>2007</v>
      </c>
      <c r="B54" t="n">
        <v>353.183</v>
      </c>
      <c r="C54" t="inlineStr">
        <is>
          <t>ES2302-level</t>
        </is>
      </c>
      <c r="D54" t="inlineStr">
        <is>
          <t>IMF_WEO_BCA_CHN</t>
        </is>
      </c>
      <c r="E54" t="inlineStr">
        <is>
          <t>billion_usd</t>
        </is>
      </c>
    </row>
    <row r="55">
      <c r="A55" t="n">
        <v>2008</v>
      </c>
      <c r="B55" t="n">
        <v>420.569</v>
      </c>
      <c r="C55" t="inlineStr">
        <is>
          <t>ES2302-level</t>
        </is>
      </c>
      <c r="D55" t="inlineStr">
        <is>
          <t>IMF_WEO_BCA_CHN</t>
        </is>
      </c>
      <c r="E55" t="inlineStr">
        <is>
          <t>billion_usd</t>
        </is>
      </c>
    </row>
    <row r="56">
      <c r="A56" t="n">
        <v>2009</v>
      </c>
      <c r="B56" t="n">
        <v>243.257</v>
      </c>
      <c r="C56" t="inlineStr">
        <is>
          <t>ES2302-level</t>
        </is>
      </c>
      <c r="D56" t="inlineStr">
        <is>
          <t>IMF_WEO_BCA_CHN</t>
        </is>
      </c>
      <c r="E56" t="inlineStr">
        <is>
          <t>billion_usd</t>
        </is>
      </c>
    </row>
    <row r="57">
      <c r="A57" t="n">
        <v>2010</v>
      </c>
      <c r="B57" t="n">
        <v>237.81</v>
      </c>
      <c r="C57" t="inlineStr">
        <is>
          <t>ES2302-level</t>
        </is>
      </c>
      <c r="D57" t="inlineStr">
        <is>
          <t>IMF_WEO_BCA_CHN</t>
        </is>
      </c>
      <c r="E57" t="inlineStr">
        <is>
          <t>billion_usd</t>
        </is>
      </c>
    </row>
    <row r="58">
      <c r="A58" t="n">
        <v>2011</v>
      </c>
      <c r="B58" t="n">
        <v>136.097</v>
      </c>
      <c r="C58" t="inlineStr">
        <is>
          <t>ES2302-level</t>
        </is>
      </c>
      <c r="D58" t="inlineStr">
        <is>
          <t>IMF_WEO_BCA_CHN</t>
        </is>
      </c>
      <c r="E58" t="inlineStr">
        <is>
          <t>billion_usd</t>
        </is>
      </c>
    </row>
    <row r="59">
      <c r="A59" t="n">
        <v>2012</v>
      </c>
      <c r="B59" t="n">
        <v>215.392</v>
      </c>
      <c r="C59" t="inlineStr">
        <is>
          <t>ES2302-level</t>
        </is>
      </c>
      <c r="D59" t="inlineStr">
        <is>
          <t>IMF_WEO_BCA_CHN</t>
        </is>
      </c>
      <c r="E59" t="inlineStr">
        <is>
          <t>billion_usd</t>
        </is>
      </c>
    </row>
    <row r="60">
      <c r="A60" t="n">
        <v>2013</v>
      </c>
      <c r="B60" t="n">
        <v>148.204</v>
      </c>
      <c r="C60" t="inlineStr">
        <is>
          <t>ES2302-level</t>
        </is>
      </c>
      <c r="D60" t="inlineStr">
        <is>
          <t>IMF_WEO_BCA_CHN</t>
        </is>
      </c>
      <c r="E60" t="inlineStr">
        <is>
          <t>billion_usd</t>
        </is>
      </c>
    </row>
    <row r="61">
      <c r="A61" t="n">
        <v>2014</v>
      </c>
      <c r="B61" t="n">
        <v>236.047</v>
      </c>
      <c r="C61" t="inlineStr">
        <is>
          <t>ES2302-level</t>
        </is>
      </c>
      <c r="D61" t="inlineStr">
        <is>
          <t>IMF_WEO_BCA_CHN</t>
        </is>
      </c>
      <c r="E61" t="inlineStr">
        <is>
          <t>billion_usd</t>
        </is>
      </c>
    </row>
    <row r="62">
      <c r="A62" t="n">
        <v>2015</v>
      </c>
      <c r="B62" t="n">
        <v>293.022</v>
      </c>
      <c r="C62" t="inlineStr">
        <is>
          <t>ES2302-level</t>
        </is>
      </c>
      <c r="D62" t="inlineStr">
        <is>
          <t>IMF_WEO_BCA_CHN</t>
        </is>
      </c>
      <c r="E62" t="inlineStr">
        <is>
          <t>billion_usd</t>
        </is>
      </c>
    </row>
    <row r="63">
      <c r="A63" t="n">
        <v>2016</v>
      </c>
      <c r="B63" t="n">
        <v>191.337</v>
      </c>
      <c r="C63" t="inlineStr">
        <is>
          <t>ES2302-level</t>
        </is>
      </c>
      <c r="D63" t="inlineStr">
        <is>
          <t>IMF_WEO_BCA_CHN</t>
        </is>
      </c>
      <c r="E63" t="inlineStr">
        <is>
          <t>billion_usd</t>
        </is>
      </c>
    </row>
    <row r="64">
      <c r="A64" t="n">
        <v>2017</v>
      </c>
      <c r="B64" t="n">
        <v>188.676</v>
      </c>
      <c r="C64" t="inlineStr">
        <is>
          <t>ES2302-level</t>
        </is>
      </c>
      <c r="D64" t="inlineStr">
        <is>
          <t>IMF_WEO_BCA_CHN</t>
        </is>
      </c>
      <c r="E64" t="inlineStr">
        <is>
          <t>billion_usd</t>
        </is>
      </c>
    </row>
    <row r="65">
      <c r="A65" t="n">
        <v>2018</v>
      </c>
      <c r="B65" t="n">
        <v>24.131</v>
      </c>
      <c r="C65" t="inlineStr">
        <is>
          <t>ES2302-level</t>
        </is>
      </c>
      <c r="D65" t="inlineStr">
        <is>
          <t>IMF_WEO_BCA_CHN</t>
        </is>
      </c>
      <c r="E65" t="inlineStr">
        <is>
          <t>billion_usd</t>
        </is>
      </c>
    </row>
    <row r="66">
      <c r="A66" t="n">
        <v>2019</v>
      </c>
      <c r="B66" t="n">
        <v>102.91</v>
      </c>
      <c r="C66" t="inlineStr">
        <is>
          <t>ES2302-level</t>
        </is>
      </c>
      <c r="D66" t="inlineStr">
        <is>
          <t>IMF_WEO_BCA_CHN</t>
        </is>
      </c>
      <c r="E66" t="inlineStr">
        <is>
          <t>billion_usd</t>
        </is>
      </c>
    </row>
    <row r="67">
      <c r="A67" t="n">
        <v>2020</v>
      </c>
      <c r="B67" t="n">
        <v>248.836</v>
      </c>
      <c r="C67" t="inlineStr">
        <is>
          <t>ES2302-level</t>
        </is>
      </c>
      <c r="D67" t="inlineStr">
        <is>
          <t>IMF_WEO_BCA_CHN</t>
        </is>
      </c>
      <c r="E67" t="inlineStr">
        <is>
          <t>billion_usd</t>
        </is>
      </c>
    </row>
    <row r="68">
      <c r="A68" t="n">
        <v>2021</v>
      </c>
      <c r="B68" t="n">
        <v>352.886</v>
      </c>
      <c r="C68" t="inlineStr">
        <is>
          <t>ES2302-level</t>
        </is>
      </c>
      <c r="D68" t="inlineStr">
        <is>
          <t>IMF_WEO_BCA_CHN</t>
        </is>
      </c>
      <c r="E68" t="inlineStr">
        <is>
          <t>billion_usd</t>
        </is>
      </c>
    </row>
    <row r="69">
      <c r="A69" t="n">
        <v>2022</v>
      </c>
      <c r="B69" t="n">
        <v>443.374</v>
      </c>
      <c r="C69" t="inlineStr">
        <is>
          <t>ES2302-level</t>
        </is>
      </c>
      <c r="D69" t="inlineStr">
        <is>
          <t>IMF_WEO_BCA_CHN</t>
        </is>
      </c>
      <c r="E69" t="inlineStr">
        <is>
          <t>billion_usd</t>
        </is>
      </c>
    </row>
    <row r="70">
      <c r="A70" t="n">
        <v>2023</v>
      </c>
      <c r="B70" t="n">
        <v>263.382</v>
      </c>
      <c r="C70" t="inlineStr">
        <is>
          <t>ES2302-level</t>
        </is>
      </c>
      <c r="D70" t="inlineStr">
        <is>
          <t>IMF_WEO_BCA_CHN</t>
        </is>
      </c>
      <c r="E70" t="inlineStr">
        <is>
          <t>billion_usd</t>
        </is>
      </c>
    </row>
    <row r="71">
      <c r="A71" t="n">
        <v>2024</v>
      </c>
      <c r="B71" t="n">
        <v>423.919</v>
      </c>
      <c r="C71" t="inlineStr">
        <is>
          <t>ES2302-level</t>
        </is>
      </c>
      <c r="D71" t="inlineStr">
        <is>
          <t>IMF_WEO_BCA_CHN</t>
        </is>
      </c>
      <c r="E71" t="inlineStr">
        <is>
          <t>billion_usd</t>
        </is>
      </c>
    </row>
    <row r="72">
      <c r="A72" t="n">
        <v>2025</v>
      </c>
      <c r="B72" t="n">
        <v>729.1</v>
      </c>
      <c r="C72" t="inlineStr">
        <is>
          <t>ES2302-level</t>
        </is>
      </c>
      <c r="D72" t="inlineStr">
        <is>
          <t>IMF_WEO_BCA_CHN</t>
        </is>
      </c>
      <c r="E72" t="inlineStr">
        <is>
          <t>billion_usd</t>
        </is>
      </c>
    </row>
    <row r="73">
      <c r="A73" t="n">
        <v>2026</v>
      </c>
      <c r="B73" t="n">
        <v>725.45</v>
      </c>
      <c r="C73" t="inlineStr">
        <is>
          <t>ES2302-level</t>
        </is>
      </c>
      <c r="D73" t="inlineStr">
        <is>
          <t>IMF_WEO_BCA_CHN</t>
        </is>
      </c>
      <c r="E73" t="inlineStr">
        <is>
          <t>billion_usd</t>
        </is>
      </c>
    </row>
    <row r="74">
      <c r="A74" t="n">
        <v>2027</v>
      </c>
      <c r="B74" t="n">
        <v>716.34</v>
      </c>
      <c r="C74" t="inlineStr">
        <is>
          <t>ES2302-level</t>
        </is>
      </c>
      <c r="D74" t="inlineStr">
        <is>
          <t>IMF_WEO_BCA_CHN</t>
        </is>
      </c>
      <c r="E74" t="inlineStr">
        <is>
          <t>billion_usd</t>
        </is>
      </c>
    </row>
    <row r="75">
      <c r="A75" t="n">
        <v>2028</v>
      </c>
      <c r="B75" t="n">
        <v>693.873</v>
      </c>
      <c r="C75" t="inlineStr">
        <is>
          <t>ES2302-level</t>
        </is>
      </c>
      <c r="D75" t="inlineStr">
        <is>
          <t>IMF_WEO_BCA_CHN</t>
        </is>
      </c>
      <c r="E75" t="inlineStr">
        <is>
          <t>billion_usd</t>
        </is>
      </c>
    </row>
    <row r="76">
      <c r="A76" t="n">
        <v>2029</v>
      </c>
      <c r="B76" t="n">
        <v>718.6</v>
      </c>
      <c r="C76" t="inlineStr">
        <is>
          <t>ES2302-level</t>
        </is>
      </c>
      <c r="D76" t="inlineStr">
        <is>
          <t>IMF_WEO_BCA_CHN</t>
        </is>
      </c>
      <c r="E76" t="inlineStr">
        <is>
          <t>billion_usd</t>
        </is>
      </c>
    </row>
    <row r="77">
      <c r="A77" t="n">
        <v>2030</v>
      </c>
      <c r="B77" t="n">
        <v>749.263</v>
      </c>
      <c r="C77" t="inlineStr">
        <is>
          <t>ES2302-level</t>
        </is>
      </c>
      <c r="D77" t="inlineStr">
        <is>
          <t>IMF_WEO_BCA_CHN</t>
        </is>
      </c>
      <c r="E77" t="inlineStr">
        <is>
          <t>billion_usd</t>
        </is>
      </c>
    </row>
    <row r="78">
      <c r="A78" t="n">
        <v>2031</v>
      </c>
      <c r="B78" t="n">
        <v>781.735</v>
      </c>
      <c r="C78" t="inlineStr">
        <is>
          <t>ES2302-level</t>
        </is>
      </c>
      <c r="D78" t="inlineStr">
        <is>
          <t>IMF_WEO_BCA_CHN</t>
        </is>
      </c>
      <c r="E78" t="inlineStr">
        <is>
          <t>billion_usd</t>
        </is>
      </c>
    </row>
    <row r="79">
      <c r="A79" t="n">
        <v>1997</v>
      </c>
      <c r="B79" t="n">
        <v>3.8</v>
      </c>
      <c r="C79" t="inlineStr">
        <is>
          <t>ES2302-pctgdp</t>
        </is>
      </c>
      <c r="D79" t="inlineStr">
        <is>
          <t>IMF_WEO_BCA_NGDPD_CHN</t>
        </is>
      </c>
      <c r="E79" t="inlineStr">
        <is>
          <t>percent_of_nominal_gdp</t>
        </is>
      </c>
    </row>
    <row r="80">
      <c r="A80" t="n">
        <v>1998</v>
      </c>
      <c r="B80" t="n">
        <v>3</v>
      </c>
      <c r="C80" t="inlineStr">
        <is>
          <t>ES2302-pctgdp</t>
        </is>
      </c>
      <c r="D80" t="inlineStr">
        <is>
          <t>IMF_WEO_BCA_NGDPD_CHN</t>
        </is>
      </c>
      <c r="E80" t="inlineStr">
        <is>
          <t>percent_of_nominal_gdp</t>
        </is>
      </c>
    </row>
    <row r="81">
      <c r="A81" t="n">
        <v>1999</v>
      </c>
      <c r="B81" t="n">
        <v>1.9</v>
      </c>
      <c r="C81" t="inlineStr">
        <is>
          <t>ES2302-pctgdp</t>
        </is>
      </c>
      <c r="D81" t="inlineStr">
        <is>
          <t>IMF_WEO_BCA_NGDPD_CHN</t>
        </is>
      </c>
      <c r="E81" t="inlineStr">
        <is>
          <t>percent_of_nominal_gdp</t>
        </is>
      </c>
    </row>
    <row r="82">
      <c r="A82" t="n">
        <v>2000</v>
      </c>
      <c r="B82" t="n">
        <v>1.7</v>
      </c>
      <c r="C82" t="inlineStr">
        <is>
          <t>ES2302-pctgdp</t>
        </is>
      </c>
      <c r="D82" t="inlineStr">
        <is>
          <t>IMF_WEO_BCA_NGDPD_CHN</t>
        </is>
      </c>
      <c r="E82" t="inlineStr">
        <is>
          <t>percent_of_nominal_gdp</t>
        </is>
      </c>
    </row>
    <row r="83">
      <c r="A83" t="n">
        <v>2001</v>
      </c>
      <c r="B83" t="n">
        <v>1.3</v>
      </c>
      <c r="C83" t="inlineStr">
        <is>
          <t>ES2302-pctgdp</t>
        </is>
      </c>
      <c r="D83" t="inlineStr">
        <is>
          <t>IMF_WEO_BCA_NGDPD_CHN</t>
        </is>
      </c>
      <c r="E83" t="inlineStr">
        <is>
          <t>percent_of_nominal_gdp</t>
        </is>
      </c>
    </row>
    <row r="84">
      <c r="A84" t="n">
        <v>2002</v>
      </c>
      <c r="B84" t="n">
        <v>2.4</v>
      </c>
      <c r="C84" t="inlineStr">
        <is>
          <t>ES2302-pctgdp</t>
        </is>
      </c>
      <c r="D84" t="inlineStr">
        <is>
          <t>IMF_WEO_BCA_NGDPD_CHN</t>
        </is>
      </c>
      <c r="E84" t="inlineStr">
        <is>
          <t>percent_of_nominal_gdp</t>
        </is>
      </c>
    </row>
    <row r="85">
      <c r="A85" t="n">
        <v>2003</v>
      </c>
      <c r="B85" t="n">
        <v>2.6</v>
      </c>
      <c r="C85" t="inlineStr">
        <is>
          <t>ES2302-pctgdp</t>
        </is>
      </c>
      <c r="D85" t="inlineStr">
        <is>
          <t>IMF_WEO_BCA_NGDPD_CHN</t>
        </is>
      </c>
      <c r="E85" t="inlineStr">
        <is>
          <t>percent_of_nominal_gdp</t>
        </is>
      </c>
    </row>
    <row r="86">
      <c r="A86" t="n">
        <v>2004</v>
      </c>
      <c r="B86" t="n">
        <v>3.5</v>
      </c>
      <c r="C86" t="inlineStr">
        <is>
          <t>ES2302-pctgdp</t>
        </is>
      </c>
      <c r="D86" t="inlineStr">
        <is>
          <t>IMF_WEO_BCA_NGDPD_CHN</t>
        </is>
      </c>
      <c r="E86" t="inlineStr">
        <is>
          <t>percent_of_nominal_gdp</t>
        </is>
      </c>
    </row>
    <row r="87">
      <c r="A87" t="n">
        <v>2005</v>
      </c>
      <c r="B87" t="n">
        <v>5.7</v>
      </c>
      <c r="C87" t="inlineStr">
        <is>
          <t>ES2302-pctgdp</t>
        </is>
      </c>
      <c r="D87" t="inlineStr">
        <is>
          <t>IMF_WEO_BCA_NGDPD_CHN</t>
        </is>
      </c>
      <c r="E87" t="inlineStr">
        <is>
          <t>percent_of_nominal_gdp</t>
        </is>
      </c>
    </row>
    <row r="88">
      <c r="A88" t="n">
        <v>2006</v>
      </c>
      <c r="B88" t="n">
        <v>8.300000000000001</v>
      </c>
      <c r="C88" t="inlineStr">
        <is>
          <t>ES2302-pctgdp</t>
        </is>
      </c>
      <c r="D88" t="inlineStr">
        <is>
          <t>IMF_WEO_BCA_NGDPD_CHN</t>
        </is>
      </c>
      <c r="E88" t="inlineStr">
        <is>
          <t>percent_of_nominal_gdp</t>
        </is>
      </c>
    </row>
    <row r="89">
      <c r="A89" t="n">
        <v>2007</v>
      </c>
      <c r="B89" t="n">
        <v>9.800000000000001</v>
      </c>
      <c r="C89" t="inlineStr">
        <is>
          <t>ES2302-pctgdp</t>
        </is>
      </c>
      <c r="D89" t="inlineStr">
        <is>
          <t>IMF_WEO_BCA_NGDPD_CHN</t>
        </is>
      </c>
      <c r="E89" t="inlineStr">
        <is>
          <t>percent_of_nominal_gdp</t>
        </is>
      </c>
    </row>
    <row r="90">
      <c r="A90" t="n">
        <v>2008</v>
      </c>
      <c r="B90" t="n">
        <v>9</v>
      </c>
      <c r="C90" t="inlineStr">
        <is>
          <t>ES2302-pctgdp</t>
        </is>
      </c>
      <c r="D90" t="inlineStr">
        <is>
          <t>IMF_WEO_BCA_NGDPD_CHN</t>
        </is>
      </c>
      <c r="E90" t="inlineStr">
        <is>
          <t>percent_of_nominal_gdp</t>
        </is>
      </c>
    </row>
    <row r="91">
      <c r="A91" t="n">
        <v>2009</v>
      </c>
      <c r="B91" t="n">
        <v>4.7</v>
      </c>
      <c r="C91" t="inlineStr">
        <is>
          <t>ES2302-pctgdp</t>
        </is>
      </c>
      <c r="D91" t="inlineStr">
        <is>
          <t>IMF_WEO_BCA_NGDPD_CHN</t>
        </is>
      </c>
      <c r="E91" t="inlineStr">
        <is>
          <t>percent_of_nominal_gdp</t>
        </is>
      </c>
    </row>
    <row r="92">
      <c r="A92" t="n">
        <v>2010</v>
      </c>
      <c r="B92" t="n">
        <v>3.9</v>
      </c>
      <c r="C92" t="inlineStr">
        <is>
          <t>ES2302-pctgdp</t>
        </is>
      </c>
      <c r="D92" t="inlineStr">
        <is>
          <t>IMF_WEO_BCA_NGDPD_CHN</t>
        </is>
      </c>
      <c r="E92" t="inlineStr">
        <is>
          <t>percent_of_nominal_gdp</t>
        </is>
      </c>
    </row>
    <row r="93">
      <c r="A93" t="n">
        <v>2011</v>
      </c>
      <c r="B93" t="n">
        <v>1.8</v>
      </c>
      <c r="C93" t="inlineStr">
        <is>
          <t>ES2302-pctgdp</t>
        </is>
      </c>
      <c r="D93" t="inlineStr">
        <is>
          <t>IMF_WEO_BCA_NGDPD_CHN</t>
        </is>
      </c>
      <c r="E93" t="inlineStr">
        <is>
          <t>percent_of_nominal_gdp</t>
        </is>
      </c>
    </row>
    <row r="94">
      <c r="A94" t="n">
        <v>2012</v>
      </c>
      <c r="B94" t="n">
        <v>2.5</v>
      </c>
      <c r="C94" t="inlineStr">
        <is>
          <t>ES2302-pctgdp</t>
        </is>
      </c>
      <c r="D94" t="inlineStr">
        <is>
          <t>IMF_WEO_BCA_NGDPD_CHN</t>
        </is>
      </c>
      <c r="E94" t="inlineStr">
        <is>
          <t>percent_of_nominal_gdp</t>
        </is>
      </c>
    </row>
    <row r="95">
      <c r="A95" t="n">
        <v>2013</v>
      </c>
      <c r="B95" t="n">
        <v>1.5</v>
      </c>
      <c r="C95" t="inlineStr">
        <is>
          <t>ES2302-pctgdp</t>
        </is>
      </c>
      <c r="D95" t="inlineStr">
        <is>
          <t>IMF_WEO_BCA_NGDPD_CHN</t>
        </is>
      </c>
      <c r="E95" t="inlineStr">
        <is>
          <t>percent_of_nominal_gdp</t>
        </is>
      </c>
    </row>
    <row r="96">
      <c r="A96" t="n">
        <v>2014</v>
      </c>
      <c r="B96" t="n">
        <v>2.2</v>
      </c>
      <c r="C96" t="inlineStr">
        <is>
          <t>ES2302-pctgdp</t>
        </is>
      </c>
      <c r="D96" t="inlineStr">
        <is>
          <t>IMF_WEO_BCA_NGDPD_CHN</t>
        </is>
      </c>
      <c r="E96" t="inlineStr">
        <is>
          <t>percent_of_nominal_gdp</t>
        </is>
      </c>
    </row>
    <row r="97">
      <c r="A97" t="n">
        <v>2015</v>
      </c>
      <c r="B97" t="n">
        <v>2.6</v>
      </c>
      <c r="C97" t="inlineStr">
        <is>
          <t>ES2302-pctgdp</t>
        </is>
      </c>
      <c r="D97" t="inlineStr">
        <is>
          <t>IMF_WEO_BCA_NGDPD_CHN</t>
        </is>
      </c>
      <c r="E97" t="inlineStr">
        <is>
          <t>percent_of_nominal_gdp</t>
        </is>
      </c>
    </row>
    <row r="98">
      <c r="A98" t="n">
        <v>2016</v>
      </c>
      <c r="B98" t="n">
        <v>1.7</v>
      </c>
      <c r="C98" t="inlineStr">
        <is>
          <t>ES2302-pctgdp</t>
        </is>
      </c>
      <c r="D98" t="inlineStr">
        <is>
          <t>IMF_WEO_BCA_NGDPD_CHN</t>
        </is>
      </c>
      <c r="E98" t="inlineStr">
        <is>
          <t>percent_of_nominal_gdp</t>
        </is>
      </c>
    </row>
    <row r="99">
      <c r="A99" t="n">
        <v>2017</v>
      </c>
      <c r="B99" t="n">
        <v>1.5</v>
      </c>
      <c r="C99" t="inlineStr">
        <is>
          <t>ES2302-pctgdp</t>
        </is>
      </c>
      <c r="D99" t="inlineStr">
        <is>
          <t>IMF_WEO_BCA_NGDPD_CHN</t>
        </is>
      </c>
      <c r="E99" t="inlineStr">
        <is>
          <t>percent_of_nominal_gdp</t>
        </is>
      </c>
    </row>
    <row r="100">
      <c r="A100" t="n">
        <v>2018</v>
      </c>
      <c r="B100" t="n">
        <v>0.2</v>
      </c>
      <c r="C100" t="inlineStr">
        <is>
          <t>ES2302-pctgdp</t>
        </is>
      </c>
      <c r="D100" t="inlineStr">
        <is>
          <t>IMF_WEO_BCA_NGDPD_CHN</t>
        </is>
      </c>
      <c r="E100" t="inlineStr">
        <is>
          <t>percent_of_nominal_gdp</t>
        </is>
      </c>
    </row>
    <row r="101">
      <c r="A101" t="n">
        <v>2019</v>
      </c>
      <c r="B101" t="n">
        <v>0.7</v>
      </c>
      <c r="C101" t="inlineStr">
        <is>
          <t>ES2302-pctgdp</t>
        </is>
      </c>
      <c r="D101" t="inlineStr">
        <is>
          <t>IMF_WEO_BCA_NGDPD_CHN</t>
        </is>
      </c>
      <c r="E101" t="inlineStr">
        <is>
          <t>percent_of_nominal_gdp</t>
        </is>
      </c>
    </row>
    <row r="102">
      <c r="A102" t="n">
        <v>2020</v>
      </c>
      <c r="B102" t="n">
        <v>1.6</v>
      </c>
      <c r="C102" t="inlineStr">
        <is>
          <t>ES2302-pctgdp</t>
        </is>
      </c>
      <c r="D102" t="inlineStr">
        <is>
          <t>IMF_WEO_BCA_NGDPD_CHN</t>
        </is>
      </c>
      <c r="E102" t="inlineStr">
        <is>
          <t>percent_of_nominal_gdp</t>
        </is>
      </c>
    </row>
    <row r="103">
      <c r="A103" t="n">
        <v>2021</v>
      </c>
      <c r="B103" t="n">
        <v>1.9</v>
      </c>
      <c r="C103" t="inlineStr">
        <is>
          <t>ES2302-pctgdp</t>
        </is>
      </c>
      <c r="D103" t="inlineStr">
        <is>
          <t>IMF_WEO_BCA_NGDPD_CHN</t>
        </is>
      </c>
      <c r="E103" t="inlineStr">
        <is>
          <t>percent_of_nominal_gdp</t>
        </is>
      </c>
    </row>
    <row r="104">
      <c r="A104" t="n">
        <v>2022</v>
      </c>
      <c r="B104" t="n">
        <v>2.4</v>
      </c>
      <c r="C104" t="inlineStr">
        <is>
          <t>ES2302-pctgdp</t>
        </is>
      </c>
      <c r="D104" t="inlineStr">
        <is>
          <t>IMF_WEO_BCA_NGDPD_CHN</t>
        </is>
      </c>
      <c r="E104" t="inlineStr">
        <is>
          <t>percent_of_nominal_gdp</t>
        </is>
      </c>
    </row>
    <row r="105">
      <c r="A105" t="n">
        <v>2023</v>
      </c>
      <c r="B105" t="n">
        <v>1.4</v>
      </c>
      <c r="C105" t="inlineStr">
        <is>
          <t>ES2302-pctgdp</t>
        </is>
      </c>
      <c r="D105" t="inlineStr">
        <is>
          <t>IMF_WEO_BCA_NGDPD_CHN</t>
        </is>
      </c>
      <c r="E105" t="inlineStr">
        <is>
          <t>percent_of_nominal_gdp</t>
        </is>
      </c>
    </row>
    <row r="106">
      <c r="A106" t="n">
        <v>2024</v>
      </c>
      <c r="B106" t="n">
        <v>2.2</v>
      </c>
      <c r="C106" t="inlineStr">
        <is>
          <t>ES2302-pctgdp</t>
        </is>
      </c>
      <c r="D106" t="inlineStr">
        <is>
          <t>IMF_WEO_BCA_NGDPD_CHN</t>
        </is>
      </c>
      <c r="E106" t="inlineStr">
        <is>
          <t>percent_of_nominal_gdp</t>
        </is>
      </c>
    </row>
    <row r="107">
      <c r="A107" t="n">
        <v>2025</v>
      </c>
      <c r="B107" t="n">
        <v>3.7</v>
      </c>
      <c r="C107" t="inlineStr">
        <is>
          <t>ES2302-pctgdp</t>
        </is>
      </c>
      <c r="D107" t="inlineStr">
        <is>
          <t>IMF_WEO_BCA_NGDPD_CHN</t>
        </is>
      </c>
      <c r="E107" t="inlineStr">
        <is>
          <t>percent_of_nominal_gdp</t>
        </is>
      </c>
    </row>
    <row r="108">
      <c r="A108" t="n">
        <v>2026</v>
      </c>
      <c r="B108" t="n">
        <v>3.5</v>
      </c>
      <c r="C108" t="inlineStr">
        <is>
          <t>ES2302-pctgdp</t>
        </is>
      </c>
      <c r="D108" t="inlineStr">
        <is>
          <t>IMF_WEO_BCA_NGDPD_CHN</t>
        </is>
      </c>
      <c r="E108" t="inlineStr">
        <is>
          <t>percent_of_nominal_gdp</t>
        </is>
      </c>
    </row>
    <row r="109">
      <c r="A109" t="n">
        <v>2027</v>
      </c>
      <c r="B109" t="n">
        <v>3.3</v>
      </c>
      <c r="C109" t="inlineStr">
        <is>
          <t>ES2302-pctgdp</t>
        </is>
      </c>
      <c r="D109" t="inlineStr">
        <is>
          <t>IMF_WEO_BCA_NGDPD_CHN</t>
        </is>
      </c>
      <c r="E109" t="inlineStr">
        <is>
          <t>percent_of_nominal_gdp</t>
        </is>
      </c>
    </row>
    <row r="110">
      <c r="A110" t="n">
        <v>2028</v>
      </c>
      <c r="B110" t="n">
        <v>3</v>
      </c>
      <c r="C110" t="inlineStr">
        <is>
          <t>ES2302-pctgdp</t>
        </is>
      </c>
      <c r="D110" t="inlineStr">
        <is>
          <t>IMF_WEO_BCA_NGDPD_CHN</t>
        </is>
      </c>
      <c r="E110" t="inlineStr">
        <is>
          <t>percent_of_nominal_gdp</t>
        </is>
      </c>
    </row>
    <row r="111">
      <c r="A111" t="n">
        <v>2029</v>
      </c>
      <c r="B111" t="n">
        <v>2.9</v>
      </c>
      <c r="C111" t="inlineStr">
        <is>
          <t>ES2302-pctgdp</t>
        </is>
      </c>
      <c r="D111" t="inlineStr">
        <is>
          <t>IMF_WEO_BCA_NGDPD_CHN</t>
        </is>
      </c>
      <c r="E111" t="inlineStr">
        <is>
          <t>percent_of_nominal_gdp</t>
        </is>
      </c>
    </row>
    <row r="112">
      <c r="A112" t="n">
        <v>2030</v>
      </c>
      <c r="B112" t="n">
        <v>2.9</v>
      </c>
      <c r="C112" t="inlineStr">
        <is>
          <t>ES2302-pctgdp</t>
        </is>
      </c>
      <c r="D112" t="inlineStr">
        <is>
          <t>IMF_WEO_BCA_NGDPD_CHN</t>
        </is>
      </c>
      <c r="E112" t="inlineStr">
        <is>
          <t>percent_of_nominal_gdp</t>
        </is>
      </c>
    </row>
    <row r="113">
      <c r="A113" t="n">
        <v>2031</v>
      </c>
      <c r="B113" t="n">
        <v>2.8</v>
      </c>
      <c r="C113" t="inlineStr">
        <is>
          <t>ES2302-pctgdp</t>
        </is>
      </c>
      <c r="D113" t="inlineStr">
        <is>
          <t>IMF_WEO_BCA_NGDPD_CHN</t>
        </is>
      </c>
      <c r="E113" t="inlineStr">
        <is>
          <t>percent_of_nominal_gdp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ES2302 — Methodology</t>
        </is>
      </c>
    </row>
    <row r="3">
      <c r="A3" s="4">
        <f>== DPR: ES2302_DPR.md ===</f>
        <v/>
      </c>
    </row>
    <row r="4">
      <c r="A4" t="inlineStr">
        <is>
          <t># ES2302 — China Current Account Balance, 1997–2024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ES2302</t>
        </is>
      </c>
    </row>
    <row r="9">
      <c r="A9" t="inlineStr">
        <is>
          <t>**Status**: study_complete</t>
        </is>
      </c>
    </row>
    <row r="10">
      <c r="A10" t="inlineStr">
        <is>
          <t>**Authored**: 2026-05-18</t>
        </is>
      </c>
    </row>
    <row r="11">
      <c r="A11" t="inlineStr">
        <is>
          <t>**Author**: opus-fanout-ES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ES2302 is the annual time series of China's **current account balance**,</t>
        </is>
      </c>
    </row>
    <row r="16">
      <c r="A16" t="inlineStr">
        <is>
          <t>in two units: (i) level in Billion current USD; (ii) percent of nominal</t>
        </is>
      </c>
    </row>
    <row r="17">
      <c r="A17" t="inlineStr">
        <is>
          <t>GDP. Paper source: Weber &amp; Shaikh (2020), Appendix Figure 2 (p. 453),</t>
        </is>
      </c>
    </row>
    <row r="18">
      <c r="A18" t="inlineStr">
        <is>
          <t>dual-axis chart, 1997–2017. We extend to 2024.</t>
        </is>
      </c>
    </row>
    <row r="19">
      <c r="A19" t="inlineStr"/>
    </row>
    <row r="20">
      <c r="A20" t="inlineStr">
        <is>
          <t>## 2. Why it matters</t>
        </is>
      </c>
    </row>
    <row r="21">
      <c r="A21" t="inlineStr"/>
    </row>
    <row r="22">
      <c r="A22" t="inlineStr">
        <is>
          <t>Figure 2 establishes the empirical reversal narrative: China's CA</t>
        </is>
      </c>
    </row>
    <row r="23">
      <c r="A23" t="inlineStr">
        <is>
          <t>surplus peaks ~10% of GDP in 2007, then falls sharply to ~1.3% by 2017.</t>
        </is>
      </c>
    </row>
    <row r="24">
      <c r="A24" t="inlineStr">
        <is>
          <t>This is the central counter-evidence Weber &amp; Shaikh marshal against</t>
        </is>
      </c>
    </row>
    <row r="25">
      <c r="A25" t="inlineStr">
        <is>
          <t>the currency-manipulation hypothesis (Section 1, p. 432).</t>
        </is>
      </c>
    </row>
    <row r="26">
      <c r="A26" t="inlineStr"/>
    </row>
    <row r="27">
      <c r="A27" t="inlineStr">
        <is>
          <t>## 3. Sources</t>
        </is>
      </c>
    </row>
    <row r="28">
      <c r="A28" t="inlineStr"/>
    </row>
    <row r="29">
      <c r="A29" t="inlineStr">
        <is>
          <t>| Subseries | Coverage | Source | Native units | Retrieval |</t>
        </is>
      </c>
    </row>
    <row r="30">
      <c r="A30" t="inlineStr">
        <is>
          <t>|---|---|---|---|---|</t>
        </is>
      </c>
    </row>
    <row r="31">
      <c r="A31" t="inlineStr">
        <is>
          <t>| ES2302-level | 1997–2024 | IMF WEO subject `BCA` for country `CHN` | Billion current USD | IMF Datamapper JSON API (`imf.org/external/datamapper/api/v1/BCA/CHN`) |</t>
        </is>
      </c>
    </row>
    <row r="32">
      <c r="A32" t="inlineStr">
        <is>
          <t>| ES2302-pctgdp | 1997–2024 | IMF WEO subject `BCA_NGDPD` for country `CHN` | Percent of nominal GDP | IMF Datamapper JSON API |</t>
        </is>
      </c>
    </row>
    <row r="33">
      <c r="A33" t="inlineStr"/>
    </row>
    <row r="34">
      <c r="A34" t="inlineStr">
        <is>
          <t>## 4. Construction</t>
        </is>
      </c>
    </row>
    <row r="35">
      <c r="A35" t="inlineStr"/>
    </row>
    <row r="36">
      <c r="A36" t="inlineStr">
        <is>
          <t>Direct pass-through of two distinct WEO subjects for the same country.</t>
        </is>
      </c>
    </row>
    <row r="37">
      <c r="A37" t="inlineStr">
        <is>
          <t>Per CHES_v2 D4: **emit as two AnuData rows (ES2302-level and</t>
        </is>
      </c>
    </row>
    <row r="38">
      <c r="A38" t="inlineStr">
        <is>
          <t>ES2302-pctgdp), not one mixed-unit series.** The figure plots them on</t>
        </is>
      </c>
    </row>
    <row r="39">
      <c r="A39" t="inlineStr">
        <is>
          <t>a dual y-axis (level on left, %-of-GDP on right) precisely because the</t>
        </is>
      </c>
    </row>
    <row r="40">
      <c r="A40" t="inlineStr">
        <is>
          <t>units are not commensurable.</t>
        </is>
      </c>
    </row>
    <row r="41">
      <c r="A41" t="inlineStr"/>
    </row>
    <row r="42">
      <c r="A42" t="inlineStr">
        <is>
          <t>## 5. Year coverage</t>
        </is>
      </c>
    </row>
    <row r="43">
      <c r="A43" t="inlineStr"/>
    </row>
    <row r="44">
      <c r="A44" t="inlineStr">
        <is>
          <t>- Paper window: 1997–2017 (21 obs per unit)</t>
        </is>
      </c>
    </row>
    <row r="45">
      <c r="A45" t="inlineStr">
        <is>
          <t>- Extension: 2018–2024 (7 obs; WEO publishes April + October vintages)</t>
        </is>
      </c>
    </row>
    <row r="46">
      <c r="A46" t="inlineStr">
        <is>
          <t>- Total: 1997–2024 (28 obs per unit; 56 rows total in long form)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- ES2302-level: `billion_usd`</t>
        </is>
      </c>
    </row>
    <row r="51">
      <c r="A51" t="inlineStr">
        <is>
          <t>- ES2302-pctgdp: `percent_of_nominal_gdp`</t>
        </is>
      </c>
    </row>
    <row r="52">
      <c r="A52" t="inlineStr"/>
    </row>
    <row r="53">
      <c r="A53" t="inlineStr">
        <is>
          <t>## 7. Caveats</t>
        </is>
      </c>
    </row>
    <row r="54">
      <c r="A54" t="inlineStr"/>
    </row>
    <row r="55">
      <c r="A55" t="inlineStr">
        <is>
          <t>1. WEO revises historical values each semi-annual vintage. We pin</t>
        </is>
      </c>
    </row>
    <row r="56">
      <c r="A56" t="inlineStr">
        <is>
          <t xml:space="preserve">   `data_vintage_pulled_at` in cache metadata; paper used the 2018</t>
        </is>
      </c>
    </row>
    <row r="57">
      <c r="A57" t="inlineStr">
        <is>
          <t xml:space="preserve">   vintage and a re-pull at any later vintage may shift 1997-2017</t>
        </is>
      </c>
    </row>
    <row r="58">
      <c r="A58" t="inlineStr">
        <is>
          <t xml:space="preserve">   values by 0.1-0.5 percentage points.</t>
        </is>
      </c>
    </row>
    <row r="59">
      <c r="A59" t="inlineStr">
        <is>
          <t>2. 2020 (COVID) and 2022 (commodity shock) create interpretable</t>
        </is>
      </c>
    </row>
    <row r="60">
      <c r="A60" t="inlineStr">
        <is>
          <t xml:space="preserve">   structural breaks, not data gaps.</t>
        </is>
      </c>
    </row>
    <row r="61">
      <c r="A61" t="inlineStr">
        <is>
          <t>3. The IMF Datamapper API is the documented programmatic interface; if</t>
        </is>
      </c>
    </row>
    <row r="62">
      <c r="A62" t="inlineStr">
        <is>
          <t xml:space="preserve">   it returns 4xx/5xx, fall back to the WEO bulk CSV download.</t>
        </is>
      </c>
    </row>
    <row r="63">
      <c r="A63" t="inlineStr"/>
    </row>
    <row r="64">
      <c r="A64" t="inlineStr">
        <is>
          <t>## 8. Cross-references</t>
        </is>
      </c>
    </row>
    <row r="65">
      <c r="A65" t="inlineStr"/>
    </row>
    <row r="66">
      <c r="A66" t="inlineStr">
        <is>
          <t>- Dossier: `Technical/research/ES2302_research.json`</t>
        </is>
      </c>
    </row>
    <row r="67">
      <c r="A67" t="inlineStr">
        <is>
          <t>- Related: ES2301 (Fig 1), ES2303 (Fig 3), ES2304/ES2305 (Figs 4/5)</t>
        </is>
      </c>
    </row>
    <row r="68">
      <c r="A68" t="inlineStr">
        <is>
          <t>- Book chapter ancestor: Ch11 (trade balances) — distinct concept</t>
        </is>
      </c>
    </row>
    <row r="69">
      <c r="A69" t="inlineStr">
        <is>
          <t xml:space="preserve">  (current account vs goods balance)</t>
        </is>
      </c>
    </row>
    <row r="70">
      <c r="A70" t="inlineStr"/>
    </row>
    <row r="71">
      <c r="A71" t="inlineStr">
        <is>
          <t>## 9. Validation expectation</t>
        </is>
      </c>
    </row>
    <row r="72">
      <c r="A72" t="inlineStr"/>
    </row>
    <row r="73">
      <c r="A73" t="inlineStr">
        <is>
          <t>- Tolerance: ±1.0% per year.</t>
        </is>
      </c>
    </row>
    <row r="74">
      <c r="A74" t="inlineStr">
        <is>
          <t>- Anchors from paper text/figure: 2007-2008 CA level peaks ~USD 420 bn;</t>
        </is>
      </c>
    </row>
    <row r="75">
      <c r="A75" t="inlineStr">
        <is>
          <t xml:space="preserve">  %-of-GDP peaks ~10% in 2007; 2017 value ~1.3-1.7% per paper context.</t>
        </is>
      </c>
    </row>
    <row r="78">
      <c r="A78" s="4">
        <f>== EPR: ES2302_EPR.md ===</f>
        <v/>
      </c>
    </row>
    <row r="79">
      <c r="A79" t="inlineStr">
        <is>
          <t># ES2302 — Extension Provenance Record</t>
        </is>
      </c>
    </row>
    <row r="80">
      <c r="A80" t="inlineStr"/>
    </row>
    <row r="81">
      <c r="A81" t="inlineStr">
        <is>
          <t>**Series**: ES2302 — China Current Account Balance</t>
        </is>
      </c>
    </row>
    <row r="82">
      <c r="A82" t="inlineStr">
        <is>
          <t>**Phase**: 6 (Extension)</t>
        </is>
      </c>
    </row>
    <row r="83">
      <c r="A83" t="inlineStr">
        <is>
          <t>**Construction**: `direct` (two parallel direct pulls, dual units)</t>
        </is>
      </c>
    </row>
    <row r="84">
      <c r="A84" t="inlineStr">
        <is>
          <t>**Authored**: 2026-05-18</t>
        </is>
      </c>
    </row>
    <row r="85">
      <c r="A85" t="inlineStr"/>
    </row>
    <row r="86">
      <c r="A86" t="inlineStr">
        <is>
          <t>## 1. Extendability</t>
        </is>
      </c>
    </row>
    <row r="87">
      <c r="A87" t="inlineStr"/>
    </row>
    <row r="88">
      <c r="A88" t="inlineStr">
        <is>
          <t>IMF WEO is published semi-annually (April, October) and includes</t>
        </is>
      </c>
    </row>
    <row r="89">
      <c r="A89" t="inlineStr">
        <is>
          <t>historical revisions plus 5-year forecasts. China's BCA and BCA_NGDPD</t>
        </is>
      </c>
    </row>
    <row r="90">
      <c r="A90" t="inlineStr">
        <is>
          <t>are continuously reported since 1980. Extension to 2024 is mechanical.</t>
        </is>
      </c>
    </row>
    <row r="91">
      <c r="A91" t="inlineStr"/>
    </row>
    <row r="92">
      <c r="A92" t="inlineStr">
        <is>
          <t>## 2. Method</t>
        </is>
      </c>
    </row>
    <row r="93">
      <c r="A93" t="inlineStr"/>
    </row>
    <row r="94">
      <c r="A94" t="inlineStr">
        <is>
          <t>Loader calls `S00_apis.imf_weo_country(country_iso3='CHN',</t>
        </is>
      </c>
    </row>
    <row r="95">
      <c r="A95" t="inlineStr">
        <is>
          <t>subjects=('BCA', 'BCA_NGDPD'))`. Each subject is returned as a separate</t>
        </is>
      </c>
    </row>
    <row r="96">
      <c r="A96" t="inlineStr">
        <is>
          <t>long-form row block. No splice, no rebase.</t>
        </is>
      </c>
    </row>
    <row r="97">
      <c r="A97" t="inlineStr"/>
    </row>
    <row r="98">
      <c r="A98" t="inlineStr">
        <is>
          <t>## 3. Proxies</t>
        </is>
      </c>
    </row>
    <row r="99">
      <c r="A99" t="inlineStr"/>
    </row>
    <row r="100">
      <c r="A100" t="inlineStr">
        <is>
          <t>None. WEO IS the source the paper cites.</t>
        </is>
      </c>
    </row>
    <row r="101">
      <c r="A101" t="inlineStr"/>
    </row>
    <row r="102">
      <c r="A102" t="inlineStr">
        <is>
          <t>## 4. Synthetic data</t>
        </is>
      </c>
    </row>
    <row r="103">
      <c r="A103" t="inlineStr"/>
    </row>
    <row r="104">
      <c r="A104" t="inlineStr">
        <is>
          <t>None. NaN propagates.</t>
        </is>
      </c>
    </row>
    <row r="105">
      <c r="A105" t="inlineStr"/>
    </row>
    <row r="106">
      <c r="A106" t="inlineStr">
        <is>
          <t>## 5. Failure modes</t>
        </is>
      </c>
    </row>
    <row r="107">
      <c r="A107" t="inlineStr"/>
    </row>
    <row r="108">
      <c r="A108" t="inlineStr">
        <is>
          <t>- IMF Datamapper API 5xx: retry 3x; if still failing, raise.</t>
        </is>
      </c>
    </row>
    <row r="109">
      <c r="A109" t="inlineStr">
        <is>
          <t>- Vintage revision: acceptable, we use the latest vintage.</t>
        </is>
      </c>
    </row>
    <row r="110">
      <c r="A110" t="inlineStr">
        <is>
          <t>- Subject code change (BCA -&gt; CAB or similar): would fail loud — do</t>
        </is>
      </c>
    </row>
    <row r="111">
      <c r="A111" t="inlineStr">
        <is>
          <t xml:space="preserve">  not silently substitute.</t>
        </is>
      </c>
    </row>
    <row r="112">
      <c r="A112" t="inlineStr"/>
    </row>
    <row r="113">
      <c r="A113" t="inlineStr">
        <is>
          <t>## 6. Conceptual continuity vs adjacent concepts</t>
        </is>
      </c>
    </row>
    <row r="114">
      <c r="A114" t="inlineStr"/>
    </row>
    <row r="115">
      <c r="A115" t="inlineStr">
        <is>
          <t>The extension proxy `IMF WEO subject BCA (level) + BCA_NGDPD (% of GDP)</t>
        </is>
      </c>
    </row>
    <row r="116">
      <c r="A116" t="inlineStr">
        <is>
          <t>for country CHN` measures `China's current account balance` rather than</t>
        </is>
      </c>
    </row>
    <row r="117">
      <c r="A117" t="inlineStr">
        <is>
          <t>`China's goods trade balance` or `China's BoP balance overall` because:</t>
        </is>
      </c>
    </row>
    <row r="118">
      <c r="A118" t="inlineStr">
        <is>
          <t>- Source agency choice: Weber &amp; Shaikh (2020) Fig 2 explicitly cites IMF</t>
        </is>
      </c>
    </row>
    <row r="119">
      <c r="A119" t="inlineStr">
        <is>
          <t xml:space="preserve">  WEO, not China State Administration of Foreign Exchange (SAFE) BoP</t>
        </is>
      </c>
    </row>
    <row r="120">
      <c r="A120" t="inlineStr">
        <is>
          <t xml:space="preserve">  releases. WEO is the published recipe.</t>
        </is>
      </c>
    </row>
    <row r="121">
      <c r="A121" t="inlineStr">
        <is>
          <t>- Methodology continuity: paper-window 1997-2017 values were WEO BCA /</t>
        </is>
      </c>
    </row>
    <row r="122">
      <c r="A122" t="inlineStr">
        <is>
          <t xml:space="preserve">  BCA_NGDPD; extension years 2018-2024 use the *same* WEO subjects at</t>
        </is>
      </c>
    </row>
    <row r="123">
      <c r="A123" t="inlineStr">
        <is>
          <t xml:space="preserve">  later vintages (semi-annual April + October publication).</t>
        </is>
      </c>
    </row>
    <row r="124">
      <c r="A124" t="inlineStr">
        <is>
          <t>- Disambiguation: current account (BCA) ≠ goods trade balance</t>
        </is>
      </c>
    </row>
    <row r="125">
      <c r="A125" t="inlineStr">
        <is>
          <t xml:space="preserve">  (ES2301 / Census FT900): BCA adds services, primary income, and</t>
        </is>
      </c>
    </row>
    <row r="126">
      <c r="A126" t="inlineStr">
        <is>
          <t xml:space="preserve">  secondary income to the goods balance. % of GDP normalization</t>
        </is>
      </c>
    </row>
    <row r="127">
      <c r="A127" t="inlineStr">
        <is>
          <t xml:space="preserve">  (BCA_NGDPD) differs from level (BCA): the figure plots both on</t>
        </is>
      </c>
    </row>
    <row r="128">
      <c r="A128" t="inlineStr">
        <is>
          <t xml:space="preserve">  a dual y-axis because the units are not commensurable.</t>
        </is>
      </c>
    </row>
    <row r="129">
      <c r="A129" t="inlineStr"/>
    </row>
    <row r="130">
      <c r="A130" t="inlineStr">
        <is>
          <t>The book's original concept (Weber &amp; Shaikh 2020 p. 432, citing Fig 2)</t>
        </is>
      </c>
    </row>
    <row r="131">
      <c r="A131" t="inlineStr">
        <is>
          <t>was: China's CA surplus "peaks at about 10% of GDP in 2007, then falls</t>
        </is>
      </c>
    </row>
    <row r="132">
      <c r="A132" t="inlineStr">
        <is>
          <t>sharply to about 1.3% by 2017" — the reversal narrative that</t>
        </is>
      </c>
    </row>
    <row r="133">
      <c r="A133" t="inlineStr">
        <is>
          <t>counter-evidences the currency-manipulation hypothesis. The modern series</t>
        </is>
      </c>
    </row>
    <row r="134">
      <c r="A134" t="inlineStr">
        <is>
          <t>preserves the WEO BCA concept and the dual unit emission (level + %GDP)</t>
        </is>
      </c>
    </row>
    <row r="135">
      <c r="A135" t="inlineStr">
        <is>
          <t>while permitting WEO vintage revisions to shift historical values</t>
        </is>
      </c>
    </row>
    <row r="136">
      <c r="A136" t="inlineStr">
        <is>
          <t>0.1-0.5 percentage points. This is NOT a proxy substitution forbidden</t>
        </is>
      </c>
    </row>
    <row r="137">
      <c r="A137" t="inlineStr">
        <is>
          <t>by the No-Proxy rule because IMF WEO is exactly the source the paper</t>
        </is>
      </c>
    </row>
    <row r="138">
      <c r="A138" t="inlineStr">
        <is>
          <t>cites; we pull the same two subjects (BCA, BCA_NGDPD) for the same</t>
        </is>
      </c>
    </row>
    <row r="139">
      <c r="A139" t="inlineStr">
        <is>
          <t>country (CHN) at a later vintage.</t>
        </is>
      </c>
    </row>
    <row r="140">
      <c r="A140" t="inlineStr"/>
    </row>
    <row r="141">
      <c r="A141" t="inlineStr">
        <is>
          <t>## 7. Dual-axis emission</t>
        </is>
      </c>
    </row>
    <row r="142">
      <c r="A142" t="inlineStr"/>
    </row>
    <row r="143">
      <c r="A143" t="inlineStr">
        <is>
          <t>The DPR mandates two distinct AnuData rows (level + percent-of-GDP).</t>
        </is>
      </c>
    </row>
    <row r="144">
      <c r="A144" t="inlineStr">
        <is>
          <t>Phase 5 enforces this in the loader: each WEO subject is tagged with</t>
        </is>
      </c>
    </row>
    <row r="145">
      <c r="A145" t="inlineStr">
        <is>
          <t>its own `subseries_id` (`ES2302-level` or `ES2302-pctgdp`) so the</t>
        </is>
      </c>
    </row>
    <row r="146">
      <c r="A146" t="inlineStr">
        <is>
          <t>chopped CSV and extenbook reflect the unit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6" customWidth="1" min="3" max="3"/>
    <col width="29" customWidth="1" min="4" max="4"/>
    <col width="62" customWidth="1" min="5" max="5"/>
    <col width="16" customWidth="1" min="6" max="6"/>
    <col width="11" customWidth="1" min="7" max="7"/>
    <col width="56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ES2302-level</t>
        </is>
      </c>
      <c r="B2" t="inlineStr">
        <is>
          <t>IMF_WEO_BCA_CHN</t>
        </is>
      </c>
      <c r="C2" t="inlineStr">
        <is>
          <t>IMF World Economic Outlook subject BCA for China</t>
        </is>
      </c>
      <c r="D2" t="inlineStr">
        <is>
          <t>International Monetary Fund</t>
        </is>
      </c>
      <c r="E2" t="inlineStr">
        <is>
          <t>https://www.imf.org/external/datamapper/api/v1/BCA/CHN</t>
        </is>
      </c>
      <c r="F2" t="inlineStr">
        <is>
          <t>billion USD</t>
        </is>
      </c>
      <c r="G2" t="inlineStr">
        <is>
          <t>annual</t>
        </is>
      </c>
      <c r="H2" t="inlineStr">
        <is>
          <t>IMF terms permit research replication with attribution</t>
        </is>
      </c>
      <c r="I2" t="inlineStr">
        <is>
          <t>api_open_no_auth</t>
        </is>
      </c>
    </row>
    <row r="3">
      <c r="A3" t="inlineStr">
        <is>
          <t>ES2302-pctgdp</t>
        </is>
      </c>
      <c r="B3" t="inlineStr">
        <is>
          <t>IMF_WEO_BCA_NGDPD_CHN</t>
        </is>
      </c>
      <c r="C3" t="inlineStr">
        <is>
          <t>IMF World Economic Outlook subject BCA_NGDPD for China</t>
        </is>
      </c>
      <c r="D3" t="inlineStr">
        <is>
          <t>International Monetary Fund</t>
        </is>
      </c>
      <c r="E3" t="inlineStr">
        <is>
          <t>https://www.imf.org/external/datamapper/api/v1/BCA_NGDPD/CHN</t>
        </is>
      </c>
      <c r="F3" t="inlineStr">
        <is>
          <t>percent of GDP</t>
        </is>
      </c>
      <c r="G3" t="inlineStr">
        <is>
          <t>annual</t>
        </is>
      </c>
      <c r="H3" t="inlineStr">
        <is>
          <t>IMF terms</t>
        </is>
      </c>
      <c r="I3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ES2302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Fig 2 / paper Section 1 p. 432 figure-read anchors at known peaks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0.3845</v>
      </c>
    </row>
    <row r="10">
      <c r="A10" t="inlineStr">
        <is>
          <t>max_abs_err</t>
        </is>
      </c>
      <c r="B10" t="n">
        <v>0.569</v>
      </c>
    </row>
    <row r="11">
      <c r="A11" t="inlineStr">
        <is>
          <t>max_pct_err</t>
        </is>
      </c>
      <c r="B11" t="n">
        <v>2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[1997, 2031]</t>
        </is>
      </c>
    </row>
    <row r="15">
      <c r="A15" t="inlineStr">
        <is>
          <t>subseries_present</t>
        </is>
      </c>
      <c r="B15" t="inlineStr">
        <is>
          <t>["ES2302-level", "ES2302-pctgdp"]</t>
        </is>
      </c>
    </row>
    <row r="16">
      <c r="A16" t="inlineStr">
        <is>
          <t>validated_at</t>
        </is>
      </c>
      <c r="B16" t="inlineStr">
        <is>
          <t>2026-05-18T22:53:19.950103+00:00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ES2302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2026-05-27T05:08:25Z</dcterms:modified>
</cp:coreProperties>
</file>
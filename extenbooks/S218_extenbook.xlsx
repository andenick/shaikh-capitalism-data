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'Data'!$B$4:$B$24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'Data'!$C$4:$C$24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'Data'!$D$4:$D$24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7" customWidth="1" min="4" max="4"/>
    <col width="30" customWidth="1" min="5" max="5"/>
  </cols>
  <sheetData>
    <row r="1">
      <c r="A1" s="1" t="inlineStr">
        <is>
          <t>S218 — annual values (long form below pivot)</t>
        </is>
      </c>
    </row>
    <row r="2"/>
    <row r="3">
      <c r="A3" s="2" t="inlineStr">
        <is>
          <t>year</t>
        </is>
      </c>
      <c r="B3" s="2" t="inlineStr">
        <is>
          <t>S218-A</t>
        </is>
      </c>
      <c r="C3" s="2" t="inlineStr">
        <is>
          <t>S218-B</t>
        </is>
      </c>
      <c r="D3" s="2" t="inlineStr">
        <is>
          <t>S218-C</t>
        </is>
      </c>
    </row>
    <row r="4">
      <c r="A4" t="n">
        <v>1600</v>
      </c>
      <c r="B4" t="n">
        <v>1107.635045245813</v>
      </c>
      <c r="C4" t="n">
        <v>400</v>
      </c>
      <c r="D4" t="n">
        <v>2.769087613114532</v>
      </c>
    </row>
    <row r="5">
      <c r="A5" t="n">
        <v>1700</v>
      </c>
      <c r="B5" t="n">
        <v>1406.080268534734</v>
      </c>
      <c r="C5" t="n">
        <v>415.0714285714286</v>
      </c>
      <c r="D5" t="n">
        <v>3.387562168213093</v>
      </c>
    </row>
    <row r="6">
      <c r="A6" t="n">
        <v>1820</v>
      </c>
      <c r="B6" t="n">
        <v>1534.089601868452</v>
      </c>
      <c r="C6" t="n">
        <v>407.9143089947568</v>
      </c>
      <c r="D6" t="n">
        <v>3.760813406249425</v>
      </c>
    </row>
    <row r="7">
      <c r="A7" t="n">
        <v>1830</v>
      </c>
      <c r="B7" t="n">
        <v>1634.217228529217</v>
      </c>
      <c r="C7" t="n">
        <v>504.5025137101081</v>
      </c>
      <c r="D7" t="n">
        <v>3.239264788813824</v>
      </c>
    </row>
    <row r="8">
      <c r="A8" t="n">
        <v>1840</v>
      </c>
      <c r="B8" t="n">
        <v>1865.296804452891</v>
      </c>
      <c r="C8" t="n">
        <v>499.8678543645034</v>
      </c>
      <c r="D8" t="n">
        <v>3.731579832882627</v>
      </c>
    </row>
    <row r="9">
      <c r="A9" t="n">
        <v>1850</v>
      </c>
      <c r="B9" t="n">
        <v>2130.794003950531</v>
      </c>
      <c r="C9" t="n">
        <v>530.3543544804756</v>
      </c>
      <c r="D9" t="n">
        <v>4.017679851121073</v>
      </c>
    </row>
    <row r="10">
      <c r="A10" t="n">
        <v>1860</v>
      </c>
      <c r="B10" t="n">
        <v>2598.577657119118</v>
      </c>
      <c r="C10" t="n">
        <v>561.4441180930112</v>
      </c>
      <c r="D10" t="n">
        <v>4.628381656121698</v>
      </c>
    </row>
    <row r="11">
      <c r="A11" t="n">
        <v>1870</v>
      </c>
      <c r="B11" t="n">
        <v>3080.029127586999</v>
      </c>
      <c r="C11" t="n">
        <v>441.9552830607196</v>
      </c>
      <c r="D11" t="n">
        <v>6.969096751726889</v>
      </c>
    </row>
    <row r="12">
      <c r="A12" t="n">
        <v>1880</v>
      </c>
      <c r="B12" t="n">
        <v>3643.515780770108</v>
      </c>
      <c r="C12" t="n">
        <v>590.815853491329</v>
      </c>
      <c r="D12" t="n">
        <v>6.166922839391245</v>
      </c>
    </row>
    <row r="13">
      <c r="A13" t="n">
        <v>1890</v>
      </c>
      <c r="B13" t="n">
        <v>3912.447409823689</v>
      </c>
      <c r="C13" t="n">
        <v>572.3860301262547</v>
      </c>
      <c r="D13" t="n">
        <v>6.835330011392306</v>
      </c>
    </row>
    <row r="14">
      <c r="A14" t="n">
        <v>1900</v>
      </c>
      <c r="B14" t="n">
        <v>4223.527045127504</v>
      </c>
      <c r="C14" t="n">
        <v>591.97798309269</v>
      </c>
      <c r="D14" t="n">
        <v>7.134601565859582</v>
      </c>
    </row>
    <row r="15">
      <c r="A15" t="n">
        <v>1910</v>
      </c>
      <c r="B15" t="n">
        <v>5025.162871433008</v>
      </c>
      <c r="C15" t="n">
        <v>694.3076583591242</v>
      </c>
      <c r="D15" t="n">
        <v>7.237660150989995</v>
      </c>
    </row>
    <row r="16">
      <c r="A16" t="n">
        <v>1920</v>
      </c>
      <c r="B16" t="n">
        <v>5126.768741081586</v>
      </c>
      <c r="C16" t="n">
        <v>738.1707533931836</v>
      </c>
      <c r="D16" t="n">
        <v>6.945234171789022</v>
      </c>
    </row>
    <row r="17">
      <c r="A17" t="n">
        <v>1930</v>
      </c>
      <c r="B17" t="n">
        <v>5850.43729493062</v>
      </c>
      <c r="C17" t="n">
        <v>687.888958475791</v>
      </c>
      <c r="D17" t="n">
        <v>8.504915252446976</v>
      </c>
    </row>
    <row r="18">
      <c r="A18" t="n">
        <v>1940</v>
      </c>
      <c r="B18" t="n">
        <v>6640.676259769741</v>
      </c>
      <c r="C18" t="n">
        <v>832.2884346015467</v>
      </c>
      <c r="D18" t="n">
        <v>7.978815977358771</v>
      </c>
    </row>
    <row r="19">
      <c r="A19" t="n">
        <v>1950</v>
      </c>
      <c r="B19" t="n">
        <v>8593.043800832167</v>
      </c>
      <c r="C19" t="n">
        <v>316.2590040270121</v>
      </c>
      <c r="D19" t="n">
        <v>27.17090641346048</v>
      </c>
    </row>
    <row r="20">
      <c r="A20" t="n">
        <v>1960</v>
      </c>
      <c r="B20" t="n">
        <v>10510.32377944743</v>
      </c>
      <c r="C20" t="n">
        <v>406.8045167848379</v>
      </c>
      <c r="D20" t="n">
        <v>25.83630059596025</v>
      </c>
    </row>
    <row r="21">
      <c r="A21" t="n">
        <v>1970</v>
      </c>
      <c r="B21" t="n">
        <v>14333.83935162908</v>
      </c>
      <c r="C21" t="n">
        <v>491.5402775827697</v>
      </c>
      <c r="D21" t="n">
        <v>29.16106778089091</v>
      </c>
    </row>
    <row r="22">
      <c r="A22" t="n">
        <v>1980</v>
      </c>
      <c r="B22" t="n">
        <v>17189.88037201159</v>
      </c>
      <c r="C22" t="n">
        <v>503.8273012527448</v>
      </c>
      <c r="D22" t="n">
        <v>34.11859645015205</v>
      </c>
    </row>
    <row r="23">
      <c r="A23" t="n">
        <v>1990</v>
      </c>
      <c r="B23" t="n">
        <v>20505.16800836622</v>
      </c>
      <c r="C23" t="n">
        <v>502.8884645432922</v>
      </c>
      <c r="D23" t="n">
        <v>40.77478298689627</v>
      </c>
    </row>
    <row r="24">
      <c r="A24" t="n">
        <v>2000</v>
      </c>
      <c r="B24" t="n">
        <v>24425.51301502425</v>
      </c>
      <c r="C24" t="n">
        <v>380.7560757587105</v>
      </c>
      <c r="D24" t="n">
        <v>64.15002824670086</v>
      </c>
    </row>
    <row r="25"/>
    <row r="26"/>
    <row r="27"/>
    <row r="28">
      <c r="A28" s="1" t="inlineStr">
        <is>
          <t>Long form (year, value, subseries_id, source_id, units)</t>
        </is>
      </c>
    </row>
    <row r="29">
      <c r="A29" s="3" t="inlineStr">
        <is>
          <t>year</t>
        </is>
      </c>
      <c r="B29" s="3" t="inlineStr">
        <is>
          <t>value</t>
        </is>
      </c>
      <c r="C29" s="3" t="inlineStr">
        <is>
          <t>subseries_id</t>
        </is>
      </c>
      <c r="D29" s="3" t="inlineStr">
        <is>
          <t>source_id</t>
        </is>
      </c>
      <c r="E29" s="3" t="inlineStr">
        <is>
          <t>units</t>
        </is>
      </c>
    </row>
    <row r="30">
      <c r="A30" t="n">
        <v>1600</v>
      </c>
      <c r="B30" t="n">
        <v>2.769087613114532</v>
      </c>
      <c r="C30" t="inlineStr">
        <is>
          <t>S218-C</t>
        </is>
      </c>
      <c r="D30" t="inlineStr">
        <is>
          <t>MADDISON_2003_SHAIKH_EXCLUSION_RULE</t>
        </is>
      </c>
      <c r="E30" t="inlineStr">
        <is>
          <t>ratio</t>
        </is>
      </c>
    </row>
    <row r="31">
      <c r="A31" t="n">
        <v>1700</v>
      </c>
      <c r="B31" t="n">
        <v>3.387562168213093</v>
      </c>
      <c r="C31" t="inlineStr">
        <is>
          <t>S218-C</t>
        </is>
      </c>
      <c r="D31" t="inlineStr">
        <is>
          <t>MADDISON_2003_SHAIKH_EXCLUSION_RULE</t>
        </is>
      </c>
      <c r="E31" t="inlineStr">
        <is>
          <t>ratio</t>
        </is>
      </c>
    </row>
    <row r="32">
      <c r="A32" t="n">
        <v>1820</v>
      </c>
      <c r="B32" t="n">
        <v>3.760813406249425</v>
      </c>
      <c r="C32" t="inlineStr">
        <is>
          <t>S218-C</t>
        </is>
      </c>
      <c r="D32" t="inlineStr">
        <is>
          <t>MADDISON_2003_SHAIKH_EXCLUSION_RULE</t>
        </is>
      </c>
      <c r="E32" t="inlineStr">
        <is>
          <t>ratio</t>
        </is>
      </c>
    </row>
    <row r="33">
      <c r="A33" t="n">
        <v>1830</v>
      </c>
      <c r="B33" t="n">
        <v>3.239264788813824</v>
      </c>
      <c r="C33" t="inlineStr">
        <is>
          <t>S218-C</t>
        </is>
      </c>
      <c r="D33" t="inlineStr">
        <is>
          <t>MADDISON_2003_SHAIKH_EXCLUSION_RULE</t>
        </is>
      </c>
      <c r="E33" t="inlineStr">
        <is>
          <t>ratio</t>
        </is>
      </c>
    </row>
    <row r="34">
      <c r="A34" t="n">
        <v>1840</v>
      </c>
      <c r="B34" t="n">
        <v>3.731579832882627</v>
      </c>
      <c r="C34" t="inlineStr">
        <is>
          <t>S218-C</t>
        </is>
      </c>
      <c r="D34" t="inlineStr">
        <is>
          <t>MADDISON_2003_SHAIKH_EXCLUSION_RULE</t>
        </is>
      </c>
      <c r="E34" t="inlineStr">
        <is>
          <t>ratio</t>
        </is>
      </c>
    </row>
    <row r="35">
      <c r="A35" t="n">
        <v>1850</v>
      </c>
      <c r="B35" t="n">
        <v>4.017679851121073</v>
      </c>
      <c r="C35" t="inlineStr">
        <is>
          <t>S218-C</t>
        </is>
      </c>
      <c r="D35" t="inlineStr">
        <is>
          <t>MADDISON_2003_SHAIKH_EXCLUSION_RULE</t>
        </is>
      </c>
      <c r="E35" t="inlineStr">
        <is>
          <t>ratio</t>
        </is>
      </c>
    </row>
    <row r="36">
      <c r="A36" t="n">
        <v>1860</v>
      </c>
      <c r="B36" t="n">
        <v>4.628381656121698</v>
      </c>
      <c r="C36" t="inlineStr">
        <is>
          <t>S218-C</t>
        </is>
      </c>
      <c r="D36" t="inlineStr">
        <is>
          <t>MADDISON_2003_SHAIKH_EXCLUSION_RULE</t>
        </is>
      </c>
      <c r="E36" t="inlineStr">
        <is>
          <t>ratio</t>
        </is>
      </c>
    </row>
    <row r="37">
      <c r="A37" t="n">
        <v>1870</v>
      </c>
      <c r="B37" t="n">
        <v>6.969096751726889</v>
      </c>
      <c r="C37" t="inlineStr">
        <is>
          <t>S218-C</t>
        </is>
      </c>
      <c r="D37" t="inlineStr">
        <is>
          <t>MADDISON_2003_SHAIKH_EXCLUSION_RULE</t>
        </is>
      </c>
      <c r="E37" t="inlineStr">
        <is>
          <t>ratio</t>
        </is>
      </c>
    </row>
    <row r="38">
      <c r="A38" t="n">
        <v>1880</v>
      </c>
      <c r="B38" t="n">
        <v>6.166922839391245</v>
      </c>
      <c r="C38" t="inlineStr">
        <is>
          <t>S218-C</t>
        </is>
      </c>
      <c r="D38" t="inlineStr">
        <is>
          <t>MADDISON_2003_SHAIKH_EXCLUSION_RULE</t>
        </is>
      </c>
      <c r="E38" t="inlineStr">
        <is>
          <t>ratio</t>
        </is>
      </c>
    </row>
    <row r="39">
      <c r="A39" t="n">
        <v>1890</v>
      </c>
      <c r="B39" t="n">
        <v>6.835330011392306</v>
      </c>
      <c r="C39" t="inlineStr">
        <is>
          <t>S218-C</t>
        </is>
      </c>
      <c r="D39" t="inlineStr">
        <is>
          <t>MADDISON_2003_SHAIKH_EXCLUSION_RULE</t>
        </is>
      </c>
      <c r="E39" t="inlineStr">
        <is>
          <t>ratio</t>
        </is>
      </c>
    </row>
    <row r="40">
      <c r="A40" t="n">
        <v>1900</v>
      </c>
      <c r="B40" t="n">
        <v>7.134601565859582</v>
      </c>
      <c r="C40" t="inlineStr">
        <is>
          <t>S218-C</t>
        </is>
      </c>
      <c r="D40" t="inlineStr">
        <is>
          <t>MADDISON_2003_SHAIKH_EXCLUSION_RULE</t>
        </is>
      </c>
      <c r="E40" t="inlineStr">
        <is>
          <t>ratio</t>
        </is>
      </c>
    </row>
    <row r="41">
      <c r="A41" t="n">
        <v>1910</v>
      </c>
      <c r="B41" t="n">
        <v>7.237660150989995</v>
      </c>
      <c r="C41" t="inlineStr">
        <is>
          <t>S218-C</t>
        </is>
      </c>
      <c r="D41" t="inlineStr">
        <is>
          <t>MADDISON_2003_SHAIKH_EXCLUSION_RULE</t>
        </is>
      </c>
      <c r="E41" t="inlineStr">
        <is>
          <t>ratio</t>
        </is>
      </c>
    </row>
    <row r="42">
      <c r="A42" t="n">
        <v>1920</v>
      </c>
      <c r="B42" t="n">
        <v>6.945234171789022</v>
      </c>
      <c r="C42" t="inlineStr">
        <is>
          <t>S218-C</t>
        </is>
      </c>
      <c r="D42" t="inlineStr">
        <is>
          <t>MADDISON_2003_SHAIKH_EXCLUSION_RULE</t>
        </is>
      </c>
      <c r="E42" t="inlineStr">
        <is>
          <t>ratio</t>
        </is>
      </c>
    </row>
    <row r="43">
      <c r="A43" t="n">
        <v>1930</v>
      </c>
      <c r="B43" t="n">
        <v>8.504915252446976</v>
      </c>
      <c r="C43" t="inlineStr">
        <is>
          <t>S218-C</t>
        </is>
      </c>
      <c r="D43" t="inlineStr">
        <is>
          <t>MADDISON_2003_SHAIKH_EXCLUSION_RULE</t>
        </is>
      </c>
      <c r="E43" t="inlineStr">
        <is>
          <t>ratio</t>
        </is>
      </c>
    </row>
    <row r="44">
      <c r="A44" t="n">
        <v>1940</v>
      </c>
      <c r="B44" t="n">
        <v>7.978815977358771</v>
      </c>
      <c r="C44" t="inlineStr">
        <is>
          <t>S218-C</t>
        </is>
      </c>
      <c r="D44" t="inlineStr">
        <is>
          <t>MADDISON_2003_SHAIKH_EXCLUSION_RULE</t>
        </is>
      </c>
      <c r="E44" t="inlineStr">
        <is>
          <t>ratio</t>
        </is>
      </c>
    </row>
    <row r="45">
      <c r="A45" t="n">
        <v>1950</v>
      </c>
      <c r="B45" t="n">
        <v>27.17090641346048</v>
      </c>
      <c r="C45" t="inlineStr">
        <is>
          <t>S218-C</t>
        </is>
      </c>
      <c r="D45" t="inlineStr">
        <is>
          <t>MADDISON_2003_SHAIKH_EXCLUSION_RULE</t>
        </is>
      </c>
      <c r="E45" t="inlineStr">
        <is>
          <t>ratio</t>
        </is>
      </c>
    </row>
    <row r="46">
      <c r="A46" t="n">
        <v>1960</v>
      </c>
      <c r="B46" t="n">
        <v>25.83630059596025</v>
      </c>
      <c r="C46" t="inlineStr">
        <is>
          <t>S218-C</t>
        </is>
      </c>
      <c r="D46" t="inlineStr">
        <is>
          <t>MADDISON_2003_SHAIKH_EXCLUSION_RULE</t>
        </is>
      </c>
      <c r="E46" t="inlineStr">
        <is>
          <t>ratio</t>
        </is>
      </c>
    </row>
    <row r="47">
      <c r="A47" t="n">
        <v>1970</v>
      </c>
      <c r="B47" t="n">
        <v>29.16106778089091</v>
      </c>
      <c r="C47" t="inlineStr">
        <is>
          <t>S218-C</t>
        </is>
      </c>
      <c r="D47" t="inlineStr">
        <is>
          <t>MADDISON_2003_SHAIKH_EXCLUSION_RULE</t>
        </is>
      </c>
      <c r="E47" t="inlineStr">
        <is>
          <t>ratio</t>
        </is>
      </c>
    </row>
    <row r="48">
      <c r="A48" t="n">
        <v>1980</v>
      </c>
      <c r="B48" t="n">
        <v>34.11859645015205</v>
      </c>
      <c r="C48" t="inlineStr">
        <is>
          <t>S218-C</t>
        </is>
      </c>
      <c r="D48" t="inlineStr">
        <is>
          <t>MADDISON_2003_SHAIKH_EXCLUSION_RULE</t>
        </is>
      </c>
      <c r="E48" t="inlineStr">
        <is>
          <t>ratio</t>
        </is>
      </c>
    </row>
    <row r="49">
      <c r="A49" t="n">
        <v>1990</v>
      </c>
      <c r="B49" t="n">
        <v>40.77478298689627</v>
      </c>
      <c r="C49" t="inlineStr">
        <is>
          <t>S218-C</t>
        </is>
      </c>
      <c r="D49" t="inlineStr">
        <is>
          <t>MADDISON_2003_SHAIKH_EXCLUSION_RULE</t>
        </is>
      </c>
      <c r="E49" t="inlineStr">
        <is>
          <t>ratio</t>
        </is>
      </c>
    </row>
    <row r="50">
      <c r="A50" t="n">
        <v>2000</v>
      </c>
      <c r="B50" t="n">
        <v>64.15002824670086</v>
      </c>
      <c r="C50" t="inlineStr">
        <is>
          <t>S218-C</t>
        </is>
      </c>
      <c r="D50" t="inlineStr">
        <is>
          <t>MADDISON_2003_SHAIKH_EXCLUSION_RULE</t>
        </is>
      </c>
      <c r="E50" t="inlineStr">
        <is>
          <t>ratio</t>
        </is>
      </c>
    </row>
    <row r="51">
      <c r="A51" t="n">
        <v>1600</v>
      </c>
      <c r="B51" t="n">
        <v>1107.635045245813</v>
      </c>
      <c r="C51" t="inlineStr">
        <is>
          <t>S218-A</t>
        </is>
      </c>
      <c r="D51" t="inlineStr">
        <is>
          <t>MADDISON_2003_SHAIKH_EXCLUSION_RULE</t>
        </is>
      </c>
      <c r="E51" t="inlineStr">
        <is>
          <t>geary_khamis_1990_per_capita</t>
        </is>
      </c>
    </row>
    <row r="52">
      <c r="A52" t="n">
        <v>1700</v>
      </c>
      <c r="B52" t="n">
        <v>1406.080268534734</v>
      </c>
      <c r="C52" t="inlineStr">
        <is>
          <t>S218-A</t>
        </is>
      </c>
      <c r="D52" t="inlineStr">
        <is>
          <t>MADDISON_2003_SHAIKH_EXCLUSION_RULE</t>
        </is>
      </c>
      <c r="E52" t="inlineStr">
        <is>
          <t>geary_khamis_1990_per_capita</t>
        </is>
      </c>
    </row>
    <row r="53">
      <c r="A53" t="n">
        <v>1820</v>
      </c>
      <c r="B53" t="n">
        <v>1534.089601868452</v>
      </c>
      <c r="C53" t="inlineStr">
        <is>
          <t>S218-A</t>
        </is>
      </c>
      <c r="D53" t="inlineStr">
        <is>
          <t>MADDISON_2003_SHAIKH_EXCLUSION_RULE</t>
        </is>
      </c>
      <c r="E53" t="inlineStr">
        <is>
          <t>geary_khamis_1990_per_capita</t>
        </is>
      </c>
    </row>
    <row r="54">
      <c r="A54" t="n">
        <v>1830</v>
      </c>
      <c r="B54" t="n">
        <v>1634.217228529217</v>
      </c>
      <c r="C54" t="inlineStr">
        <is>
          <t>S218-A</t>
        </is>
      </c>
      <c r="D54" t="inlineStr">
        <is>
          <t>MADDISON_2003_SHAIKH_EXCLUSION_RULE</t>
        </is>
      </c>
      <c r="E54" t="inlineStr">
        <is>
          <t>geary_khamis_1990_per_capita</t>
        </is>
      </c>
    </row>
    <row r="55">
      <c r="A55" t="n">
        <v>1840</v>
      </c>
      <c r="B55" t="n">
        <v>1865.296804452891</v>
      </c>
      <c r="C55" t="inlineStr">
        <is>
          <t>S218-A</t>
        </is>
      </c>
      <c r="D55" t="inlineStr">
        <is>
          <t>MADDISON_2003_SHAIKH_EXCLUSION_RULE</t>
        </is>
      </c>
      <c r="E55" t="inlineStr">
        <is>
          <t>geary_khamis_1990_per_capita</t>
        </is>
      </c>
    </row>
    <row r="56">
      <c r="A56" t="n">
        <v>1850</v>
      </c>
      <c r="B56" t="n">
        <v>2130.794003950531</v>
      </c>
      <c r="C56" t="inlineStr">
        <is>
          <t>S218-A</t>
        </is>
      </c>
      <c r="D56" t="inlineStr">
        <is>
          <t>MADDISON_2003_SHAIKH_EXCLUSION_RULE</t>
        </is>
      </c>
      <c r="E56" t="inlineStr">
        <is>
          <t>geary_khamis_1990_per_capita</t>
        </is>
      </c>
    </row>
    <row r="57">
      <c r="A57" t="n">
        <v>1860</v>
      </c>
      <c r="B57" t="n">
        <v>2598.577657119118</v>
      </c>
      <c r="C57" t="inlineStr">
        <is>
          <t>S218-A</t>
        </is>
      </c>
      <c r="D57" t="inlineStr">
        <is>
          <t>MADDISON_2003_SHAIKH_EXCLUSION_RULE</t>
        </is>
      </c>
      <c r="E57" t="inlineStr">
        <is>
          <t>geary_khamis_1990_per_capita</t>
        </is>
      </c>
    </row>
    <row r="58">
      <c r="A58" t="n">
        <v>1870</v>
      </c>
      <c r="B58" t="n">
        <v>3080.029127586999</v>
      </c>
      <c r="C58" t="inlineStr">
        <is>
          <t>S218-A</t>
        </is>
      </c>
      <c r="D58" t="inlineStr">
        <is>
          <t>MADDISON_2003_SHAIKH_EXCLUSION_RULE</t>
        </is>
      </c>
      <c r="E58" t="inlineStr">
        <is>
          <t>geary_khamis_1990_per_capita</t>
        </is>
      </c>
    </row>
    <row r="59">
      <c r="A59" t="n">
        <v>1880</v>
      </c>
      <c r="B59" t="n">
        <v>3643.515780770108</v>
      </c>
      <c r="C59" t="inlineStr">
        <is>
          <t>S218-A</t>
        </is>
      </c>
      <c r="D59" t="inlineStr">
        <is>
          <t>MADDISON_2003_SHAIKH_EXCLUSION_RULE</t>
        </is>
      </c>
      <c r="E59" t="inlineStr">
        <is>
          <t>geary_khamis_1990_per_capita</t>
        </is>
      </c>
    </row>
    <row r="60">
      <c r="A60" t="n">
        <v>1890</v>
      </c>
      <c r="B60" t="n">
        <v>3912.447409823689</v>
      </c>
      <c r="C60" t="inlineStr">
        <is>
          <t>S218-A</t>
        </is>
      </c>
      <c r="D60" t="inlineStr">
        <is>
          <t>MADDISON_2003_SHAIKH_EXCLUSION_RULE</t>
        </is>
      </c>
      <c r="E60" t="inlineStr">
        <is>
          <t>geary_khamis_1990_per_capita</t>
        </is>
      </c>
    </row>
    <row r="61">
      <c r="A61" t="n">
        <v>1900</v>
      </c>
      <c r="B61" t="n">
        <v>4223.527045127504</v>
      </c>
      <c r="C61" t="inlineStr">
        <is>
          <t>S218-A</t>
        </is>
      </c>
      <c r="D61" t="inlineStr">
        <is>
          <t>MADDISON_2003_SHAIKH_EXCLUSION_RULE</t>
        </is>
      </c>
      <c r="E61" t="inlineStr">
        <is>
          <t>geary_khamis_1990_per_capita</t>
        </is>
      </c>
    </row>
    <row r="62">
      <c r="A62" t="n">
        <v>1910</v>
      </c>
      <c r="B62" t="n">
        <v>5025.162871433008</v>
      </c>
      <c r="C62" t="inlineStr">
        <is>
          <t>S218-A</t>
        </is>
      </c>
      <c r="D62" t="inlineStr">
        <is>
          <t>MADDISON_2003_SHAIKH_EXCLUSION_RULE</t>
        </is>
      </c>
      <c r="E62" t="inlineStr">
        <is>
          <t>geary_khamis_1990_per_capita</t>
        </is>
      </c>
    </row>
    <row r="63">
      <c r="A63" t="n">
        <v>1920</v>
      </c>
      <c r="B63" t="n">
        <v>5126.768741081586</v>
      </c>
      <c r="C63" t="inlineStr">
        <is>
          <t>S218-A</t>
        </is>
      </c>
      <c r="D63" t="inlineStr">
        <is>
          <t>MADDISON_2003_SHAIKH_EXCLUSION_RULE</t>
        </is>
      </c>
      <c r="E63" t="inlineStr">
        <is>
          <t>geary_khamis_1990_per_capita</t>
        </is>
      </c>
    </row>
    <row r="64">
      <c r="A64" t="n">
        <v>1930</v>
      </c>
      <c r="B64" t="n">
        <v>5850.43729493062</v>
      </c>
      <c r="C64" t="inlineStr">
        <is>
          <t>S218-A</t>
        </is>
      </c>
      <c r="D64" t="inlineStr">
        <is>
          <t>MADDISON_2003_SHAIKH_EXCLUSION_RULE</t>
        </is>
      </c>
      <c r="E64" t="inlineStr">
        <is>
          <t>geary_khamis_1990_per_capita</t>
        </is>
      </c>
    </row>
    <row r="65">
      <c r="A65" t="n">
        <v>1940</v>
      </c>
      <c r="B65" t="n">
        <v>6640.676259769741</v>
      </c>
      <c r="C65" t="inlineStr">
        <is>
          <t>S218-A</t>
        </is>
      </c>
      <c r="D65" t="inlineStr">
        <is>
          <t>MADDISON_2003_SHAIKH_EXCLUSION_RULE</t>
        </is>
      </c>
      <c r="E65" t="inlineStr">
        <is>
          <t>geary_khamis_1990_per_capita</t>
        </is>
      </c>
    </row>
    <row r="66">
      <c r="A66" t="n">
        <v>1950</v>
      </c>
      <c r="B66" t="n">
        <v>8593.043800832167</v>
      </c>
      <c r="C66" t="inlineStr">
        <is>
          <t>S218-A</t>
        </is>
      </c>
      <c r="D66" t="inlineStr">
        <is>
          <t>MADDISON_2003_SHAIKH_EXCLUSION_RULE</t>
        </is>
      </c>
      <c r="E66" t="inlineStr">
        <is>
          <t>geary_khamis_1990_per_capita</t>
        </is>
      </c>
    </row>
    <row r="67">
      <c r="A67" t="n">
        <v>1960</v>
      </c>
      <c r="B67" t="n">
        <v>10510.32377944743</v>
      </c>
      <c r="C67" t="inlineStr">
        <is>
          <t>S218-A</t>
        </is>
      </c>
      <c r="D67" t="inlineStr">
        <is>
          <t>MADDISON_2003_SHAIKH_EXCLUSION_RULE</t>
        </is>
      </c>
      <c r="E67" t="inlineStr">
        <is>
          <t>geary_khamis_1990_per_capita</t>
        </is>
      </c>
    </row>
    <row r="68">
      <c r="A68" t="n">
        <v>1970</v>
      </c>
      <c r="B68" t="n">
        <v>14333.83935162908</v>
      </c>
      <c r="C68" t="inlineStr">
        <is>
          <t>S218-A</t>
        </is>
      </c>
      <c r="D68" t="inlineStr">
        <is>
          <t>MADDISON_2003_SHAIKH_EXCLUSION_RULE</t>
        </is>
      </c>
      <c r="E68" t="inlineStr">
        <is>
          <t>geary_khamis_1990_per_capita</t>
        </is>
      </c>
    </row>
    <row r="69">
      <c r="A69" t="n">
        <v>1980</v>
      </c>
      <c r="B69" t="n">
        <v>17189.88037201159</v>
      </c>
      <c r="C69" t="inlineStr">
        <is>
          <t>S218-A</t>
        </is>
      </c>
      <c r="D69" t="inlineStr">
        <is>
          <t>MADDISON_2003_SHAIKH_EXCLUSION_RULE</t>
        </is>
      </c>
      <c r="E69" t="inlineStr">
        <is>
          <t>geary_khamis_1990_per_capita</t>
        </is>
      </c>
    </row>
    <row r="70">
      <c r="A70" t="n">
        <v>1990</v>
      </c>
      <c r="B70" t="n">
        <v>20505.16800836622</v>
      </c>
      <c r="C70" t="inlineStr">
        <is>
          <t>S218-A</t>
        </is>
      </c>
      <c r="D70" t="inlineStr">
        <is>
          <t>MADDISON_2003_SHAIKH_EXCLUSION_RULE</t>
        </is>
      </c>
      <c r="E70" t="inlineStr">
        <is>
          <t>geary_khamis_1990_per_capita</t>
        </is>
      </c>
    </row>
    <row r="71">
      <c r="A71" t="n">
        <v>2000</v>
      </c>
      <c r="B71" t="n">
        <v>24425.51301502425</v>
      </c>
      <c r="C71" t="inlineStr">
        <is>
          <t>S218-A</t>
        </is>
      </c>
      <c r="D71" t="inlineStr">
        <is>
          <t>MADDISON_2003_SHAIKH_EXCLUSION_RULE</t>
        </is>
      </c>
      <c r="E71" t="inlineStr">
        <is>
          <t>geary_khamis_1990_per_capita</t>
        </is>
      </c>
    </row>
    <row r="72">
      <c r="A72" t="n">
        <v>1600</v>
      </c>
      <c r="B72" t="n">
        <v>400</v>
      </c>
      <c r="C72" t="inlineStr">
        <is>
          <t>S218-B</t>
        </is>
      </c>
      <c r="D72" t="inlineStr">
        <is>
          <t>MADDISON_2003_SHAIKH_EXCLUSION_RULE</t>
        </is>
      </c>
      <c r="E72" t="inlineStr">
        <is>
          <t>geary_khamis_1990_per_capita</t>
        </is>
      </c>
    </row>
    <row r="73">
      <c r="A73" t="n">
        <v>1700</v>
      </c>
      <c r="B73" t="n">
        <v>415.0714285714286</v>
      </c>
      <c r="C73" t="inlineStr">
        <is>
          <t>S218-B</t>
        </is>
      </c>
      <c r="D73" t="inlineStr">
        <is>
          <t>MADDISON_2003_SHAIKH_EXCLUSION_RULE</t>
        </is>
      </c>
      <c r="E73" t="inlineStr">
        <is>
          <t>geary_khamis_1990_per_capita</t>
        </is>
      </c>
    </row>
    <row r="74">
      <c r="A74" t="n">
        <v>1820</v>
      </c>
      <c r="B74" t="n">
        <v>407.9143089947568</v>
      </c>
      <c r="C74" t="inlineStr">
        <is>
          <t>S218-B</t>
        </is>
      </c>
      <c r="D74" t="inlineStr">
        <is>
          <t>MADDISON_2003_SHAIKH_EXCLUSION_RULE</t>
        </is>
      </c>
      <c r="E74" t="inlineStr">
        <is>
          <t>geary_khamis_1990_per_capita</t>
        </is>
      </c>
    </row>
    <row r="75">
      <c r="A75" t="n">
        <v>1830</v>
      </c>
      <c r="B75" t="n">
        <v>504.5025137101081</v>
      </c>
      <c r="C75" t="inlineStr">
        <is>
          <t>S218-B</t>
        </is>
      </c>
      <c r="D75" t="inlineStr">
        <is>
          <t>MADDISON_2003_SHAIKH_EXCLUSION_RULE</t>
        </is>
      </c>
      <c r="E75" t="inlineStr">
        <is>
          <t>geary_khamis_1990_per_capita</t>
        </is>
      </c>
    </row>
    <row r="76">
      <c r="A76" t="n">
        <v>1840</v>
      </c>
      <c r="B76" t="n">
        <v>499.8678543645034</v>
      </c>
      <c r="C76" t="inlineStr">
        <is>
          <t>S218-B</t>
        </is>
      </c>
      <c r="D76" t="inlineStr">
        <is>
          <t>MADDISON_2003_SHAIKH_EXCLUSION_RULE</t>
        </is>
      </c>
      <c r="E76" t="inlineStr">
        <is>
          <t>geary_khamis_1990_per_capita</t>
        </is>
      </c>
    </row>
    <row r="77">
      <c r="A77" t="n">
        <v>1850</v>
      </c>
      <c r="B77" t="n">
        <v>530.3543544804756</v>
      </c>
      <c r="C77" t="inlineStr">
        <is>
          <t>S218-B</t>
        </is>
      </c>
      <c r="D77" t="inlineStr">
        <is>
          <t>MADDISON_2003_SHAIKH_EXCLUSION_RULE</t>
        </is>
      </c>
      <c r="E77" t="inlineStr">
        <is>
          <t>geary_khamis_1990_per_capita</t>
        </is>
      </c>
    </row>
    <row r="78">
      <c r="A78" t="n">
        <v>1860</v>
      </c>
      <c r="B78" t="n">
        <v>561.4441180930112</v>
      </c>
      <c r="C78" t="inlineStr">
        <is>
          <t>S218-B</t>
        </is>
      </c>
      <c r="D78" t="inlineStr">
        <is>
          <t>MADDISON_2003_SHAIKH_EXCLUSION_RULE</t>
        </is>
      </c>
      <c r="E78" t="inlineStr">
        <is>
          <t>geary_khamis_1990_per_capita</t>
        </is>
      </c>
    </row>
    <row r="79">
      <c r="A79" t="n">
        <v>1870</v>
      </c>
      <c r="B79" t="n">
        <v>441.9552830607196</v>
      </c>
      <c r="C79" t="inlineStr">
        <is>
          <t>S218-B</t>
        </is>
      </c>
      <c r="D79" t="inlineStr">
        <is>
          <t>MADDISON_2003_SHAIKH_EXCLUSION_RULE</t>
        </is>
      </c>
      <c r="E79" t="inlineStr">
        <is>
          <t>geary_khamis_1990_per_capita</t>
        </is>
      </c>
    </row>
    <row r="80">
      <c r="A80" t="n">
        <v>1880</v>
      </c>
      <c r="B80" t="n">
        <v>590.815853491329</v>
      </c>
      <c r="C80" t="inlineStr">
        <is>
          <t>S218-B</t>
        </is>
      </c>
      <c r="D80" t="inlineStr">
        <is>
          <t>MADDISON_2003_SHAIKH_EXCLUSION_RULE</t>
        </is>
      </c>
      <c r="E80" t="inlineStr">
        <is>
          <t>geary_khamis_1990_per_capita</t>
        </is>
      </c>
    </row>
    <row r="81">
      <c r="A81" t="n">
        <v>1890</v>
      </c>
      <c r="B81" t="n">
        <v>572.3860301262547</v>
      </c>
      <c r="C81" t="inlineStr">
        <is>
          <t>S218-B</t>
        </is>
      </c>
      <c r="D81" t="inlineStr">
        <is>
          <t>MADDISON_2003_SHAIKH_EXCLUSION_RULE</t>
        </is>
      </c>
      <c r="E81" t="inlineStr">
        <is>
          <t>geary_khamis_1990_per_capita</t>
        </is>
      </c>
    </row>
    <row r="82">
      <c r="A82" t="n">
        <v>1900</v>
      </c>
      <c r="B82" t="n">
        <v>591.97798309269</v>
      </c>
      <c r="C82" t="inlineStr">
        <is>
          <t>S218-B</t>
        </is>
      </c>
      <c r="D82" t="inlineStr">
        <is>
          <t>MADDISON_2003_SHAIKH_EXCLUSION_RULE</t>
        </is>
      </c>
      <c r="E82" t="inlineStr">
        <is>
          <t>geary_khamis_1990_per_capita</t>
        </is>
      </c>
    </row>
    <row r="83">
      <c r="A83" t="n">
        <v>1910</v>
      </c>
      <c r="B83" t="n">
        <v>694.3076583591242</v>
      </c>
      <c r="C83" t="inlineStr">
        <is>
          <t>S218-B</t>
        </is>
      </c>
      <c r="D83" t="inlineStr">
        <is>
          <t>MADDISON_2003_SHAIKH_EXCLUSION_RULE</t>
        </is>
      </c>
      <c r="E83" t="inlineStr">
        <is>
          <t>geary_khamis_1990_per_capita</t>
        </is>
      </c>
    </row>
    <row r="84">
      <c r="A84" t="n">
        <v>1920</v>
      </c>
      <c r="B84" t="n">
        <v>738.1707533931836</v>
      </c>
      <c r="C84" t="inlineStr">
        <is>
          <t>S218-B</t>
        </is>
      </c>
      <c r="D84" t="inlineStr">
        <is>
          <t>MADDISON_2003_SHAIKH_EXCLUSION_RULE</t>
        </is>
      </c>
      <c r="E84" t="inlineStr">
        <is>
          <t>geary_khamis_1990_per_capita</t>
        </is>
      </c>
    </row>
    <row r="85">
      <c r="A85" t="n">
        <v>1930</v>
      </c>
      <c r="B85" t="n">
        <v>687.888958475791</v>
      </c>
      <c r="C85" t="inlineStr">
        <is>
          <t>S218-B</t>
        </is>
      </c>
      <c r="D85" t="inlineStr">
        <is>
          <t>MADDISON_2003_SHAIKH_EXCLUSION_RULE</t>
        </is>
      </c>
      <c r="E85" t="inlineStr">
        <is>
          <t>geary_khamis_1990_per_capita</t>
        </is>
      </c>
    </row>
    <row r="86">
      <c r="A86" t="n">
        <v>1940</v>
      </c>
      <c r="B86" t="n">
        <v>832.2884346015467</v>
      </c>
      <c r="C86" t="inlineStr">
        <is>
          <t>S218-B</t>
        </is>
      </c>
      <c r="D86" t="inlineStr">
        <is>
          <t>MADDISON_2003_SHAIKH_EXCLUSION_RULE</t>
        </is>
      </c>
      <c r="E86" t="inlineStr">
        <is>
          <t>geary_khamis_1990_per_capita</t>
        </is>
      </c>
    </row>
    <row r="87">
      <c r="A87" t="n">
        <v>1950</v>
      </c>
      <c r="B87" t="n">
        <v>316.2590040270121</v>
      </c>
      <c r="C87" t="inlineStr">
        <is>
          <t>S218-B</t>
        </is>
      </c>
      <c r="D87" t="inlineStr">
        <is>
          <t>MADDISON_2003_SHAIKH_EXCLUSION_RULE</t>
        </is>
      </c>
      <c r="E87" t="inlineStr">
        <is>
          <t>geary_khamis_1990_per_capita</t>
        </is>
      </c>
    </row>
    <row r="88">
      <c r="A88" t="n">
        <v>1960</v>
      </c>
      <c r="B88" t="n">
        <v>406.8045167848379</v>
      </c>
      <c r="C88" t="inlineStr">
        <is>
          <t>S218-B</t>
        </is>
      </c>
      <c r="D88" t="inlineStr">
        <is>
          <t>MADDISON_2003_SHAIKH_EXCLUSION_RULE</t>
        </is>
      </c>
      <c r="E88" t="inlineStr">
        <is>
          <t>geary_khamis_1990_per_capita</t>
        </is>
      </c>
    </row>
    <row r="89">
      <c r="A89" t="n">
        <v>1970</v>
      </c>
      <c r="B89" t="n">
        <v>491.5402775827697</v>
      </c>
      <c r="C89" t="inlineStr">
        <is>
          <t>S218-B</t>
        </is>
      </c>
      <c r="D89" t="inlineStr">
        <is>
          <t>MADDISON_2003_SHAIKH_EXCLUSION_RULE</t>
        </is>
      </c>
      <c r="E89" t="inlineStr">
        <is>
          <t>geary_khamis_1990_per_capita</t>
        </is>
      </c>
    </row>
    <row r="90">
      <c r="A90" t="n">
        <v>1980</v>
      </c>
      <c r="B90" t="n">
        <v>503.8273012527448</v>
      </c>
      <c r="C90" t="inlineStr">
        <is>
          <t>S218-B</t>
        </is>
      </c>
      <c r="D90" t="inlineStr">
        <is>
          <t>MADDISON_2003_SHAIKH_EXCLUSION_RULE</t>
        </is>
      </c>
      <c r="E90" t="inlineStr">
        <is>
          <t>geary_khamis_1990_per_capita</t>
        </is>
      </c>
    </row>
    <row r="91">
      <c r="A91" t="n">
        <v>1990</v>
      </c>
      <c r="B91" t="n">
        <v>502.8884645432922</v>
      </c>
      <c r="C91" t="inlineStr">
        <is>
          <t>S218-B</t>
        </is>
      </c>
      <c r="D91" t="inlineStr">
        <is>
          <t>MADDISON_2003_SHAIKH_EXCLUSION_RULE</t>
        </is>
      </c>
      <c r="E91" t="inlineStr">
        <is>
          <t>geary_khamis_1990_per_capita</t>
        </is>
      </c>
    </row>
    <row r="92">
      <c r="A92" t="n">
        <v>2000</v>
      </c>
      <c r="B92" t="n">
        <v>380.7560757587105</v>
      </c>
      <c r="C92" t="inlineStr">
        <is>
          <t>S218-B</t>
        </is>
      </c>
      <c r="D92" t="inlineStr">
        <is>
          <t>MADDISON_2003_SHAIKH_EXCLUSION_RULE</t>
        </is>
      </c>
      <c r="E92" t="inlineStr">
        <is>
          <t>geary_khamis_1990_per_capita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S218 — Methodology</t>
        </is>
      </c>
    </row>
    <row r="3">
      <c r="A3" s="4">
        <f>== DPR: S218_DPR.md ===</f>
        <v/>
      </c>
    </row>
    <row r="4">
      <c r="A4" t="inlineStr">
        <is>
          <t># S218 -- GDP per Capita Richest Four and Poorest Four Countries (Maddison), 1600-2000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S218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`Technical/research/S218_research.json`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`Technical/docs/series/S218_EPR.md`</t>
        </is>
      </c>
    </row>
    <row r="16">
      <c r="A16" t="inlineStr">
        <is>
          <t>- Registry entry: `Technical/series_registry.json` -&gt; `series.S218`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Average GDP per capita of the 4 richest countries and 4 poorest countries at each decennial benchmark, plus the ratio (richest4/poorest4). Shaikh excludes Kuwait/Qatar/Venezuela from the top 4 (1950+).</t>
        </is>
      </c>
    </row>
    <row r="23">
      <c r="A23" t="inlineStr"/>
    </row>
    <row r="24">
      <c r="A24" t="inlineStr">
        <is>
          <t>In Shaikh (2016) the series appears as **Figures 2.16 and 2.17**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Closes the chapter with a stark quantitative measure of global inequality: the richest-four to poorest-four ratio rises from 7.1 in 1900 to 64.2 in 2000.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**S218-A** | 1600-2000 | Maddison (2003) RICHEST 4 with Shaikh exclusions | 1990 GK $/cap | salvaged chopped |</t>
        </is>
      </c>
    </row>
    <row r="35">
      <c r="A35" t="inlineStr">
        <is>
          <t>| **S218-B** | 1600-2000 | Maddison (2003) POOREST 4 | 1990 GK $/cap | salvaged chopped |</t>
        </is>
      </c>
    </row>
    <row r="36">
      <c r="A36" t="inlineStr">
        <is>
          <t>| **S218-C** | 1600-2000 | Computed ratio | ratio | salvaged chopped (precomputed)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`formula` construction.</t>
        </is>
      </c>
    </row>
    <row r="41">
      <c r="A41" t="inlineStr"/>
    </row>
    <row r="42">
      <c r="A42" t="inlineStr">
        <is>
          <t>**Formula**: `richest4_avg = mean(top 4 excluding KW/QA/VE); poorest4_avg = mean(bottom 4); ratio = richest4/poorest4`</t>
        </is>
      </c>
    </row>
    <row r="43">
      <c r="A43" t="inlineStr"/>
    </row>
    <row r="44">
      <c r="A44" t="inlineStr"/>
    </row>
    <row r="45">
      <c r="A45" t="inlineStr">
        <is>
          <t>1. Read precomputed RICHEST 4, POOREST 4, RATIO rows from chopped table.</t>
        </is>
      </c>
    </row>
    <row r="46">
      <c r="A46" t="inlineStr">
        <is>
          <t>2. Extension: MPD 2023 requires re-applying the exclusion rule (and possibly adding Macao, Luxembourg). Deferred.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**Book period**: 1600-2000</t>
        </is>
      </c>
    </row>
    <row r="51">
      <c r="A51" t="inlineStr">
        <is>
          <t>- **Extension period**: N/A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1990 GK $/cap (levels); ratio (S218-C)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Shaikh exclusion rule (Kuwait, Qatar, Venezuela from top 4, 1950+) must be reapplied for MPD 2023.</t>
        </is>
      </c>
    </row>
    <row r="60">
      <c r="A60" t="inlineStr">
        <is>
          <t>2. Ratio (S218-C) is base-year-invariant; level series (S218-A/B) require rebasing for MPD 2023 splice.</t>
        </is>
      </c>
    </row>
    <row r="61">
      <c r="A61" t="inlineStr">
        <is>
          <t>3. Modern panel may need additional exclusions (Macao, Luxembourg) per anu-framework no-proxy rule.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Book reference: Shaikh (2016), Ch. 2, Figures 2.16 and 2.17</t>
        </is>
      </c>
    </row>
    <row r="66">
      <c r="A66" t="inlineStr">
        <is>
          <t>- Knowledge Base: `SalvagedInputs/figures_reference/HDARP_SERIES_LINKAGE.json`</t>
        </is>
      </c>
    </row>
    <row r="67">
      <c r="A67" t="inlineStr">
        <is>
          <t>- Predecessor (CD2): see registry `predecessor_ids` block.</t>
        </is>
      </c>
    </row>
    <row r="68">
      <c r="A68" t="inlineStr"/>
    </row>
    <row r="69">
      <c r="A69" t="inlineStr">
        <is>
          <t>## 9. Validation expectation</t>
        </is>
      </c>
    </row>
    <row r="70">
      <c r="A70" t="inlineStr"/>
    </row>
    <row r="71">
      <c r="A71" t="inlineStr">
        <is>
          <t>- **Tolerance**: +/- 1.0% per year (per playbook).</t>
        </is>
      </c>
    </row>
    <row r="72">
      <c r="A72" t="inlineStr">
        <is>
          <t>- **Expected MAE** (vs salvaged book truth): &lt; 0.5% when source data is pulled directly from the chopped table.</t>
        </is>
      </c>
    </row>
    <row r="75">
      <c r="A75" s="4">
        <f>== EPR: S218_EPR.md ===</f>
        <v/>
      </c>
    </row>
    <row r="76">
      <c r="A76" t="inlineStr">
        <is>
          <t># S218 -- Extension Provenance Record</t>
        </is>
      </c>
    </row>
    <row r="77">
      <c r="A77" t="inlineStr"/>
    </row>
    <row r="78">
      <c r="A78" t="inlineStr">
        <is>
          <t>**Series**: S218 -- GDP per Capita Richest Four and Poorest Four Countries (Maddison), 1600-2000</t>
        </is>
      </c>
    </row>
    <row r="79">
      <c r="A79" t="inlineStr">
        <is>
          <t>**Phase**: 6 (Extension)</t>
        </is>
      </c>
    </row>
    <row r="80">
      <c r="A80" t="inlineStr">
        <is>
          <t>**Construction classification**: `formula`</t>
        </is>
      </c>
    </row>
    <row r="81">
      <c r="A81" t="inlineStr">
        <is>
          <t>**Extension status**: `deferred`</t>
        </is>
      </c>
    </row>
    <row r="82">
      <c r="A82" t="inlineStr">
        <is>
          <t>**Authored**: 2026-05-18</t>
        </is>
      </c>
    </row>
    <row r="83">
      <c r="A83" t="inlineStr">
        <is>
          <t>**Author**: opus-subagent-wave2-ch2</t>
        </is>
      </c>
    </row>
    <row r="84">
      <c r="A84" t="inlineStr">
        <is>
          <t>**Related**: `S218_DPR.md`, `Technical/research/S218_research.json`</t>
        </is>
      </c>
    </row>
    <row r="85">
      <c r="A85" t="inlineStr"/>
    </row>
    <row r="86">
      <c r="A86" t="inlineStr">
        <is>
          <t>---</t>
        </is>
      </c>
    </row>
    <row r="87">
      <c r="A87" t="inlineStr"/>
    </row>
    <row r="88">
      <c r="A88" t="inlineStr">
        <is>
          <t>## 1. Classification</t>
        </is>
      </c>
    </row>
    <row r="89">
      <c r="A89" t="inlineStr"/>
    </row>
    <row r="90">
      <c r="A90" t="inlineStr">
        <is>
          <t>Per the playbook content-type rule, S218 is classified `formula`. Extension recipe applied: per the Anu framework rule on lazy splices, this dictates the extension method below.</t>
        </is>
      </c>
    </row>
    <row r="91">
      <c r="A91" t="inlineStr"/>
    </row>
    <row r="92">
      <c r="A92" t="inlineStr">
        <is>
          <t>## 2. Method</t>
        </is>
      </c>
    </row>
    <row r="93">
      <c r="A93" t="inlineStr"/>
    </row>
    <row r="94">
      <c r="A94" t="inlineStr">
        <is>
          <t>Reapply Shaikh exclusion rule to MPD 2023 country panel; ratio rebases safely, levels need rescale.</t>
        </is>
      </c>
    </row>
    <row r="95">
      <c r="A95" t="inlineStr"/>
    </row>
    <row r="96">
      <c r="A96" t="inlineStr">
        <is>
          <t>## 3. No-Proxy disclosure</t>
        </is>
      </c>
    </row>
    <row r="97">
      <c r="A97" t="inlineStr"/>
    </row>
    <row r="98">
      <c r="A98" t="inlineStr">
        <is>
          <t>No proxies used. All extension sources are the same agency/program as the original.</t>
        </is>
      </c>
    </row>
    <row r="99">
      <c r="A99" t="inlineStr"/>
    </row>
    <row r="100">
      <c r="A100" t="inlineStr">
        <is>
          <t>## 4. No-Synthetic disclosure</t>
        </is>
      </c>
    </row>
    <row r="101">
      <c r="A101" t="inlineStr"/>
    </row>
    <row r="102">
      <c r="A102" t="inlineStr">
        <is>
          <t>No synthetic, interpolated, or placeholder values are introduced. Where the API returns NaN, the NaN propagates to the published series.</t>
        </is>
      </c>
    </row>
    <row r="103">
      <c r="A103" t="inlineStr"/>
    </row>
    <row r="104">
      <c r="A104" t="inlineStr">
        <is>
          <t>## 5. Failure-mode table</t>
        </is>
      </c>
    </row>
    <row r="105">
      <c r="A105" t="inlineStr"/>
    </row>
    <row r="106">
      <c r="A106" t="inlineStr">
        <is>
          <t>| Failure | Detection | Action |</t>
        </is>
      </c>
    </row>
    <row r="107">
      <c r="A107" t="inlineStr">
        <is>
          <t>|---|---|---|</t>
        </is>
      </c>
    </row>
    <row r="108">
      <c r="A108" t="inlineStr">
        <is>
          <t>| API key not set | `S00_config.have_key` returns False | Loader returns `degraded`; processor publishes book period only; registry stamped `extension_status: api_key_missing` |</t>
        </is>
      </c>
    </row>
    <row r="109">
      <c r="A109" t="inlineStr">
        <is>
          <t>| API non-200 | `S00_apis._retry_get` raises after 3 retries | Same degradation as above |</t>
        </is>
      </c>
    </row>
    <row r="110">
      <c r="A110" t="inlineStr">
        <is>
          <t>| Overlap year NaN | Processor checks pre-splice | Walk back overlap year (e.g. 2010 -&gt; 2009 -&gt; 2008); fail hard if no valid overlap in 5-year window |</t>
        </is>
      </c>
    </row>
    <row r="111">
      <c r="A111" t="inlineStr">
        <is>
          <t>| Source URL discontinued | Phase 4 adequacy URL check | EPR documents the substitute (see section 3) |</t>
        </is>
      </c>
    </row>
    <row r="112">
      <c r="A112" t="inlineStr"/>
    </row>
    <row r="113">
      <c r="A113" t="inlineStr">
        <is>
          <t>## 6. CD2 divergence pre-disclosure</t>
        </is>
      </c>
    </row>
    <row r="114">
      <c r="A114" t="inlineStr"/>
    </row>
    <row r="115">
      <c r="A115" t="inlineStr">
        <is>
          <t>CD2's predecessor series may diverge from S218 due to (a) different extension anchor, (b) different proxy selection, or (c) a different vintage of the underlying source. Divergence is reported informationally in V03 and never causes a FAIL.</t>
        </is>
      </c>
    </row>
    <row r="116">
      <c r="A116" t="inlineStr"/>
    </row>
    <row r="117">
      <c r="A117" t="inlineStr">
        <is>
          <t>## 7. Extension status</t>
        </is>
      </c>
    </row>
    <row r="118">
      <c r="A118" t="inlineStr"/>
    </row>
    <row r="119">
      <c r="A119" t="inlineStr">
        <is>
          <t>Current: `deferred`.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62" customWidth="1" min="3" max="3"/>
    <col width="31" customWidth="1" min="4" max="4"/>
    <col width="5" customWidth="1" min="5" max="5"/>
    <col width="25" customWidth="1" min="6" max="6"/>
    <col width="23" customWidth="1" min="7" max="7"/>
    <col width="1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S218-A</t>
        </is>
      </c>
      <c r="B2" t="inlineStr">
        <is>
          <t>MADDISON_2003_SHAIKH_EXCLUSION_RULE</t>
        </is>
      </c>
      <c r="C2" t="inlineStr">
        <is>
          <t>Maddison (2003) panel with Shaikh richest-4/poorest-4 exclusion rule</t>
        </is>
      </c>
      <c r="D2" t="inlineStr">
        <is>
          <t>Angus Maddison + Anwar Shaikh</t>
        </is>
      </c>
      <c r="E2" t="inlineStr"/>
      <c r="F2" t="inlineStr">
        <is>
          <t>1990 International GK $</t>
        </is>
      </c>
      <c r="G2" t="inlineStr">
        <is>
          <t>decennial then annual</t>
        </is>
      </c>
      <c r="H2" t="inlineStr">
        <is>
          <t>CC BY 4.0</t>
        </is>
      </c>
      <c r="I2" t="inlineStr">
        <is>
          <t>salvaged_chopped_table</t>
        </is>
      </c>
    </row>
    <row r="3">
      <c r="A3" t="inlineStr">
        <is>
          <t>S218-B</t>
        </is>
      </c>
      <c r="B3" t="inlineStr">
        <is>
          <t>MADDISON_2003_SHAIKH_EXCLUSION_RULE</t>
        </is>
      </c>
      <c r="C3" t="inlineStr">
        <is>
          <t>Maddison (2003) panel with Shaikh richest-4/poorest-4 exclusion rule</t>
        </is>
      </c>
      <c r="D3" t="inlineStr">
        <is>
          <t>Angus Maddison + Anwar Shaikh</t>
        </is>
      </c>
      <c r="E3" t="inlineStr"/>
      <c r="F3" t="inlineStr">
        <is>
          <t>1990 International GK $</t>
        </is>
      </c>
      <c r="G3" t="inlineStr">
        <is>
          <t>decennial then annual</t>
        </is>
      </c>
      <c r="H3" t="inlineStr">
        <is>
          <t>CC BY 4.0</t>
        </is>
      </c>
      <c r="I3" t="inlineStr">
        <is>
          <t>salvaged_chopped_table</t>
        </is>
      </c>
    </row>
    <row r="4">
      <c r="A4" t="inlineStr">
        <is>
          <t>S218-C</t>
        </is>
      </c>
      <c r="B4" t="inlineStr">
        <is>
          <t>MADDISON_2003_SHAIKH_EXCLUSION_RULE</t>
        </is>
      </c>
      <c r="C4" t="inlineStr">
        <is>
          <t>Maddison (2003) panel with Shaikh richest-4/poorest-4 exclusion rule</t>
        </is>
      </c>
      <c r="D4" t="inlineStr">
        <is>
          <t>Angus Maddison + Anwar Shaikh</t>
        </is>
      </c>
      <c r="E4" t="inlineStr"/>
      <c r="F4" t="inlineStr">
        <is>
          <t>1990 International GK $</t>
        </is>
      </c>
      <c r="G4" t="inlineStr">
        <is>
          <t>decennial then annual</t>
        </is>
      </c>
      <c r="H4" t="inlineStr">
        <is>
          <t>CC BY 4.0</t>
        </is>
      </c>
      <c r="I4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[1600, 2000]</t>
        </is>
      </c>
    </row>
    <row r="7">
      <c r="A7" t="inlineStr">
        <is>
          <t>n_compared</t>
        </is>
      </c>
      <c r="B7" t="n">
        <v>63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labels_compared</t>
        </is>
      </c>
      <c r="B11" t="inlineStr">
        <is>
          <t>["POOREST 4", "RATIO OF RICHEST 4 TO POOREST 4", "RICHEST 4"]</t>
        </is>
      </c>
    </row>
    <row r="12">
      <c r="A12" t="inlineStr">
        <is>
          <t>validated_at</t>
        </is>
      </c>
      <c r="B12" t="inlineStr">
        <is>
          <t>2026-07-11T03:44:24.640799+00:00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construction</t>
        </is>
      </c>
      <c r="B4" t="inlineStr">
        <is>
          <t>formula</t>
        </is>
      </c>
    </row>
    <row r="5">
      <c r="A5" t="inlineStr">
        <is>
          <t>status</t>
        </is>
      </c>
      <c r="B5" t="inlineStr">
        <is>
          <t>book_period_validated</t>
        </is>
      </c>
    </row>
    <row r="6">
      <c r="A6" t="inlineStr">
        <is>
          <t>validation_class</t>
        </is>
      </c>
      <c r="B6" t="inlineStr">
        <is>
          <t>pipeline_consistent</t>
        </is>
      </c>
    </row>
    <row r="7">
      <c r="A7" t="inlineStr">
        <is>
          <t>triage</t>
        </is>
      </c>
      <c r="B7" t="inlineStr">
        <is>
          <t>{"verdict": "publish", "reason": "Reconstructs Shaikh (2016) Figs.2.16-2.17; real data present. Units split per-subseries: A/B are GK-dollar levels, C is a dimensionless ratio (registry mixed_units string resolved at subseries level).", "date": "2026-06-10"}</t>
        </is>
      </c>
    </row>
    <row r="8">
      <c r="A8" t="inlineStr">
        <is>
          <t>content_type</t>
        </is>
      </c>
      <c r="B8" t="inlineStr">
        <is>
          <t>time_series</t>
        </is>
      </c>
    </row>
    <row r="9">
      <c r="A9" t="inlineStr">
        <is>
          <t>units</t>
        </is>
      </c>
      <c r="B9" t="inlineStr">
        <is>
          <t>per_subseries</t>
        </is>
      </c>
    </row>
    <row r="10">
      <c r="A10" t="inlineStr">
        <is>
          <t>proxy</t>
        </is>
      </c>
      <c r="B10" t="inlineStr">
        <is>
          <t>false</t>
        </is>
      </c>
    </row>
    <row r="11">
      <c r="A11" t="inlineStr">
        <is>
          <t>publish</t>
        </is>
      </c>
      <c r="B11" t="inlineStr">
        <is>
          <t>true</t>
        </is>
      </c>
    </row>
    <row r="12">
      <c r="A12" t="inlineStr">
        <is>
          <t>chapter</t>
        </is>
      </c>
      <c r="B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2026-07-19T13:16:07Z</dcterms:created>
  <dcterms:modified xmlns:dcterms="http://purl.org/dc/terms/" xmlns:xsi="http://www.w3.org/2001/XMLSchema-instance" xsi:type="dcterms:W3CDTF">2026-07-19T13:16:07Z</dcterms:modified>
</cp:coreProperties>
</file>
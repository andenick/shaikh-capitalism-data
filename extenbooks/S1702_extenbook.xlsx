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S1702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14" customWidth="1" min="3" max="3"/>
    <col width="32" customWidth="1" min="4" max="4"/>
    <col width="49" customWidth="1" min="5" max="5"/>
  </cols>
  <sheetData>
    <row r="1">
      <c r="A1" s="1" t="inlineStr">
        <is>
          <t>S1702 — annual values (long form below pivot)</t>
        </is>
      </c>
    </row>
    <row r="2"/>
    <row r="3">
      <c r="A3" s="2" t="inlineStr">
        <is>
          <t>year</t>
        </is>
      </c>
      <c r="B3" s="2" t="inlineStr">
        <is>
          <t>S1702-A</t>
        </is>
      </c>
    </row>
    <row r="4">
      <c r="A4" t="n">
        <v>2011</v>
      </c>
      <c r="B4" t="n">
        <v>0.9553625074843379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2011</v>
      </c>
      <c r="B10" t="n">
        <v>0.9553625074843379</v>
      </c>
      <c r="C10" t="inlineStr">
        <is>
          <t>S1702-A</t>
        </is>
      </c>
      <c r="D10" t="inlineStr">
        <is>
          <t>IRS_SOI_2011_PUB1304_TABLE_1_4</t>
        </is>
      </c>
      <c r="E10" t="inlineStr">
        <is>
          <t>cumulative_probability_from_above_dimensionless</t>
        </is>
      </c>
    </row>
    <row r="11">
      <c r="A11" t="n">
        <v>2011</v>
      </c>
      <c r="B11" t="n">
        <v>0.9250804428746902</v>
      </c>
      <c r="C11" t="inlineStr">
        <is>
          <t>S1702-A</t>
        </is>
      </c>
      <c r="D11" t="inlineStr">
        <is>
          <t>IRS_SOI_2011_PUB1304_TABLE_1_4</t>
        </is>
      </c>
      <c r="E11" t="inlineStr">
        <is>
          <t>cumulative_probability_from_above_dimensionless</t>
        </is>
      </c>
    </row>
    <row r="12">
      <c r="A12" t="n">
        <v>2011</v>
      </c>
      <c r="B12" t="n">
        <v>0.8943674234836512</v>
      </c>
      <c r="C12" t="inlineStr">
        <is>
          <t>S1702-A</t>
        </is>
      </c>
      <c r="D12" t="inlineStr">
        <is>
          <t>IRS_SOI_2011_PUB1304_TABLE_1_4</t>
        </is>
      </c>
      <c r="E12" t="inlineStr">
        <is>
          <t>cumulative_probability_from_above_dimensionless</t>
        </is>
      </c>
    </row>
    <row r="13">
      <c r="A13" t="n">
        <v>2011</v>
      </c>
      <c r="B13" t="n">
        <v>0.8613637633122158</v>
      </c>
      <c r="C13" t="inlineStr">
        <is>
          <t>S1702-A</t>
        </is>
      </c>
      <c r="D13" t="inlineStr">
        <is>
          <t>IRS_SOI_2011_PUB1304_TABLE_1_4</t>
        </is>
      </c>
      <c r="E13" t="inlineStr">
        <is>
          <t>cumulative_probability_from_above_dimensionless</t>
        </is>
      </c>
    </row>
    <row r="14">
      <c r="A14" t="n">
        <v>2011</v>
      </c>
      <c r="B14" t="n">
        <v>0.8243761653004081</v>
      </c>
      <c r="C14" t="inlineStr">
        <is>
          <t>S1702-A</t>
        </is>
      </c>
      <c r="D14" t="inlineStr">
        <is>
          <t>IRS_SOI_2011_PUB1304_TABLE_1_4</t>
        </is>
      </c>
      <c r="E14" t="inlineStr">
        <is>
          <t>cumulative_probability_from_above_dimensionless</t>
        </is>
      </c>
    </row>
    <row r="15">
      <c r="A15" t="n">
        <v>2011</v>
      </c>
      <c r="B15" t="n">
        <v>0.7891478682294257</v>
      </c>
      <c r="C15" t="inlineStr">
        <is>
          <t>S1702-A</t>
        </is>
      </c>
      <c r="D15" t="inlineStr">
        <is>
          <t>IRS_SOI_2011_PUB1304_TABLE_1_4</t>
        </is>
      </c>
      <c r="E15" t="inlineStr">
        <is>
          <t>cumulative_probability_from_above_dimensionless</t>
        </is>
      </c>
    </row>
    <row r="16">
      <c r="A16" t="n">
        <v>2011</v>
      </c>
      <c r="B16" t="n">
        <v>0.7530608121717347</v>
      </c>
      <c r="C16" t="inlineStr">
        <is>
          <t>S1702-A</t>
        </is>
      </c>
      <c r="D16" t="inlineStr">
        <is>
          <t>IRS_SOI_2011_PUB1304_TABLE_1_4</t>
        </is>
      </c>
      <c r="E16" t="inlineStr">
        <is>
          <t>cumulative_probability_from_above_dimensionless</t>
        </is>
      </c>
    </row>
    <row r="17">
      <c r="A17" t="n">
        <v>2011</v>
      </c>
      <c r="B17" t="n">
        <v>0.7177555392355409</v>
      </c>
      <c r="C17" t="inlineStr">
        <is>
          <t>S1702-A</t>
        </is>
      </c>
      <c r="D17" t="inlineStr">
        <is>
          <t>IRS_SOI_2011_PUB1304_TABLE_1_4</t>
        </is>
      </c>
      <c r="E17" t="inlineStr">
        <is>
          <t>cumulative_probability_from_above_dimensionless</t>
        </is>
      </c>
    </row>
    <row r="18">
      <c r="A18" t="n">
        <v>2011</v>
      </c>
      <c r="B18" t="n">
        <v>0.6849617569593336</v>
      </c>
      <c r="C18" t="inlineStr">
        <is>
          <t>S1702-A</t>
        </is>
      </c>
      <c r="D18" t="inlineStr">
        <is>
          <t>IRS_SOI_2011_PUB1304_TABLE_1_4</t>
        </is>
      </c>
      <c r="E18" t="inlineStr">
        <is>
          <t>cumulative_probability_from_above_dimensionless</t>
        </is>
      </c>
    </row>
    <row r="19">
      <c r="A19" t="n">
        <v>2011</v>
      </c>
      <c r="B19" t="n">
        <v>0.6537367758352741</v>
      </c>
      <c r="C19" t="inlineStr">
        <is>
          <t>S1702-A</t>
        </is>
      </c>
      <c r="D19" t="inlineStr">
        <is>
          <t>IRS_SOI_2011_PUB1304_TABLE_1_4</t>
        </is>
      </c>
      <c r="E19" t="inlineStr">
        <is>
          <t>cumulative_probability_from_above_dimensionless</t>
        </is>
      </c>
    </row>
    <row r="20">
      <c r="A20" t="n">
        <v>2011</v>
      </c>
      <c r="B20" t="n">
        <v>0.583497461378615</v>
      </c>
      <c r="C20" t="inlineStr">
        <is>
          <t>S1702-A</t>
        </is>
      </c>
      <c r="D20" t="inlineStr">
        <is>
          <t>IRS_SOI_2011_PUB1304_TABLE_1_4</t>
        </is>
      </c>
      <c r="E20" t="inlineStr">
        <is>
          <t>cumulative_probability_from_above_dimensionless</t>
        </is>
      </c>
    </row>
    <row r="21">
      <c r="A21" t="n">
        <v>2011</v>
      </c>
      <c r="B21" t="n">
        <v>0.521671787843234</v>
      </c>
      <c r="C21" t="inlineStr">
        <is>
          <t>S1702-A</t>
        </is>
      </c>
      <c r="D21" t="inlineStr">
        <is>
          <t>IRS_SOI_2011_PUB1304_TABLE_1_4</t>
        </is>
      </c>
      <c r="E21" t="inlineStr">
        <is>
          <t>cumulative_probability_from_above_dimensionless</t>
        </is>
      </c>
    </row>
    <row r="22">
      <c r="A22" t="n">
        <v>2011</v>
      </c>
      <c r="B22" t="n">
        <v>0.4217883522789809</v>
      </c>
      <c r="C22" t="inlineStr">
        <is>
          <t>S1702-A</t>
        </is>
      </c>
      <c r="D22" t="inlineStr">
        <is>
          <t>IRS_SOI_2011_PUB1304_TABLE_1_4</t>
        </is>
      </c>
      <c r="E22" t="inlineStr">
        <is>
          <t>cumulative_probability_from_above_dimensionless</t>
        </is>
      </c>
    </row>
    <row r="23">
      <c r="A23" t="n">
        <v>2011</v>
      </c>
      <c r="B23" t="n">
        <v>0.3462297441347005</v>
      </c>
      <c r="C23" t="inlineStr">
        <is>
          <t>S1702-A</t>
        </is>
      </c>
      <c r="D23" t="inlineStr">
        <is>
          <t>IRS_SOI_2011_PUB1304_TABLE_1_4</t>
        </is>
      </c>
      <c r="E23" t="inlineStr">
        <is>
          <t>cumulative_probability_from_above_dimensionless</t>
        </is>
      </c>
    </row>
    <row r="24">
      <c r="A24" t="n">
        <v>2011</v>
      </c>
      <c r="B24" t="n">
        <v>0.2158779059592941</v>
      </c>
      <c r="C24" t="inlineStr">
        <is>
          <t>S1702-A</t>
        </is>
      </c>
      <c r="D24" t="inlineStr">
        <is>
          <t>IRS_SOI_2011_PUB1304_TABLE_1_4</t>
        </is>
      </c>
      <c r="E24" t="inlineStr">
        <is>
          <t>cumulative_probability_from_above_dimensionless</t>
        </is>
      </c>
    </row>
    <row r="25">
      <c r="A25" t="n">
        <v>2011</v>
      </c>
      <c r="B25" t="n">
        <v>0.1338363477971833</v>
      </c>
      <c r="C25" t="inlineStr">
        <is>
          <t>S1702-A</t>
        </is>
      </c>
      <c r="D25" t="inlineStr">
        <is>
          <t>IRS_SOI_2011_PUB1304_TABLE_1_4</t>
        </is>
      </c>
      <c r="E25" t="inlineStr">
        <is>
          <t>cumulative_probability_from_above_dimensionless</t>
        </is>
      </c>
    </row>
    <row r="26">
      <c r="A26" t="n">
        <v>2011</v>
      </c>
      <c r="B26" t="n">
        <v>0.03233162440950788</v>
      </c>
      <c r="C26" t="inlineStr">
        <is>
          <t>S1702-A</t>
        </is>
      </c>
      <c r="D26" t="inlineStr">
        <is>
          <t>IRS_SOI_2011_PUB1304_TABLE_1_4</t>
        </is>
      </c>
      <c r="E26" t="inlineStr">
        <is>
          <t>cumulative_probability_from_above_dimensionless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S1702 — Methodology</t>
        </is>
      </c>
    </row>
    <row r="3">
      <c r="A3" s="4">
        <f>== DPR: S1702_DPR.md ===</f>
        <v/>
      </c>
    </row>
    <row r="4">
      <c r="A4" t="inlineStr">
        <is>
          <t># S1702 — Personal Income Distribution below $200,000, Cumulative Probability from Above (2011)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S1702</t>
        </is>
      </c>
    </row>
    <row r="8">
      <c r="A8" t="inlineStr">
        <is>
          <t>**Status**: book_period_validated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---</t>
        </is>
      </c>
    </row>
    <row r="12">
      <c r="A12" t="inlineStr"/>
    </row>
    <row r="13">
      <c r="A13" t="inlineStr">
        <is>
          <t>## 1. Definition</t>
        </is>
      </c>
    </row>
    <row r="14">
      <c r="A14" t="inlineStr"/>
    </row>
    <row r="15">
      <c r="A15" t="inlineStr">
        <is>
          <t>Cross-sectional snapshot at Tax Year 2011: the cumulative probability from</t>
        </is>
      </c>
    </row>
    <row r="16">
      <c r="A16" t="inlineStr">
        <is>
          <t>above (survival function) of personal income (AGI), restricted to bins with</t>
        </is>
      </c>
    </row>
    <row r="17">
      <c r="A17" t="inlineStr">
        <is>
          <t>midpoint below $200,000 (the bottom 97% of returns). Appears in Shaikh (2016)</t>
        </is>
      </c>
    </row>
    <row r="18">
      <c r="A18" t="inlineStr">
        <is>
          <t>as **Figure 17.2** (p. 752), plotted on a log-linear scale to test for</t>
        </is>
      </c>
    </row>
    <row r="19">
      <c r="A19" t="inlineStr">
        <is>
          <t>exponentiality.</t>
        </is>
      </c>
    </row>
    <row r="20">
      <c r="A20" t="inlineStr"/>
    </row>
    <row r="21">
      <c r="A21" t="inlineStr">
        <is>
          <t>## 2. Why it matters in Chapter 17</t>
        </is>
      </c>
    </row>
    <row r="22">
      <c r="A22" t="inlineStr"/>
    </row>
    <row r="23">
      <c r="A23" t="inlineStr">
        <is>
          <t>The bottom 97% of the IRS 2011 personal income distribution is approximately</t>
        </is>
      </c>
    </row>
    <row r="24">
      <c r="A24" t="inlineStr">
        <is>
          <t>exponential — appears as a straight line on a log-linear plot. Combined with</t>
        </is>
      </c>
    </row>
    <row r="25">
      <c r="A25" t="inlineStr">
        <is>
          <t>the Pareto top tail (S1703), this validates the EPTC two-class framework</t>
        </is>
      </c>
    </row>
    <row r="26">
      <c r="A26" t="inlineStr">
        <is>
          <t>(Yakovenko et al.) and yields Shaikh's reported Gini of 0.492 (~0.50 = pure</t>
        </is>
      </c>
    </row>
    <row r="27">
      <c r="A27" t="inlineStr">
        <is>
          <t>exponential).</t>
        </is>
      </c>
    </row>
    <row r="28">
      <c r="A28" t="inlineStr"/>
    </row>
    <row r="29">
      <c r="A29" t="inlineStr">
        <is>
          <t>## 3. Source</t>
        </is>
      </c>
    </row>
    <row r="30">
      <c r="A30" t="inlineStr"/>
    </row>
    <row r="31">
      <c r="A31" t="inlineStr">
        <is>
          <t>| Subseries | Source |</t>
        </is>
      </c>
    </row>
    <row r="32">
      <c r="A32" t="inlineStr">
        <is>
          <t>|---|---|</t>
        </is>
      </c>
    </row>
    <row r="33">
      <c r="A33" t="inlineStr">
        <is>
          <t>| S1702-A | IRS Statistics of Income (SOI), Publication 1304 (Complete Report), Table 1.4, Tax Year 2011 |</t>
        </is>
      </c>
    </row>
    <row r="34">
      <c r="A34" t="inlineStr"/>
    </row>
    <row r="35">
      <c r="A35" t="inlineStr">
        <is>
          <t>Local salvage copy: the published Chapter 17 appendix data tables (Shaikh 2016, Appendix 17.1).</t>
        </is>
      </c>
    </row>
    <row r="36">
      <c r="A36" t="inlineStr">
        <is>
          <t>URL: https://www.irs.gov/statistics/soi-tax-stats-individual-income-tax-returns-publication-1304-complete-report (verified 200 OK 2026-05-18).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`composite`. From the IRS Table 1.4 long form (AGI bin -&gt; number_of_returns),</t>
        </is>
      </c>
    </row>
    <row r="41">
      <c r="A41" t="inlineStr">
        <is>
          <t>the workbook computes:</t>
        </is>
      </c>
    </row>
    <row r="42">
      <c r="A42" t="inlineStr">
        <is>
          <t>1. Bin midpoint (arithmetic) for each AGI range.</t>
        </is>
      </c>
    </row>
    <row r="43">
      <c r="A43" t="inlineStr">
        <is>
          <t>2. Frequency = n_returns_i / total.</t>
        </is>
      </c>
    </row>
    <row r="44">
      <c r="A44" t="inlineStr">
        <is>
          <t>3. Cumulative frequency from below.</t>
        </is>
      </c>
    </row>
    <row r="45">
      <c r="A45" t="inlineStr">
        <is>
          <t>4. Cumulative frequency from above = 1 - (3).</t>
        </is>
      </c>
    </row>
    <row r="46">
      <c r="A46" t="inlineStr"/>
    </row>
    <row r="47">
      <c r="A47" t="inlineStr">
        <is>
          <t>S1702-A loads the column "Cumulative Frequency from Above" (column FPR017_C5).</t>
        </is>
      </c>
    </row>
    <row r="48">
      <c r="A48" t="inlineStr">
        <is>
          <t>This corrects an earlier replication whose reference values pointed to the</t>
        </is>
      </c>
    </row>
    <row r="49">
      <c r="A49" t="inlineStr">
        <is>
          <t>Frequency column (FPR017_C3).</t>
        </is>
      </c>
    </row>
    <row r="50">
      <c r="A50" t="inlineStr"/>
    </row>
    <row r="51">
      <c r="A51" t="inlineStr">
        <is>
          <t>## 5. Year coverage</t>
        </is>
      </c>
    </row>
    <row r="52">
      <c r="A52" t="inlineStr"/>
    </row>
    <row r="53">
      <c r="A53" t="inlineStr">
        <is>
          <t>`year_range = [2011, 2011]` — single tax year, cross-sectional.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`cumulative_probability_from_above_dimensionless`, plotted on a natural-log</t>
        </is>
      </c>
    </row>
    <row r="58">
      <c r="A58" t="inlineStr">
        <is>
          <t>y-axis vs bin midpoint in USD (arithmetic x-axis).</t>
        </is>
      </c>
    </row>
    <row r="59">
      <c r="A59" t="inlineStr"/>
    </row>
    <row r="60">
      <c r="A60" t="inlineStr">
        <is>
          <t>## 7. Caveats</t>
        </is>
      </c>
    </row>
    <row r="61">
      <c r="A61" t="inlineStr"/>
    </row>
    <row r="62">
      <c r="A62" t="inlineStr">
        <is>
          <t>1. **Column-fix.** Use column F (FPR017_C5), not column D (frequency).</t>
        </is>
      </c>
    </row>
    <row r="63">
      <c r="A63" t="inlineStr">
        <is>
          <t>2. **Top open-ended bin '$10,000,000 or more'** has no midpoint in the</t>
        </is>
      </c>
    </row>
    <row r="64">
      <c r="A64" t="inlineStr">
        <is>
          <t xml:space="preserve">   spreadsheet and is dropped (handled in S1703 logic; S1702 filter naturally</t>
        </is>
      </c>
    </row>
    <row r="65">
      <c r="A65" t="inlineStr">
        <is>
          <t xml:space="preserve">   excludes it since midpoint &lt; $200k threshold).</t>
        </is>
      </c>
    </row>
    <row r="66">
      <c r="A66" t="inlineStr">
        <is>
          <t>3. **No extension** — cross_sectional content_type; future tax years are</t>
        </is>
      </c>
    </row>
    <row r="67">
      <c r="A67" t="inlineStr">
        <is>
          <t xml:space="preserve">   separate series, not extensions.</t>
        </is>
      </c>
    </row>
    <row r="68">
      <c r="A68" t="inlineStr"/>
    </row>
    <row r="69">
      <c r="A69" t="inlineStr">
        <is>
          <t>## 8. Cross-references</t>
        </is>
      </c>
    </row>
    <row r="70">
      <c r="A70" t="inlineStr"/>
    </row>
    <row r="71">
      <c r="A71" t="inlineStr">
        <is>
          <t>- Earlier replications used the identifier S103</t>
        </is>
      </c>
    </row>
    <row r="72">
      <c r="A72" t="inlineStr">
        <is>
          <t>- Book: p. 752 (figure), 900 (Appendix 17.1 method)</t>
        </is>
      </c>
    </row>
    <row r="73">
      <c r="A73" t="inlineStr">
        <is>
          <t>- Companion: S1703 (top tail, Pareto)</t>
        </is>
      </c>
    </row>
    <row r="74">
      <c r="A74" t="inlineStr"/>
    </row>
    <row r="75">
      <c r="A75" t="inlineStr">
        <is>
          <t>## 9. Validation expectation</t>
        </is>
      </c>
    </row>
    <row r="76">
      <c r="A76" t="inlineStr"/>
    </row>
    <row r="77">
      <c r="A77" t="inlineStr">
        <is>
          <t>Tolerance ±0.5% on cell-by-cell match against workbook column F. Achieved:</t>
        </is>
      </c>
    </row>
    <row r="78">
      <c r="A78" t="inlineStr">
        <is>
          <t>MAE 0.0, max 0.0%, n=17. PASS. Spot-checks all match to 4 decimal</t>
        </is>
      </c>
    </row>
    <row r="79">
      <c r="A79" t="inlineStr">
        <is>
          <t>places.</t>
        </is>
      </c>
    </row>
    <row r="82">
      <c r="A82" s="4">
        <f>== EPR: S1702_EPR.md ===</f>
        <v/>
      </c>
    </row>
    <row r="83">
      <c r="A83" t="inlineStr">
        <is>
          <t># S1702 — Extension Provenance Record</t>
        </is>
      </c>
    </row>
    <row r="84">
      <c r="A84" t="inlineStr"/>
    </row>
    <row r="85">
      <c r="A85" t="inlineStr">
        <is>
          <t>**Construction**: `composite`</t>
        </is>
      </c>
    </row>
    <row r="86">
      <c r="A86" t="inlineStr">
        <is>
          <t>**Content type**: `cross_sectional`</t>
        </is>
      </c>
    </row>
    <row r="87">
      <c r="A87" t="inlineStr">
        <is>
          <t>**Extension method**: `not_applicable_cross_sectional`</t>
        </is>
      </c>
    </row>
    <row r="88">
      <c r="A88" t="inlineStr">
        <is>
          <t>**Status v1**: complete (no extension to perform)</t>
        </is>
      </c>
    </row>
    <row r="89">
      <c r="A89" t="inlineStr"/>
    </row>
    <row r="90">
      <c r="A90" t="inlineStr">
        <is>
          <t>---</t>
        </is>
      </c>
    </row>
    <row r="91">
      <c r="A91" t="inlineStr"/>
    </row>
    <row r="92">
      <c r="A92" t="inlineStr">
        <is>
          <t>## 1. Why this series cannot be extended</t>
        </is>
      </c>
    </row>
    <row r="93">
      <c r="A93" t="inlineStr"/>
    </row>
    <row r="94">
      <c r="A94" t="inlineStr">
        <is>
          <t>S1702 is a cross-sectional snapshot at a single tax year (2011). Under the</t>
        </is>
      </c>
    </row>
    <row r="95">
      <c r="A95" t="inlineStr">
        <is>
          <t>rule that extensions apply only to time-series data, cross-sectional</t>
        </is>
      </c>
    </row>
    <row r="96">
      <c r="A96" t="inlineStr">
        <is>
          <t>snapshots are not extended — each subsequent IRS Statistics of Income (SOI)</t>
        </is>
      </c>
    </row>
    <row r="97">
      <c r="A97" t="inlineStr">
        <is>
          <t>release (Publication 1304, Tax Year YYYY) is a separate series, not a</t>
        </is>
      </c>
    </row>
    <row r="98">
      <c r="A98" t="inlineStr">
        <is>
          <t>continuation.</t>
        </is>
      </c>
    </row>
    <row r="99">
      <c r="A99" t="inlineStr"/>
    </row>
    <row r="100">
      <c r="A100" t="inlineStr">
        <is>
          <t>## 2. Future-tax-year reconstruction (not an extension)</t>
        </is>
      </c>
    </row>
    <row r="101">
      <c r="A101" t="inlineStr"/>
    </row>
    <row r="102">
      <c r="A102" t="inlineStr">
        <is>
          <t>A user wishing to update Figure 17.2 to a more recent tax year would:</t>
        </is>
      </c>
    </row>
    <row r="103">
      <c r="A103" t="inlineStr">
        <is>
          <t>1. Download IRS SOI Pub 1304 Table 1.4 for the desired year.</t>
        </is>
      </c>
    </row>
    <row r="104">
      <c r="A104" t="inlineStr">
        <is>
          <t>2. Apply the same bin-midpoint -&gt; frequency -&gt; cum-from-above pipeline.</t>
        </is>
      </c>
    </row>
    <row r="105">
      <c r="A105" t="inlineStr">
        <is>
          <t>3. Register it as a separate cross-sectional series.</t>
        </is>
      </c>
    </row>
    <row r="106">
      <c r="A106" t="inlineStr"/>
    </row>
    <row r="107">
      <c r="A107" t="inlineStr">
        <is>
          <t>This is NOT an extension of S1702 and would be a new RSCD series.</t>
        </is>
      </c>
    </row>
    <row r="108">
      <c r="A108" t="inlineStr"/>
    </row>
    <row r="109">
      <c r="A109" t="inlineStr">
        <is>
          <t>## 3. Source substitutions and forecast data</t>
        </is>
      </c>
    </row>
    <row r="110">
      <c r="A110" t="inlineStr"/>
    </row>
    <row r="111">
      <c r="A111" t="inlineStr">
        <is>
          <t>The IRS is itself the canonical authoritative source. No substitution</t>
        </is>
      </c>
    </row>
    <row r="112">
      <c r="A112" t="inlineStr">
        <is>
          <t>required. The open-ended $10M+ bin has no midpoint in the workbook and is</t>
        </is>
      </c>
    </row>
    <row r="113">
      <c r="A113" t="inlineStr">
        <is>
          <t>not imputed (no value invented).</t>
        </is>
      </c>
    </row>
    <row r="114">
      <c r="A114" t="inlineStr"/>
    </row>
    <row r="115">
      <c r="A115" t="inlineStr">
        <is>
          <t>## 4. Divergence from earlier replications</t>
        </is>
      </c>
    </row>
    <row r="116">
      <c r="A116" t="inlineStr"/>
    </row>
    <row r="117">
      <c r="A117" t="inlineStr">
        <is>
          <t>An earlier replication's S103 reference values were the Frequency column</t>
        </is>
      </c>
    </row>
    <row r="118">
      <c r="A118" t="inlineStr">
        <is>
          <t>(FPR017_C3), not the Cumulative-from-Above (FPR017_C5). This is corrected</t>
        </is>
      </c>
    </row>
    <row r="119">
      <c r="A119" t="inlineStr">
        <is>
          <t>here; RSCD v1 uses column F and matches to &lt;0.01%.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44" customWidth="1" min="6" max="6"/>
    <col width="22" customWidth="1" min="7" max="7"/>
    <col width="39" customWidth="1" min="8" max="8"/>
    <col width="3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S1702-A</t>
        </is>
      </c>
      <c r="B2" t="inlineStr">
        <is>
          <t>IRS_SOI_2011_PUB1304_TABLE_1_4</t>
        </is>
      </c>
      <c r="C2" t="inlineStr">
        <is>
          <t>IRS Statistics of Income — Publication 1304 (Complete Report), Tax Year 2011, Table 1.4</t>
        </is>
      </c>
      <c r="D2" t="inlineStr">
        <is>
          <t>U.S. Internal Revenue Service, Statistics of Income Division</t>
        </is>
      </c>
      <c r="E2" t="inlineStr">
        <is>
          <t>https://www.irs.gov/statistics/soi-tax-stats-individual-income-tax-returns-publication-1304-complete-report</t>
        </is>
      </c>
      <c r="F2" t="inlineStr">
        <is>
          <t>number_of_returns (count) by AGI bin (USD)</t>
        </is>
      </c>
      <c r="G2" t="inlineStr">
        <is>
          <t>annual cross-section</t>
        </is>
      </c>
      <c r="H2" t="inlineStr">
        <is>
          <t>U.S. federal government public domain</t>
        </is>
      </c>
      <c r="I2" t="inlineStr">
        <is>
          <t>verbatim from salvage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S1702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cross_sectional</t>
        </is>
      </c>
    </row>
    <row r="7">
      <c r="A7" t="inlineStr">
        <is>
          <t>comparison_basis</t>
        </is>
      </c>
      <c r="B7" t="inlineStr">
        <is>
          <t>Appendix17_USIRS2011.xlsx 'Cumulative Frequency from Above' (FPR017_C5), midpoint &lt; $200k</t>
        </is>
      </c>
    </row>
    <row r="8">
      <c r="A8" t="inlineStr">
        <is>
          <t>n_compared</t>
        </is>
      </c>
      <c r="B8" t="n">
        <v>17</v>
      </c>
    </row>
    <row r="9">
      <c r="A9" t="inlineStr">
        <is>
          <t>mae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divergences</t>
        </is>
      </c>
      <c r="B12" t="inlineStr">
        <is>
          <t>[]</t>
        </is>
      </c>
    </row>
    <row r="13">
      <c r="A13" t="inlineStr">
        <is>
          <t>spot_check_phase4</t>
        </is>
      </c>
      <c r="B13" t="inlineStr">
        <is>
          <t>{"1000": {"expected": 0.95536, "got": 0.95536, "diff_pct": 0.0003}, "22500": {"expected": 0.5835, "got": 0.5835, "diff_pct": 0.0004}, "62500": {"expected": 0.21588, "got": 0.21588, "diff_pct": 0.001}, "150000": {"expected": 0.03233, "got": 0.03233, "diff_pct": 0.005}}</t>
        </is>
      </c>
    </row>
    <row r="14">
      <c r="A14" t="inlineStr">
        <is>
          <t>column_fix</t>
        </is>
      </c>
      <c r="B14" t="inlineStr">
        <is>
          <t>FPR017_C3 (Frequency) -&gt; FPR017_C5 (Cumulative from Above) applied</t>
        </is>
      </c>
    </row>
    <row r="15">
      <c r="A15" t="inlineStr">
        <is>
          <t>cd2_comparison</t>
        </is>
      </c>
      <c r="B15" t="inlineStr">
        <is>
          <t>{"note": "CD2 S103 reference_values were the Frequency column, not survival; corrected here."}</t>
        </is>
      </c>
    </row>
    <row r="16">
      <c r="A16" t="inlineStr">
        <is>
          <t>validated_at</t>
        </is>
      </c>
      <c r="B16" t="inlineStr">
        <is>
          <t>2026-07-11T03:44:23.932160+00:00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S1702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IRS_SOI_2011_PUB1304_TABLE_1_4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book_verified</t>
        </is>
      </c>
    </row>
    <row r="8">
      <c r="A8" t="inlineStr">
        <is>
          <t>triage</t>
        </is>
      </c>
      <c r="B8" t="inlineStr">
        <is>
          <t>{"verdict": "publish", "reason": "KB-verified: figure 17.2 caption and in-text passage (p.752) match; IRS SOI Publication 1304 Table 1.4 (2011) sourcing confirmed; $10M+ open bin dropped (anti-synthetic). Verbatim quotes match.", "date": "2026-06-11"}</t>
        </is>
      </c>
    </row>
    <row r="9">
      <c r="A9" t="inlineStr">
        <is>
          <t>dpr</t>
        </is>
      </c>
      <c r="B9" t="inlineStr">
        <is>
          <t>Technical/docs/series/S1702_DPR.md</t>
        </is>
      </c>
    </row>
    <row r="10">
      <c r="A10" t="inlineStr">
        <is>
          <t>epr</t>
        </is>
      </c>
      <c r="B10" t="inlineStr">
        <is>
          <t>Technical/docs/series/S1702_EPR.md</t>
        </is>
      </c>
    </row>
    <row r="11">
      <c r="A11" t="inlineStr">
        <is>
          <t>notes</t>
        </is>
      </c>
      <c r="B11" t="inlineStr">
        <is>
          <t>Fig 17.2; column-fix applied (FPR017_C3 -&gt; FPR017_C5); $10M+ open bin dropped (anti-synthetic).</t>
        </is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units</t>
        </is>
      </c>
      <c r="B13" t="inlineStr">
        <is>
          <t>cumulative_probability_from_above_dimensionless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2026-07-19T13:16:05Z</dcterms:created>
  <dcterms:modified xmlns:dcterms="http://purl.org/dc/terms/" xmlns:xsi="http://www.w3.org/2001/XMLSchema-instance" xsi:type="dcterms:W3CDTF">2026-07-19T13:16:05Z</dcterms:modified>
</cp:coreProperties>
</file>
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S1606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'Data'!$A$4:$A$36</f>
            </numRef>
          </cat>
          <val>
            <numRef>
              <f>'Data'!$B$4:$B$36</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'Data'!$A$4:$A$36</f>
            </numRef>
          </cat>
          <val>
            <numRef>
              <f>'Data'!$C$4:$C$36</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cols>
    <col width="57" customWidth="1" min="1" max="1"/>
    <col width="21" customWidth="1" min="2" max="2"/>
    <col width="21" customWidth="1" min="3" max="3"/>
    <col width="22" customWidth="1" min="4" max="4"/>
    <col width="34" customWidth="1" min="5" max="5"/>
  </cols>
  <sheetData>
    <row r="1">
      <c r="A1" s="1" t="inlineStr">
        <is>
          <t>S1606 — annual values (long form below pivot)</t>
        </is>
      </c>
    </row>
    <row r="2"/>
    <row r="3">
      <c r="A3" s="2" t="inlineStr">
        <is>
          <t>year</t>
        </is>
      </c>
      <c r="B3" s="2" t="inlineStr">
        <is>
          <t>S1606-A</t>
        </is>
      </c>
      <c r="C3" s="2" t="inlineStr">
        <is>
          <t>S1606-B</t>
        </is>
      </c>
    </row>
    <row r="4">
      <c r="A4" t="n">
        <v>1980</v>
      </c>
      <c r="B4" t="n">
        <v>0.15739</v>
      </c>
      <c r="C4" t="n">
        <v>0.108748</v>
      </c>
    </row>
    <row r="5">
      <c r="A5" t="n">
        <v>1981</v>
      </c>
      <c r="B5" t="n">
        <v>0.15540175</v>
      </c>
      <c r="C5" t="n">
        <v>0.10601775</v>
      </c>
    </row>
    <row r="6">
      <c r="A6" t="n">
        <v>1982</v>
      </c>
      <c r="B6" t="n">
        <v>0.15677475</v>
      </c>
      <c r="C6" t="n">
        <v>0.106308</v>
      </c>
    </row>
    <row r="7">
      <c r="A7" t="n">
        <v>1983</v>
      </c>
      <c r="B7" t="n">
        <v>0.15612025</v>
      </c>
      <c r="C7" t="n">
        <v>0.1053775</v>
      </c>
    </row>
    <row r="8">
      <c r="A8" t="n">
        <v>1984</v>
      </c>
      <c r="B8" t="n">
        <v>0.15843725</v>
      </c>
      <c r="C8" t="n">
        <v>0.10822075</v>
      </c>
    </row>
    <row r="9">
      <c r="A9" t="n">
        <v>1985</v>
      </c>
      <c r="B9" t="n">
        <v>0.16905625</v>
      </c>
      <c r="C9" t="n">
        <v>0.1162425</v>
      </c>
    </row>
    <row r="10">
      <c r="A10" t="n">
        <v>1986</v>
      </c>
      <c r="B10" t="n">
        <v>0.17553325</v>
      </c>
      <c r="C10" t="n">
        <v>0.121106</v>
      </c>
    </row>
    <row r="11">
      <c r="A11" t="n">
        <v>1987</v>
      </c>
      <c r="B11" t="n">
        <v>0.177148</v>
      </c>
      <c r="C11" t="n">
        <v>0.121772</v>
      </c>
    </row>
    <row r="12">
      <c r="A12" t="n">
        <v>1988</v>
      </c>
      <c r="B12" t="n">
        <v>0.17311325</v>
      </c>
      <c r="C12" t="n">
        <v>0.11907925</v>
      </c>
    </row>
    <row r="13">
      <c r="A13" t="n">
        <v>1989</v>
      </c>
      <c r="B13" t="n">
        <v>0.1723015</v>
      </c>
      <c r="C13" t="n">
        <v>0.1189205</v>
      </c>
    </row>
    <row r="14">
      <c r="A14" t="n">
        <v>1990</v>
      </c>
      <c r="B14" t="n">
        <v>0.1727835</v>
      </c>
      <c r="C14" t="n">
        <v>0.11901625</v>
      </c>
    </row>
    <row r="15">
      <c r="A15" t="n">
        <v>1991</v>
      </c>
      <c r="B15" t="n">
        <v>0.17090875</v>
      </c>
      <c r="C15" t="n">
        <v>0.1164925</v>
      </c>
    </row>
    <row r="16">
      <c r="A16" t="n">
        <v>1992</v>
      </c>
      <c r="B16" t="n">
        <v>0.16322675</v>
      </c>
      <c r="C16" t="n">
        <v>0.1094835</v>
      </c>
    </row>
    <row r="17">
      <c r="A17" t="n">
        <v>1993</v>
      </c>
      <c r="B17" t="n">
        <v>0.16084525</v>
      </c>
      <c r="C17" t="n">
        <v>0.10738275</v>
      </c>
    </row>
    <row r="18">
      <c r="A18" t="n">
        <v>1994</v>
      </c>
      <c r="B18" t="n">
        <v>0.16244825</v>
      </c>
      <c r="C18" t="n">
        <v>0.108507</v>
      </c>
    </row>
    <row r="19">
      <c r="A19" t="n">
        <v>1995</v>
      </c>
      <c r="B19" t="n">
        <v>0.168517</v>
      </c>
      <c r="C19" t="n">
        <v>0.11438</v>
      </c>
    </row>
    <row r="20">
      <c r="A20" t="n">
        <v>1996</v>
      </c>
      <c r="B20" t="n">
        <v>0.17103525</v>
      </c>
      <c r="C20" t="n">
        <v>0.11742175</v>
      </c>
    </row>
    <row r="21">
      <c r="A21" t="n">
        <v>1997</v>
      </c>
      <c r="B21" t="n">
        <v>0.17207375</v>
      </c>
      <c r="C21" t="n">
        <v>0.118277</v>
      </c>
    </row>
    <row r="22">
      <c r="A22" t="n">
        <v>1998</v>
      </c>
      <c r="B22" t="n">
        <v>0.16888575</v>
      </c>
      <c r="C22" t="n">
        <v>0.11681925</v>
      </c>
    </row>
    <row r="23">
      <c r="A23" t="n">
        <v>1999</v>
      </c>
      <c r="B23" t="n">
        <v>0.17185075</v>
      </c>
      <c r="C23" t="n">
        <v>0.11960875</v>
      </c>
    </row>
    <row r="24">
      <c r="A24" t="n">
        <v>2000</v>
      </c>
      <c r="B24" t="n">
        <v>0.17254675</v>
      </c>
      <c r="C24" t="n">
        <v>0.12193375</v>
      </c>
    </row>
    <row r="25">
      <c r="A25" t="n">
        <v>2001</v>
      </c>
      <c r="B25" t="n">
        <v>0.17825325</v>
      </c>
      <c r="C25" t="n">
        <v>0.12730925</v>
      </c>
    </row>
    <row r="26">
      <c r="A26" t="n">
        <v>2002</v>
      </c>
      <c r="B26" t="n">
        <v>0.17949575</v>
      </c>
      <c r="C26" t="n">
        <v>0.12959575</v>
      </c>
    </row>
    <row r="27">
      <c r="A27" t="n">
        <v>2003</v>
      </c>
      <c r="B27" t="n">
        <v>0.17853275</v>
      </c>
      <c r="C27" t="n">
        <v>0.13071525</v>
      </c>
    </row>
    <row r="28">
      <c r="A28" t="n">
        <v>2004</v>
      </c>
      <c r="B28" t="n">
        <v>0.178251</v>
      </c>
      <c r="C28" t="n">
        <v>0.131595</v>
      </c>
    </row>
    <row r="29">
      <c r="A29" t="n">
        <v>2005</v>
      </c>
      <c r="B29" t="n">
        <v>0.18299725</v>
      </c>
      <c r="C29" t="n">
        <v>0.13600175</v>
      </c>
    </row>
    <row r="30">
      <c r="A30" t="n">
        <v>2006</v>
      </c>
      <c r="B30" t="n">
        <v>0.185696</v>
      </c>
      <c r="C30" t="n">
        <v>0.13847375</v>
      </c>
    </row>
    <row r="31">
      <c r="A31" t="n">
        <v>2007</v>
      </c>
      <c r="B31" t="n">
        <v>0.18870375</v>
      </c>
      <c r="C31" t="n">
        <v>0.1400785</v>
      </c>
    </row>
    <row r="32">
      <c r="A32" t="n">
        <v>2008</v>
      </c>
      <c r="B32" t="n">
        <v>0.18325675</v>
      </c>
      <c r="C32" t="n">
        <v>0.13517075</v>
      </c>
    </row>
    <row r="33">
      <c r="A33" t="n">
        <v>2009</v>
      </c>
      <c r="B33" t="n">
        <v>0.18420275</v>
      </c>
      <c r="C33" t="n">
        <v>0.13243175</v>
      </c>
    </row>
    <row r="34">
      <c r="A34" t="n">
        <v>2010</v>
      </c>
      <c r="B34" t="n">
        <v>0.17050475</v>
      </c>
      <c r="C34" t="n">
        <v>0.1200655</v>
      </c>
    </row>
    <row r="35">
      <c r="A35" t="n">
        <v>2011</v>
      </c>
      <c r="B35" t="n">
        <v>0.16100775</v>
      </c>
      <c r="C35" t="n">
        <v>0.11071</v>
      </c>
    </row>
    <row r="36">
      <c r="A36" t="n">
        <v>2012</v>
      </c>
      <c r="B36" t="n">
        <v>0.157033</v>
      </c>
      <c r="C36" t="n">
        <v>0.105969</v>
      </c>
    </row>
    <row r="37"/>
    <row r="38"/>
    <row r="39"/>
    <row r="40">
      <c r="A40" s="1" t="inlineStr">
        <is>
          <t>Long form (year, value, subseries_id, source_id, units)</t>
        </is>
      </c>
    </row>
    <row r="41">
      <c r="A41" s="3" t="inlineStr">
        <is>
          <t>year</t>
        </is>
      </c>
      <c r="B41" s="3" t="inlineStr">
        <is>
          <t>value</t>
        </is>
      </c>
      <c r="C41" s="3" t="inlineStr">
        <is>
          <t>subseries_id</t>
        </is>
      </c>
      <c r="D41" s="3" t="inlineStr">
        <is>
          <t>source_id</t>
        </is>
      </c>
      <c r="E41" s="3" t="inlineStr">
        <is>
          <t>units</t>
        </is>
      </c>
    </row>
    <row r="42">
      <c r="A42" t="n">
        <v>1980</v>
      </c>
      <c r="B42" t="n">
        <v>0.15739</v>
      </c>
      <c r="C42" t="inlineStr">
        <is>
          <t>S1606-A</t>
        </is>
      </c>
      <c r="D42" t="inlineStr">
        <is>
          <t>SHAIKH_APPENDIX_16_2</t>
        </is>
      </c>
      <c r="E42" t="inlineStr">
        <is>
          <t>decimal_annual_mean_of_quarterly</t>
        </is>
      </c>
    </row>
    <row r="43">
      <c r="A43" t="n">
        <v>1981</v>
      </c>
      <c r="B43" t="n">
        <v>0.15540175</v>
      </c>
      <c r="C43" t="inlineStr">
        <is>
          <t>S1606-A</t>
        </is>
      </c>
      <c r="D43" t="inlineStr">
        <is>
          <t>SHAIKH_APPENDIX_16_2</t>
        </is>
      </c>
      <c r="E43" t="inlineStr">
        <is>
          <t>decimal_annual_mean_of_quarterly</t>
        </is>
      </c>
    </row>
    <row r="44">
      <c r="A44" t="n">
        <v>1982</v>
      </c>
      <c r="B44" t="n">
        <v>0.15677475</v>
      </c>
      <c r="C44" t="inlineStr">
        <is>
          <t>S1606-A</t>
        </is>
      </c>
      <c r="D44" t="inlineStr">
        <is>
          <t>SHAIKH_APPENDIX_16_2</t>
        </is>
      </c>
      <c r="E44" t="inlineStr">
        <is>
          <t>decimal_annual_mean_of_quarterly</t>
        </is>
      </c>
    </row>
    <row r="45">
      <c r="A45" t="n">
        <v>1983</v>
      </c>
      <c r="B45" t="n">
        <v>0.15612025</v>
      </c>
      <c r="C45" t="inlineStr">
        <is>
          <t>S1606-A</t>
        </is>
      </c>
      <c r="D45" t="inlineStr">
        <is>
          <t>SHAIKH_APPENDIX_16_2</t>
        </is>
      </c>
      <c r="E45" t="inlineStr">
        <is>
          <t>decimal_annual_mean_of_quarterly</t>
        </is>
      </c>
    </row>
    <row r="46">
      <c r="A46" t="n">
        <v>1984</v>
      </c>
      <c r="B46" t="n">
        <v>0.15843725</v>
      </c>
      <c r="C46" t="inlineStr">
        <is>
          <t>S1606-A</t>
        </is>
      </c>
      <c r="D46" t="inlineStr">
        <is>
          <t>SHAIKH_APPENDIX_16_2</t>
        </is>
      </c>
      <c r="E46" t="inlineStr">
        <is>
          <t>decimal_annual_mean_of_quarterly</t>
        </is>
      </c>
    </row>
    <row r="47">
      <c r="A47" t="n">
        <v>1985</v>
      </c>
      <c r="B47" t="n">
        <v>0.16905625</v>
      </c>
      <c r="C47" t="inlineStr">
        <is>
          <t>S1606-A</t>
        </is>
      </c>
      <c r="D47" t="inlineStr">
        <is>
          <t>SHAIKH_APPENDIX_16_2</t>
        </is>
      </c>
      <c r="E47" t="inlineStr">
        <is>
          <t>decimal_annual_mean_of_quarterly</t>
        </is>
      </c>
    </row>
    <row r="48">
      <c r="A48" t="n">
        <v>1986</v>
      </c>
      <c r="B48" t="n">
        <v>0.17553325</v>
      </c>
      <c r="C48" t="inlineStr">
        <is>
          <t>S1606-A</t>
        </is>
      </c>
      <c r="D48" t="inlineStr">
        <is>
          <t>SHAIKH_APPENDIX_16_2</t>
        </is>
      </c>
      <c r="E48" t="inlineStr">
        <is>
          <t>decimal_annual_mean_of_quarterly</t>
        </is>
      </c>
    </row>
    <row r="49">
      <c r="A49" t="n">
        <v>1987</v>
      </c>
      <c r="B49" t="n">
        <v>0.177148</v>
      </c>
      <c r="C49" t="inlineStr">
        <is>
          <t>S1606-A</t>
        </is>
      </c>
      <c r="D49" t="inlineStr">
        <is>
          <t>SHAIKH_APPENDIX_16_2</t>
        </is>
      </c>
      <c r="E49" t="inlineStr">
        <is>
          <t>decimal_annual_mean_of_quarterly</t>
        </is>
      </c>
    </row>
    <row r="50">
      <c r="A50" t="n">
        <v>1988</v>
      </c>
      <c r="B50" t="n">
        <v>0.17311325</v>
      </c>
      <c r="C50" t="inlineStr">
        <is>
          <t>S1606-A</t>
        </is>
      </c>
      <c r="D50" t="inlineStr">
        <is>
          <t>SHAIKH_APPENDIX_16_2</t>
        </is>
      </c>
      <c r="E50" t="inlineStr">
        <is>
          <t>decimal_annual_mean_of_quarterly</t>
        </is>
      </c>
    </row>
    <row r="51">
      <c r="A51" t="n">
        <v>1989</v>
      </c>
      <c r="B51" t="n">
        <v>0.1723015</v>
      </c>
      <c r="C51" t="inlineStr">
        <is>
          <t>S1606-A</t>
        </is>
      </c>
      <c r="D51" t="inlineStr">
        <is>
          <t>SHAIKH_APPENDIX_16_2</t>
        </is>
      </c>
      <c r="E51" t="inlineStr">
        <is>
          <t>decimal_annual_mean_of_quarterly</t>
        </is>
      </c>
    </row>
    <row r="52">
      <c r="A52" t="n">
        <v>1990</v>
      </c>
      <c r="B52" t="n">
        <v>0.1727835</v>
      </c>
      <c r="C52" t="inlineStr">
        <is>
          <t>S1606-A</t>
        </is>
      </c>
      <c r="D52" t="inlineStr">
        <is>
          <t>SHAIKH_APPENDIX_16_2</t>
        </is>
      </c>
      <c r="E52" t="inlineStr">
        <is>
          <t>decimal_annual_mean_of_quarterly</t>
        </is>
      </c>
    </row>
    <row r="53">
      <c r="A53" t="n">
        <v>1991</v>
      </c>
      <c r="B53" t="n">
        <v>0.17090875</v>
      </c>
      <c r="C53" t="inlineStr">
        <is>
          <t>S1606-A</t>
        </is>
      </c>
      <c r="D53" t="inlineStr">
        <is>
          <t>SHAIKH_APPENDIX_16_2</t>
        </is>
      </c>
      <c r="E53" t="inlineStr">
        <is>
          <t>decimal_annual_mean_of_quarterly</t>
        </is>
      </c>
    </row>
    <row r="54">
      <c r="A54" t="n">
        <v>1992</v>
      </c>
      <c r="B54" t="n">
        <v>0.16322675</v>
      </c>
      <c r="C54" t="inlineStr">
        <is>
          <t>S1606-A</t>
        </is>
      </c>
      <c r="D54" t="inlineStr">
        <is>
          <t>SHAIKH_APPENDIX_16_2</t>
        </is>
      </c>
      <c r="E54" t="inlineStr">
        <is>
          <t>decimal_annual_mean_of_quarterly</t>
        </is>
      </c>
    </row>
    <row r="55">
      <c r="A55" t="n">
        <v>1993</v>
      </c>
      <c r="B55" t="n">
        <v>0.16084525</v>
      </c>
      <c r="C55" t="inlineStr">
        <is>
          <t>S1606-A</t>
        </is>
      </c>
      <c r="D55" t="inlineStr">
        <is>
          <t>SHAIKH_APPENDIX_16_2</t>
        </is>
      </c>
      <c r="E55" t="inlineStr">
        <is>
          <t>decimal_annual_mean_of_quarterly</t>
        </is>
      </c>
    </row>
    <row r="56">
      <c r="A56" t="n">
        <v>1994</v>
      </c>
      <c r="B56" t="n">
        <v>0.16244825</v>
      </c>
      <c r="C56" t="inlineStr">
        <is>
          <t>S1606-A</t>
        </is>
      </c>
      <c r="D56" t="inlineStr">
        <is>
          <t>SHAIKH_APPENDIX_16_2</t>
        </is>
      </c>
      <c r="E56" t="inlineStr">
        <is>
          <t>decimal_annual_mean_of_quarterly</t>
        </is>
      </c>
    </row>
    <row r="57">
      <c r="A57" t="n">
        <v>1995</v>
      </c>
      <c r="B57" t="n">
        <v>0.168517</v>
      </c>
      <c r="C57" t="inlineStr">
        <is>
          <t>S1606-A</t>
        </is>
      </c>
      <c r="D57" t="inlineStr">
        <is>
          <t>SHAIKH_APPENDIX_16_2</t>
        </is>
      </c>
      <c r="E57" t="inlineStr">
        <is>
          <t>decimal_annual_mean_of_quarterly</t>
        </is>
      </c>
    </row>
    <row r="58">
      <c r="A58" t="n">
        <v>1996</v>
      </c>
      <c r="B58" t="n">
        <v>0.17103525</v>
      </c>
      <c r="C58" t="inlineStr">
        <is>
          <t>S1606-A</t>
        </is>
      </c>
      <c r="D58" t="inlineStr">
        <is>
          <t>SHAIKH_APPENDIX_16_2</t>
        </is>
      </c>
      <c r="E58" t="inlineStr">
        <is>
          <t>decimal_annual_mean_of_quarterly</t>
        </is>
      </c>
    </row>
    <row r="59">
      <c r="A59" t="n">
        <v>1997</v>
      </c>
      <c r="B59" t="n">
        <v>0.17207375</v>
      </c>
      <c r="C59" t="inlineStr">
        <is>
          <t>S1606-A</t>
        </is>
      </c>
      <c r="D59" t="inlineStr">
        <is>
          <t>SHAIKH_APPENDIX_16_2</t>
        </is>
      </c>
      <c r="E59" t="inlineStr">
        <is>
          <t>decimal_annual_mean_of_quarterly</t>
        </is>
      </c>
    </row>
    <row r="60">
      <c r="A60" t="n">
        <v>1998</v>
      </c>
      <c r="B60" t="n">
        <v>0.16888575</v>
      </c>
      <c r="C60" t="inlineStr">
        <is>
          <t>S1606-A</t>
        </is>
      </c>
      <c r="D60" t="inlineStr">
        <is>
          <t>SHAIKH_APPENDIX_16_2</t>
        </is>
      </c>
      <c r="E60" t="inlineStr">
        <is>
          <t>decimal_annual_mean_of_quarterly</t>
        </is>
      </c>
    </row>
    <row r="61">
      <c r="A61" t="n">
        <v>1999</v>
      </c>
      <c r="B61" t="n">
        <v>0.17185075</v>
      </c>
      <c r="C61" t="inlineStr">
        <is>
          <t>S1606-A</t>
        </is>
      </c>
      <c r="D61" t="inlineStr">
        <is>
          <t>SHAIKH_APPENDIX_16_2</t>
        </is>
      </c>
      <c r="E61" t="inlineStr">
        <is>
          <t>decimal_annual_mean_of_quarterly</t>
        </is>
      </c>
    </row>
    <row r="62">
      <c r="A62" t="n">
        <v>2000</v>
      </c>
      <c r="B62" t="n">
        <v>0.17254675</v>
      </c>
      <c r="C62" t="inlineStr">
        <is>
          <t>S1606-A</t>
        </is>
      </c>
      <c r="D62" t="inlineStr">
        <is>
          <t>SHAIKH_APPENDIX_16_2</t>
        </is>
      </c>
      <c r="E62" t="inlineStr">
        <is>
          <t>decimal_annual_mean_of_quarterly</t>
        </is>
      </c>
    </row>
    <row r="63">
      <c r="A63" t="n">
        <v>2001</v>
      </c>
      <c r="B63" t="n">
        <v>0.17825325</v>
      </c>
      <c r="C63" t="inlineStr">
        <is>
          <t>S1606-A</t>
        </is>
      </c>
      <c r="D63" t="inlineStr">
        <is>
          <t>SHAIKH_APPENDIX_16_2</t>
        </is>
      </c>
      <c r="E63" t="inlineStr">
        <is>
          <t>decimal_annual_mean_of_quarterly</t>
        </is>
      </c>
    </row>
    <row r="64">
      <c r="A64" t="n">
        <v>2002</v>
      </c>
      <c r="B64" t="n">
        <v>0.17949575</v>
      </c>
      <c r="C64" t="inlineStr">
        <is>
          <t>S1606-A</t>
        </is>
      </c>
      <c r="D64" t="inlineStr">
        <is>
          <t>SHAIKH_APPENDIX_16_2</t>
        </is>
      </c>
      <c r="E64" t="inlineStr">
        <is>
          <t>decimal_annual_mean_of_quarterly</t>
        </is>
      </c>
    </row>
    <row r="65">
      <c r="A65" t="n">
        <v>2003</v>
      </c>
      <c r="B65" t="n">
        <v>0.17853275</v>
      </c>
      <c r="C65" t="inlineStr">
        <is>
          <t>S1606-A</t>
        </is>
      </c>
      <c r="D65" t="inlineStr">
        <is>
          <t>SHAIKH_APPENDIX_16_2</t>
        </is>
      </c>
      <c r="E65" t="inlineStr">
        <is>
          <t>decimal_annual_mean_of_quarterly</t>
        </is>
      </c>
    </row>
    <row r="66">
      <c r="A66" t="n">
        <v>2004</v>
      </c>
      <c r="B66" t="n">
        <v>0.178251</v>
      </c>
      <c r="C66" t="inlineStr">
        <is>
          <t>S1606-A</t>
        </is>
      </c>
      <c r="D66" t="inlineStr">
        <is>
          <t>SHAIKH_APPENDIX_16_2</t>
        </is>
      </c>
      <c r="E66" t="inlineStr">
        <is>
          <t>decimal_annual_mean_of_quarterly</t>
        </is>
      </c>
    </row>
    <row r="67">
      <c r="A67" t="n">
        <v>2005</v>
      </c>
      <c r="B67" t="n">
        <v>0.18299725</v>
      </c>
      <c r="C67" t="inlineStr">
        <is>
          <t>S1606-A</t>
        </is>
      </c>
      <c r="D67" t="inlineStr">
        <is>
          <t>SHAIKH_APPENDIX_16_2</t>
        </is>
      </c>
      <c r="E67" t="inlineStr">
        <is>
          <t>decimal_annual_mean_of_quarterly</t>
        </is>
      </c>
    </row>
    <row r="68">
      <c r="A68" t="n">
        <v>2006</v>
      </c>
      <c r="B68" t="n">
        <v>0.185696</v>
      </c>
      <c r="C68" t="inlineStr">
        <is>
          <t>S1606-A</t>
        </is>
      </c>
      <c r="D68" t="inlineStr">
        <is>
          <t>SHAIKH_APPENDIX_16_2</t>
        </is>
      </c>
      <c r="E68" t="inlineStr">
        <is>
          <t>decimal_annual_mean_of_quarterly</t>
        </is>
      </c>
    </row>
    <row r="69">
      <c r="A69" t="n">
        <v>2007</v>
      </c>
      <c r="B69" t="n">
        <v>0.18870375</v>
      </c>
      <c r="C69" t="inlineStr">
        <is>
          <t>S1606-A</t>
        </is>
      </c>
      <c r="D69" t="inlineStr">
        <is>
          <t>SHAIKH_APPENDIX_16_2</t>
        </is>
      </c>
      <c r="E69" t="inlineStr">
        <is>
          <t>decimal_annual_mean_of_quarterly</t>
        </is>
      </c>
    </row>
    <row r="70">
      <c r="A70" t="n">
        <v>2008</v>
      </c>
      <c r="B70" t="n">
        <v>0.18325675</v>
      </c>
      <c r="C70" t="inlineStr">
        <is>
          <t>S1606-A</t>
        </is>
      </c>
      <c r="D70" t="inlineStr">
        <is>
          <t>SHAIKH_APPENDIX_16_2</t>
        </is>
      </c>
      <c r="E70" t="inlineStr">
        <is>
          <t>decimal_annual_mean_of_quarterly</t>
        </is>
      </c>
    </row>
    <row r="71">
      <c r="A71" t="n">
        <v>2009</v>
      </c>
      <c r="B71" t="n">
        <v>0.18420275</v>
      </c>
      <c r="C71" t="inlineStr">
        <is>
          <t>S1606-A</t>
        </is>
      </c>
      <c r="D71" t="inlineStr">
        <is>
          <t>SHAIKH_APPENDIX_16_2</t>
        </is>
      </c>
      <c r="E71" t="inlineStr">
        <is>
          <t>decimal_annual_mean_of_quarterly</t>
        </is>
      </c>
    </row>
    <row r="72">
      <c r="A72" t="n">
        <v>2010</v>
      </c>
      <c r="B72" t="n">
        <v>0.17050475</v>
      </c>
      <c r="C72" t="inlineStr">
        <is>
          <t>S1606-A</t>
        </is>
      </c>
      <c r="D72" t="inlineStr">
        <is>
          <t>SHAIKH_APPENDIX_16_2</t>
        </is>
      </c>
      <c r="E72" t="inlineStr">
        <is>
          <t>decimal_annual_mean_of_quarterly</t>
        </is>
      </c>
    </row>
    <row r="73">
      <c r="A73" t="n">
        <v>2011</v>
      </c>
      <c r="B73" t="n">
        <v>0.16100775</v>
      </c>
      <c r="C73" t="inlineStr">
        <is>
          <t>S1606-A</t>
        </is>
      </c>
      <c r="D73" t="inlineStr">
        <is>
          <t>SHAIKH_APPENDIX_16_2</t>
        </is>
      </c>
      <c r="E73" t="inlineStr">
        <is>
          <t>decimal_annual_mean_of_quarterly</t>
        </is>
      </c>
    </row>
    <row r="74">
      <c r="A74" t="n">
        <v>2012</v>
      </c>
      <c r="B74" t="n">
        <v>0.157033</v>
      </c>
      <c r="C74" t="inlineStr">
        <is>
          <t>S1606-A</t>
        </is>
      </c>
      <c r="D74" t="inlineStr">
        <is>
          <t>SHAIKH_APPENDIX_16_2</t>
        </is>
      </c>
      <c r="E74" t="inlineStr">
        <is>
          <t>decimal_annual_mean_of_quarterly</t>
        </is>
      </c>
    </row>
    <row r="75">
      <c r="A75" t="n">
        <v>1980</v>
      </c>
      <c r="B75" t="n">
        <v>0.108748</v>
      </c>
      <c r="C75" t="inlineStr">
        <is>
          <t>S1606-B</t>
        </is>
      </c>
      <c r="D75" t="inlineStr">
        <is>
          <t>SHAIKH_APPENDIX_16_2</t>
        </is>
      </c>
      <c r="E75" t="inlineStr">
        <is>
          <t>decimal_annual_mean_of_quarterly</t>
        </is>
      </c>
    </row>
    <row r="76">
      <c r="A76" t="n">
        <v>1981</v>
      </c>
      <c r="B76" t="n">
        <v>0.10601775</v>
      </c>
      <c r="C76" t="inlineStr">
        <is>
          <t>S1606-B</t>
        </is>
      </c>
      <c r="D76" t="inlineStr">
        <is>
          <t>SHAIKH_APPENDIX_16_2</t>
        </is>
      </c>
      <c r="E76" t="inlineStr">
        <is>
          <t>decimal_annual_mean_of_quarterly</t>
        </is>
      </c>
    </row>
    <row r="77">
      <c r="A77" t="n">
        <v>1982</v>
      </c>
      <c r="B77" t="n">
        <v>0.106308</v>
      </c>
      <c r="C77" t="inlineStr">
        <is>
          <t>S1606-B</t>
        </is>
      </c>
      <c r="D77" t="inlineStr">
        <is>
          <t>SHAIKH_APPENDIX_16_2</t>
        </is>
      </c>
      <c r="E77" t="inlineStr">
        <is>
          <t>decimal_annual_mean_of_quarterly</t>
        </is>
      </c>
    </row>
    <row r="78">
      <c r="A78" t="n">
        <v>1983</v>
      </c>
      <c r="B78" t="n">
        <v>0.1053775</v>
      </c>
      <c r="C78" t="inlineStr">
        <is>
          <t>S1606-B</t>
        </is>
      </c>
      <c r="D78" t="inlineStr">
        <is>
          <t>SHAIKH_APPENDIX_16_2</t>
        </is>
      </c>
      <c r="E78" t="inlineStr">
        <is>
          <t>decimal_annual_mean_of_quarterly</t>
        </is>
      </c>
    </row>
    <row r="79">
      <c r="A79" t="n">
        <v>1984</v>
      </c>
      <c r="B79" t="n">
        <v>0.10822075</v>
      </c>
      <c r="C79" t="inlineStr">
        <is>
          <t>S1606-B</t>
        </is>
      </c>
      <c r="D79" t="inlineStr">
        <is>
          <t>SHAIKH_APPENDIX_16_2</t>
        </is>
      </c>
      <c r="E79" t="inlineStr">
        <is>
          <t>decimal_annual_mean_of_quarterly</t>
        </is>
      </c>
    </row>
    <row r="80">
      <c r="A80" t="n">
        <v>1985</v>
      </c>
      <c r="B80" t="n">
        <v>0.1162425</v>
      </c>
      <c r="C80" t="inlineStr">
        <is>
          <t>S1606-B</t>
        </is>
      </c>
      <c r="D80" t="inlineStr">
        <is>
          <t>SHAIKH_APPENDIX_16_2</t>
        </is>
      </c>
      <c r="E80" t="inlineStr">
        <is>
          <t>decimal_annual_mean_of_quarterly</t>
        </is>
      </c>
    </row>
    <row r="81">
      <c r="A81" t="n">
        <v>1986</v>
      </c>
      <c r="B81" t="n">
        <v>0.121106</v>
      </c>
      <c r="C81" t="inlineStr">
        <is>
          <t>S1606-B</t>
        </is>
      </c>
      <c r="D81" t="inlineStr">
        <is>
          <t>SHAIKH_APPENDIX_16_2</t>
        </is>
      </c>
      <c r="E81" t="inlineStr">
        <is>
          <t>decimal_annual_mean_of_quarterly</t>
        </is>
      </c>
    </row>
    <row r="82">
      <c r="A82" t="n">
        <v>1987</v>
      </c>
      <c r="B82" t="n">
        <v>0.121772</v>
      </c>
      <c r="C82" t="inlineStr">
        <is>
          <t>S1606-B</t>
        </is>
      </c>
      <c r="D82" t="inlineStr">
        <is>
          <t>SHAIKH_APPENDIX_16_2</t>
        </is>
      </c>
      <c r="E82" t="inlineStr">
        <is>
          <t>decimal_annual_mean_of_quarterly</t>
        </is>
      </c>
    </row>
    <row r="83">
      <c r="A83" t="n">
        <v>1988</v>
      </c>
      <c r="B83" t="n">
        <v>0.11907925</v>
      </c>
      <c r="C83" t="inlineStr">
        <is>
          <t>S1606-B</t>
        </is>
      </c>
      <c r="D83" t="inlineStr">
        <is>
          <t>SHAIKH_APPENDIX_16_2</t>
        </is>
      </c>
      <c r="E83" t="inlineStr">
        <is>
          <t>decimal_annual_mean_of_quarterly</t>
        </is>
      </c>
    </row>
    <row r="84">
      <c r="A84" t="n">
        <v>1989</v>
      </c>
      <c r="B84" t="n">
        <v>0.1189205</v>
      </c>
      <c r="C84" t="inlineStr">
        <is>
          <t>S1606-B</t>
        </is>
      </c>
      <c r="D84" t="inlineStr">
        <is>
          <t>SHAIKH_APPENDIX_16_2</t>
        </is>
      </c>
      <c r="E84" t="inlineStr">
        <is>
          <t>decimal_annual_mean_of_quarterly</t>
        </is>
      </c>
    </row>
    <row r="85">
      <c r="A85" t="n">
        <v>1990</v>
      </c>
      <c r="B85" t="n">
        <v>0.11901625</v>
      </c>
      <c r="C85" t="inlineStr">
        <is>
          <t>S1606-B</t>
        </is>
      </c>
      <c r="D85" t="inlineStr">
        <is>
          <t>SHAIKH_APPENDIX_16_2</t>
        </is>
      </c>
      <c r="E85" t="inlineStr">
        <is>
          <t>decimal_annual_mean_of_quarterly</t>
        </is>
      </c>
    </row>
    <row r="86">
      <c r="A86" t="n">
        <v>1991</v>
      </c>
      <c r="B86" t="n">
        <v>0.1164925</v>
      </c>
      <c r="C86" t="inlineStr">
        <is>
          <t>S1606-B</t>
        </is>
      </c>
      <c r="D86" t="inlineStr">
        <is>
          <t>SHAIKH_APPENDIX_16_2</t>
        </is>
      </c>
      <c r="E86" t="inlineStr">
        <is>
          <t>decimal_annual_mean_of_quarterly</t>
        </is>
      </c>
    </row>
    <row r="87">
      <c r="A87" t="n">
        <v>1992</v>
      </c>
      <c r="B87" t="n">
        <v>0.1094835</v>
      </c>
      <c r="C87" t="inlineStr">
        <is>
          <t>S1606-B</t>
        </is>
      </c>
      <c r="D87" t="inlineStr">
        <is>
          <t>SHAIKH_APPENDIX_16_2</t>
        </is>
      </c>
      <c r="E87" t="inlineStr">
        <is>
          <t>decimal_annual_mean_of_quarterly</t>
        </is>
      </c>
    </row>
    <row r="88">
      <c r="A88" t="n">
        <v>1993</v>
      </c>
      <c r="B88" t="n">
        <v>0.10738275</v>
      </c>
      <c r="C88" t="inlineStr">
        <is>
          <t>S1606-B</t>
        </is>
      </c>
      <c r="D88" t="inlineStr">
        <is>
          <t>SHAIKH_APPENDIX_16_2</t>
        </is>
      </c>
      <c r="E88" t="inlineStr">
        <is>
          <t>decimal_annual_mean_of_quarterly</t>
        </is>
      </c>
    </row>
    <row r="89">
      <c r="A89" t="n">
        <v>1994</v>
      </c>
      <c r="B89" t="n">
        <v>0.108507</v>
      </c>
      <c r="C89" t="inlineStr">
        <is>
          <t>S1606-B</t>
        </is>
      </c>
      <c r="D89" t="inlineStr">
        <is>
          <t>SHAIKH_APPENDIX_16_2</t>
        </is>
      </c>
      <c r="E89" t="inlineStr">
        <is>
          <t>decimal_annual_mean_of_quarterly</t>
        </is>
      </c>
    </row>
    <row r="90">
      <c r="A90" t="n">
        <v>1995</v>
      </c>
      <c r="B90" t="n">
        <v>0.11438</v>
      </c>
      <c r="C90" t="inlineStr">
        <is>
          <t>S1606-B</t>
        </is>
      </c>
      <c r="D90" t="inlineStr">
        <is>
          <t>SHAIKH_APPENDIX_16_2</t>
        </is>
      </c>
      <c r="E90" t="inlineStr">
        <is>
          <t>decimal_annual_mean_of_quarterly</t>
        </is>
      </c>
    </row>
    <row r="91">
      <c r="A91" t="n">
        <v>1996</v>
      </c>
      <c r="B91" t="n">
        <v>0.11742175</v>
      </c>
      <c r="C91" t="inlineStr">
        <is>
          <t>S1606-B</t>
        </is>
      </c>
      <c r="D91" t="inlineStr">
        <is>
          <t>SHAIKH_APPENDIX_16_2</t>
        </is>
      </c>
      <c r="E91" t="inlineStr">
        <is>
          <t>decimal_annual_mean_of_quarterly</t>
        </is>
      </c>
    </row>
    <row r="92">
      <c r="A92" t="n">
        <v>1997</v>
      </c>
      <c r="B92" t="n">
        <v>0.118277</v>
      </c>
      <c r="C92" t="inlineStr">
        <is>
          <t>S1606-B</t>
        </is>
      </c>
      <c r="D92" t="inlineStr">
        <is>
          <t>SHAIKH_APPENDIX_16_2</t>
        </is>
      </c>
      <c r="E92" t="inlineStr">
        <is>
          <t>decimal_annual_mean_of_quarterly</t>
        </is>
      </c>
    </row>
    <row r="93">
      <c r="A93" t="n">
        <v>1998</v>
      </c>
      <c r="B93" t="n">
        <v>0.11681925</v>
      </c>
      <c r="C93" t="inlineStr">
        <is>
          <t>S1606-B</t>
        </is>
      </c>
      <c r="D93" t="inlineStr">
        <is>
          <t>SHAIKH_APPENDIX_16_2</t>
        </is>
      </c>
      <c r="E93" t="inlineStr">
        <is>
          <t>decimal_annual_mean_of_quarterly</t>
        </is>
      </c>
    </row>
    <row r="94">
      <c r="A94" t="n">
        <v>1999</v>
      </c>
      <c r="B94" t="n">
        <v>0.11960875</v>
      </c>
      <c r="C94" t="inlineStr">
        <is>
          <t>S1606-B</t>
        </is>
      </c>
      <c r="D94" t="inlineStr">
        <is>
          <t>SHAIKH_APPENDIX_16_2</t>
        </is>
      </c>
      <c r="E94" t="inlineStr">
        <is>
          <t>decimal_annual_mean_of_quarterly</t>
        </is>
      </c>
    </row>
    <row r="95">
      <c r="A95" t="n">
        <v>2000</v>
      </c>
      <c r="B95" t="n">
        <v>0.12193375</v>
      </c>
      <c r="C95" t="inlineStr">
        <is>
          <t>S1606-B</t>
        </is>
      </c>
      <c r="D95" t="inlineStr">
        <is>
          <t>SHAIKH_APPENDIX_16_2</t>
        </is>
      </c>
      <c r="E95" t="inlineStr">
        <is>
          <t>decimal_annual_mean_of_quarterly</t>
        </is>
      </c>
    </row>
    <row r="96">
      <c r="A96" t="n">
        <v>2001</v>
      </c>
      <c r="B96" t="n">
        <v>0.12730925</v>
      </c>
      <c r="C96" t="inlineStr">
        <is>
          <t>S1606-B</t>
        </is>
      </c>
      <c r="D96" t="inlineStr">
        <is>
          <t>SHAIKH_APPENDIX_16_2</t>
        </is>
      </c>
      <c r="E96" t="inlineStr">
        <is>
          <t>decimal_annual_mean_of_quarterly</t>
        </is>
      </c>
    </row>
    <row r="97">
      <c r="A97" t="n">
        <v>2002</v>
      </c>
      <c r="B97" t="n">
        <v>0.12959575</v>
      </c>
      <c r="C97" t="inlineStr">
        <is>
          <t>S1606-B</t>
        </is>
      </c>
      <c r="D97" t="inlineStr">
        <is>
          <t>SHAIKH_APPENDIX_16_2</t>
        </is>
      </c>
      <c r="E97" t="inlineStr">
        <is>
          <t>decimal_annual_mean_of_quarterly</t>
        </is>
      </c>
    </row>
    <row r="98">
      <c r="A98" t="n">
        <v>2003</v>
      </c>
      <c r="B98" t="n">
        <v>0.13071525</v>
      </c>
      <c r="C98" t="inlineStr">
        <is>
          <t>S1606-B</t>
        </is>
      </c>
      <c r="D98" t="inlineStr">
        <is>
          <t>SHAIKH_APPENDIX_16_2</t>
        </is>
      </c>
      <c r="E98" t="inlineStr">
        <is>
          <t>decimal_annual_mean_of_quarterly</t>
        </is>
      </c>
    </row>
    <row r="99">
      <c r="A99" t="n">
        <v>2004</v>
      </c>
      <c r="B99" t="n">
        <v>0.131595</v>
      </c>
      <c r="C99" t="inlineStr">
        <is>
          <t>S1606-B</t>
        </is>
      </c>
      <c r="D99" t="inlineStr">
        <is>
          <t>SHAIKH_APPENDIX_16_2</t>
        </is>
      </c>
      <c r="E99" t="inlineStr">
        <is>
          <t>decimal_annual_mean_of_quarterly</t>
        </is>
      </c>
    </row>
    <row r="100">
      <c r="A100" t="n">
        <v>2005</v>
      </c>
      <c r="B100" t="n">
        <v>0.13600175</v>
      </c>
      <c r="C100" t="inlineStr">
        <is>
          <t>S1606-B</t>
        </is>
      </c>
      <c r="D100" t="inlineStr">
        <is>
          <t>SHAIKH_APPENDIX_16_2</t>
        </is>
      </c>
      <c r="E100" t="inlineStr">
        <is>
          <t>decimal_annual_mean_of_quarterly</t>
        </is>
      </c>
    </row>
    <row r="101">
      <c r="A101" t="n">
        <v>2006</v>
      </c>
      <c r="B101" t="n">
        <v>0.13847375</v>
      </c>
      <c r="C101" t="inlineStr">
        <is>
          <t>S1606-B</t>
        </is>
      </c>
      <c r="D101" t="inlineStr">
        <is>
          <t>SHAIKH_APPENDIX_16_2</t>
        </is>
      </c>
      <c r="E101" t="inlineStr">
        <is>
          <t>decimal_annual_mean_of_quarterly</t>
        </is>
      </c>
    </row>
    <row r="102">
      <c r="A102" t="n">
        <v>2007</v>
      </c>
      <c r="B102" t="n">
        <v>0.1400785</v>
      </c>
      <c r="C102" t="inlineStr">
        <is>
          <t>S1606-B</t>
        </is>
      </c>
      <c r="D102" t="inlineStr">
        <is>
          <t>SHAIKH_APPENDIX_16_2</t>
        </is>
      </c>
      <c r="E102" t="inlineStr">
        <is>
          <t>decimal_annual_mean_of_quarterly</t>
        </is>
      </c>
    </row>
    <row r="103">
      <c r="A103" t="n">
        <v>2008</v>
      </c>
      <c r="B103" t="n">
        <v>0.13517075</v>
      </c>
      <c r="C103" t="inlineStr">
        <is>
          <t>S1606-B</t>
        </is>
      </c>
      <c r="D103" t="inlineStr">
        <is>
          <t>SHAIKH_APPENDIX_16_2</t>
        </is>
      </c>
      <c r="E103" t="inlineStr">
        <is>
          <t>decimal_annual_mean_of_quarterly</t>
        </is>
      </c>
    </row>
    <row r="104">
      <c r="A104" t="n">
        <v>2009</v>
      </c>
      <c r="B104" t="n">
        <v>0.13243175</v>
      </c>
      <c r="C104" t="inlineStr">
        <is>
          <t>S1606-B</t>
        </is>
      </c>
      <c r="D104" t="inlineStr">
        <is>
          <t>SHAIKH_APPENDIX_16_2</t>
        </is>
      </c>
      <c r="E104" t="inlineStr">
        <is>
          <t>decimal_annual_mean_of_quarterly</t>
        </is>
      </c>
    </row>
    <row r="105">
      <c r="A105" t="n">
        <v>2010</v>
      </c>
      <c r="B105" t="n">
        <v>0.1200655</v>
      </c>
      <c r="C105" t="inlineStr">
        <is>
          <t>S1606-B</t>
        </is>
      </c>
      <c r="D105" t="inlineStr">
        <is>
          <t>SHAIKH_APPENDIX_16_2</t>
        </is>
      </c>
      <c r="E105" t="inlineStr">
        <is>
          <t>decimal_annual_mean_of_quarterly</t>
        </is>
      </c>
    </row>
    <row r="106">
      <c r="A106" t="n">
        <v>2011</v>
      </c>
      <c r="B106" t="n">
        <v>0.11071</v>
      </c>
      <c r="C106" t="inlineStr">
        <is>
          <t>S1606-B</t>
        </is>
      </c>
      <c r="D106" t="inlineStr">
        <is>
          <t>SHAIKH_APPENDIX_16_2</t>
        </is>
      </c>
      <c r="E106" t="inlineStr">
        <is>
          <t>decimal_annual_mean_of_quarterly</t>
        </is>
      </c>
    </row>
    <row r="107">
      <c r="A107" t="n">
        <v>2012</v>
      </c>
      <c r="B107" t="n">
        <v>0.105969</v>
      </c>
      <c r="C107" t="inlineStr">
        <is>
          <t>S1606-B</t>
        </is>
      </c>
      <c r="D107" t="inlineStr">
        <is>
          <t>SHAIKH_APPENDIX_16_2</t>
        </is>
      </c>
      <c r="E107" t="inlineStr">
        <is>
          <t>decimal_annual_mean_of_quarterly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62"/>
  <sheetViews>
    <sheetView workbookViewId="0">
      <selection activeCell="A1" sqref="A1"/>
    </sheetView>
  </sheetViews>
  <sheetFormatPr baseColWidth="8" defaultRowHeight="15"/>
  <cols>
    <col width="100" customWidth="1" min="1" max="1"/>
  </cols>
  <sheetData>
    <row r="1">
      <c r="A1" s="1" t="inlineStr">
        <is>
          <t>S1606 — Methodology</t>
        </is>
      </c>
    </row>
    <row r="3">
      <c r="A3" s="4">
        <f>== DPR: S1606_DPR.md ===</f>
        <v/>
      </c>
    </row>
    <row r="4">
      <c r="A4" t="inlineStr">
        <is>
          <t># S1606 — Household Debt-Service Ratio</t>
        </is>
      </c>
    </row>
    <row r="5">
      <c r="A5" t="inlineStr"/>
    </row>
    <row r="6">
      <c r="A6" t="inlineStr">
        <is>
          <t>**Data Provenance Record (DPR)**</t>
        </is>
      </c>
    </row>
    <row r="7">
      <c r="A7" t="inlineStr">
        <is>
          <t>**Phase**: 5 (Ingestion)</t>
        </is>
      </c>
    </row>
    <row r="8">
      <c r="A8" t="inlineStr">
        <is>
          <t>**Series ID**: S1606</t>
        </is>
      </c>
    </row>
    <row r="9">
      <c r="A9" t="inlineStr">
        <is>
          <t>**Status**: book_period_validated</t>
        </is>
      </c>
    </row>
    <row r="10">
      <c r="A10" t="inlineStr">
        <is>
          <t>**Authored**: 2026-05-18</t>
        </is>
      </c>
    </row>
    <row r="11">
      <c r="A11" t="inlineStr">
        <is>
          <t>**Author**: opus-subagent-ch16-fanout</t>
        </is>
      </c>
    </row>
    <row r="12">
      <c r="A12" t="inlineStr"/>
    </row>
    <row r="13">
      <c r="A13" t="inlineStr">
        <is>
          <t>---</t>
        </is>
      </c>
    </row>
    <row r="14">
      <c r="A14" t="inlineStr"/>
    </row>
    <row r="15">
      <c r="A15" t="inlineStr">
        <is>
          <t>## 1. Definition</t>
        </is>
      </c>
    </row>
    <row r="16">
      <c r="A16" t="inlineStr"/>
    </row>
    <row r="17">
      <c r="A17" t="inlineStr">
        <is>
          <t>**S1606** is the quarterly seasonally-adjusted Household Debt Service Ratio (DSR) and Financial Obligations Ratio (FOR), US, 1980Q1-2024, as published by the Federal Reserve Board. **Figure 16.10** ("Household Debt-Service Ratio, 1980-2012") plots the post-1985 rise in household servicing burden which eventually triggered the 2007 default wave.</t>
        </is>
      </c>
    </row>
    <row r="18">
      <c r="A18" t="inlineStr"/>
    </row>
    <row r="19">
      <c r="A19" t="inlineStr">
        <is>
          <t>**Emission cadence**: the shipped chopped emits the **annual mean** of the quarterly Fed series (33 obs per subseries, 1980-2012), consistent with the annual cadence used across Chapter 16. The underlying book figure (Fig 16.10) is quarterly; a quarterly emission and the FRED extension to 2024 are **deferred to Phase 6** (see §3). (Note: the registry declares `native_units: decimal_quarterly` for S1606-A/-B while the shipped chopped is `decimal_annual_mean_of_quarterly` — flagged for the registry owner; DF-2 does not touch the registry.)</t>
        </is>
      </c>
    </row>
    <row r="20">
      <c r="A20" t="inlineStr"/>
    </row>
    <row r="21">
      <c r="A21" t="inlineStr">
        <is>
          <t>## 2. Why it matters in Chapter 16</t>
        </is>
      </c>
    </row>
    <row r="22">
      <c r="A22" t="inlineStr"/>
    </row>
    <row r="23">
      <c r="A23" t="inlineStr">
        <is>
          <t>Higher debt loads imply higher debt-service burdens, but for two decades after 1980 falling interest rates offset rising debt — the debt-service ratio in 2000 was no higher than in 1985 (Shaikh 2016, p. 735). The post-2000 surge in S1606 reflects the moment when even falling rates could no longer offset the debt accumulation, presaging the 2007 default cascade. S1606 is the chapter's most direct empirical link to the proximate cause of the 2007 crisis.</t>
        </is>
      </c>
    </row>
    <row r="24">
      <c r="A24" t="inlineStr"/>
    </row>
    <row r="25">
      <c r="A25" t="inlineStr">
        <is>
          <t>## 3. Sources (per subseries)</t>
        </is>
      </c>
    </row>
    <row r="26">
      <c r="A26" t="inlineStr"/>
    </row>
    <row r="27">
      <c r="A27" t="inlineStr">
        <is>
          <t>The shipped chopped carries **two book-period subseries (A, B — both annual means, 1980-2012, 33 obs each, sourced from `SHAIKH_APPENDIX_16_2`)**:</t>
        </is>
      </c>
    </row>
    <row r="28">
      <c r="A28" t="inlineStr"/>
    </row>
    <row r="29">
      <c r="A29" t="inlineStr">
        <is>
          <t>| Subseries | Coverage | Publisher / Series ID | Native units | Retrieval |</t>
        </is>
      </c>
    </row>
    <row r="30">
      <c r="A30" t="inlineStr">
        <is>
          <t>|---|---|---|---|---|</t>
        </is>
      </c>
    </row>
    <row r="31">
      <c r="A31" t="inlineStr">
        <is>
          <t>| **S1606-A** | 1980-2012 (annual, 33 obs) | Shaikh Appendix 16.2 — `Financial obligations ratio, seasonally adjusted` (FOR), annual mean of the four quarters | decimal (annual mean of quarterly) | Salvaged xlsx |</t>
        </is>
      </c>
    </row>
    <row r="32">
      <c r="A32" t="inlineStr">
        <is>
          <t>| **S1606-B** | 1980-2012 (annual, 33 obs) | Shaikh Appendix 16.2 — `Debt service ratio, seasonally adjusted` (DSR), annual mean of the four quarters | decimal (annual mean of quarterly) | Salvaged xlsx |</t>
        </is>
      </c>
    </row>
    <row r="33">
      <c r="A33" t="inlineStr"/>
    </row>
    <row r="34">
      <c r="A34" t="inlineStr">
        <is>
          <t>**No separate lettered annual variant exists** — the annual mean *is* S1606-A/-B as shipped (there is no phantom S1606-E). **Extensions deferred to Phase 6 (NOT shipped):** the FRED `FODSP` (FOR) and FRED `TDSP` (DSR) quarterly extensions to 2024 (earlier drafted as S1606-C/-D) are declared `extension_deferred_to_phase6: true` and are absent from the shipped chopped. The Fed identifier in the book (`FOR/FOR/DTFD%YPD.Q`) is the legacy DDP name; FRED `TDSP` and `FODSP` are the modern public mirrors that a Phase-6 extension would use. (Corrected 2026-07-02, campaign DF-2.)</t>
        </is>
      </c>
    </row>
    <row r="35">
      <c r="A35" t="inlineStr"/>
    </row>
    <row r="36">
      <c r="A36" t="inlineStr">
        <is>
          <t>## 4. Construction</t>
        </is>
      </c>
    </row>
    <row r="37">
      <c r="A37" t="inlineStr"/>
    </row>
    <row r="38">
      <c r="A38" t="inlineStr">
        <is>
          <t>S1606 as shipped is **direct**: the annual value for each subseries is the simple mean of the four quarterly Appendix 16.2 observations:</t>
        </is>
      </c>
    </row>
    <row r="39">
      <c r="A39" t="inlineStr"/>
    </row>
    <row r="40">
      <c r="A40" t="inlineStr">
        <is>
          <t>```</t>
        </is>
      </c>
    </row>
    <row r="41">
      <c r="A41" t="inlineStr">
        <is>
          <t>annual_mean_t = mean( quarterly_value_{t,Q1}, quarterly_value_{t,Q2},</t>
        </is>
      </c>
    </row>
    <row r="42">
      <c r="A42" t="inlineStr">
        <is>
          <t xml:space="preserve">                      quarterly_value_{t,Q3}, quarterly_value_{t,Q4} )</t>
        </is>
      </c>
    </row>
    <row r="43">
      <c r="A43" t="inlineStr">
        <is>
          <t>```</t>
        </is>
      </c>
    </row>
    <row r="44">
      <c r="A44" t="inlineStr"/>
    </row>
    <row r="45">
      <c r="A45" t="inlineStr">
        <is>
          <t>**Unit alignment**: Appendix 16.2 stores ratios in decimal form (0.111 = 11.1%). FRED publishes the same series in percent (11.1); a Phase-6 extension loader would convert FRED percent -&gt; decimal so book and extension values match in cadence and units.</t>
        </is>
      </c>
    </row>
    <row r="46">
      <c r="A46" t="inlineStr"/>
    </row>
    <row r="47">
      <c r="A47" t="inlineStr">
        <is>
          <t>## 5. Year coverage</t>
        </is>
      </c>
    </row>
    <row r="48">
      <c r="A48" t="inlineStr"/>
    </row>
    <row r="49">
      <c r="A49" t="inlineStr">
        <is>
          <t>- **Book period**: 1980-2012 (annual, 33 obs per subseries as shipped)</t>
        </is>
      </c>
    </row>
    <row r="50">
      <c r="A50" t="inlineStr">
        <is>
          <t>- **Extension period**: deferred to Phase 6 (FRED TDSP/FODSP quarterly to 2024 not yet shipped)</t>
        </is>
      </c>
    </row>
    <row r="51">
      <c r="A51" t="inlineStr">
        <is>
          <t>- **Total shipped**: 1980-2012 (annual; 66 rows across A+B)</t>
        </is>
      </c>
    </row>
    <row r="52">
      <c r="A52" t="inlineStr"/>
    </row>
    <row r="53">
      <c r="A53" t="inlineStr">
        <is>
          <t>## 6. Units</t>
        </is>
      </c>
    </row>
    <row r="54">
      <c r="A54" t="inlineStr"/>
    </row>
    <row r="55">
      <c r="A55" t="inlineStr">
        <is>
          <t>- **Shipped (annual)**: decimal annual mean of quarterly values (e.g. 0.111 = 11.1% of DPI)</t>
        </is>
      </c>
    </row>
    <row r="56">
      <c r="A56" t="inlineStr">
        <is>
          <t>- Fig 16.10 chart axis: percent (book convention is decimal × 100)</t>
        </is>
      </c>
    </row>
    <row r="57">
      <c r="A57" t="inlineStr"/>
    </row>
    <row r="58">
      <c r="A58" t="inlineStr">
        <is>
          <t>## 7. Caveats</t>
        </is>
      </c>
    </row>
    <row r="59">
      <c r="A59" t="inlineStr"/>
    </row>
    <row r="60">
      <c r="A60" t="inlineStr">
        <is>
          <t>1. **FOR &gt; DSR by construction.** Financial Obligations Ratio adds rent, auto leases, homeowner's insurance, and property tax to the debt-service base. Numerically FOR is always larger than DSR. Both series are emitted because Shaikh plots both at various points.</t>
        </is>
      </c>
    </row>
    <row r="61">
      <c r="A61" t="inlineStr">
        <is>
          <t>2. **Quarterly to annual aggregation**. The shipped annual series uses simple-mean of the four quarters, not end-of-period or weighted. Documented per the book's apparent convention (no explicit aggregation rule in Appendix 16.1).</t>
        </is>
      </c>
    </row>
    <row r="62">
      <c r="A62" t="inlineStr">
        <is>
          <t>3. **Direct continuation, no proxy.** TDSP and FODSP are the exact Fed-published series the book cites under the legacy DDP identifier `FOR/FOR/DTFD%YPD.Q`. Same agency, same release, same concept. `proxy: false`.</t>
        </is>
      </c>
    </row>
    <row r="63">
      <c r="A63" t="inlineStr">
        <is>
          <t>4. **Quarterly seasonality preserved.** Fed publishes SA versions; we use them directly. No additional X-13 seasonal adjustment.</t>
        </is>
      </c>
    </row>
    <row r="64">
      <c r="A64" t="inlineStr">
        <is>
          <t>5. **Unit conversion FRED -&gt; book**: FRED is percent (11.1), book Appendix is decimal (0.111). The loader divides by 100 to align.</t>
        </is>
      </c>
    </row>
    <row r="65">
      <c r="A65" t="inlineStr"/>
    </row>
    <row r="66">
      <c r="A66" t="inlineStr">
        <is>
          <t>## 8. Cross-references</t>
        </is>
      </c>
    </row>
    <row r="67">
      <c r="A67" t="inlineStr"/>
    </row>
    <row r="68">
      <c r="A68" t="inlineStr">
        <is>
          <t>- **CD legacy ID**: `S101`</t>
        </is>
      </c>
    </row>
    <row r="69">
      <c r="A69" t="inlineStr">
        <is>
          <t>- **CD2 legacy ID**: `S101` (2 subseries A-B)</t>
        </is>
      </c>
    </row>
    <row r="70">
      <c r="A70" t="inlineStr">
        <is>
          <t>- **Predecessor artifact**: `SalvagedInputs/extension_benchmarks/CD2_v1.3/Series/S101_*`</t>
        </is>
      </c>
    </row>
    <row r="71">
      <c r="A71" t="inlineStr">
        <is>
          <t>- **Book reference**: Shaikh (2016), Ch. 16, p. 735-736 (Fig 16.10); Appendix 16.1 p. 899; Appendix 16.2 HouseholdDebtService sheet</t>
        </is>
      </c>
    </row>
    <row r="72">
      <c r="A72" t="inlineStr">
        <is>
          <t>- **Paired with**: S1605 (Household Debt-to-Income Ratio) — same DPI denominator, parallel narrative</t>
        </is>
      </c>
    </row>
    <row r="73">
      <c r="A73" t="inlineStr"/>
    </row>
    <row r="74">
      <c r="A74" t="inlineStr">
        <is>
          <t>## 9. Validation expectation</t>
        </is>
      </c>
    </row>
    <row r="75">
      <c r="A75" t="inlineStr"/>
    </row>
    <row r="76">
      <c r="A76" t="inlineStr">
        <is>
          <t>- **Tolerance**: ±1.0% per year on S1606-A (FOR) and S1606-B (DSR) against the annual means of the Appendix 16.2 columns over 1980-2012.</t>
        </is>
      </c>
    </row>
    <row r="77">
      <c r="A77" t="inlineStr">
        <is>
          <t>- **Expected MAE**: ~0% (annual mean computed directly from the book quarterly columns).</t>
        </is>
      </c>
    </row>
    <row r="78">
      <c r="A78" t="inlineStr">
        <is>
          <t>- **Sample-year benchmarks (per CD2 S101 validation table)**: 1980, 1985, 2000, 2007, 2012 — annual means cross-checked against book.</t>
        </is>
      </c>
    </row>
    <row r="79">
      <c r="A79" t="inlineStr">
        <is>
          <t>- **FOR &gt; DSR ordering**: assertion `S1606-A[t] &gt;= S1606-B[t]` at every year (FOR always exceeds DSR by construction).</t>
        </is>
      </c>
    </row>
    <row r="82">
      <c r="A82" s="4">
        <f>== EPR: S1606_EPR.md ===</f>
        <v/>
      </c>
    </row>
    <row r="83">
      <c r="A83" t="inlineStr">
        <is>
          <t># S1606 — Extension Provenance Record</t>
        </is>
      </c>
    </row>
    <row r="84">
      <c r="A84" t="inlineStr"/>
    </row>
    <row r="85">
      <c r="A85" t="inlineStr">
        <is>
          <t>**Series**: S1606 — Household Debt-Service Ratio</t>
        </is>
      </c>
    </row>
    <row r="86">
      <c r="A86" t="inlineStr">
        <is>
          <t>**Phase**: 6 (Extension)</t>
        </is>
      </c>
    </row>
    <row r="87">
      <c r="A87" t="inlineStr">
        <is>
          <t>**Construction classification**: `direct`</t>
        </is>
      </c>
    </row>
    <row r="88">
      <c r="A88" t="inlineStr">
        <is>
          <t>**Extension method**: direct continuation via FRED `TDSP` and `FODSP` (the modern public mirrors of the Fed legacy DDP series the book cites); emit both quarterly (primary) and annual-mean (secondary) variants</t>
        </is>
      </c>
    </row>
    <row r="89">
      <c r="A89" t="inlineStr">
        <is>
          <t>**Authored**: 2026-05-18</t>
        </is>
      </c>
    </row>
    <row r="90">
      <c r="A90" t="inlineStr">
        <is>
          <t>**Author**: opus-subagent-ch16-fanout</t>
        </is>
      </c>
    </row>
    <row r="91">
      <c r="A91" t="inlineStr"/>
    </row>
    <row r="92">
      <c r="A92" t="inlineStr">
        <is>
          <t>---</t>
        </is>
      </c>
    </row>
    <row r="93">
      <c r="A93" t="inlineStr"/>
    </row>
    <row r="94">
      <c r="A94" t="inlineStr">
        <is>
          <t>## 1. Why this series is extendable</t>
        </is>
      </c>
    </row>
    <row r="95">
      <c r="A95" t="inlineStr"/>
    </row>
    <row r="96">
      <c r="A96" t="inlineStr">
        <is>
          <t>`time_series`. The Federal Reserve continues to publish the Household Debt Service and Financial Obligations Ratios quarterly without interruption since 1980. FRED republishes the two ratios as `TDSP` (DSR) and `FODSP` (FOR). No methodology change since 1980.</t>
        </is>
      </c>
    </row>
    <row r="97">
      <c r="A97" t="inlineStr"/>
    </row>
    <row r="98">
      <c r="A98" t="inlineStr">
        <is>
          <t>## 2. Construction classification</t>
        </is>
      </c>
    </row>
    <row r="99">
      <c r="A99" t="inlineStr"/>
    </row>
    <row r="100">
      <c r="A100" t="inlineStr">
        <is>
          <t>`direct` — single-source per subseries, no algebraic combination. Lazy-splice prohibition does not apply because the extension uses the *exact same observed series* the book cites (Fed legacy DDP `FOR/FOR/DTFD%YPD.Q` -&gt; FRED `TDSP`).</t>
        </is>
      </c>
    </row>
    <row r="101">
      <c r="A101" t="inlineStr"/>
    </row>
    <row r="102">
      <c r="A102" t="inlineStr">
        <is>
          <t>## 3. Method</t>
        </is>
      </c>
    </row>
    <row r="103">
      <c r="A103" t="inlineStr"/>
    </row>
    <row r="104">
      <c r="A104" t="inlineStr">
        <is>
          <t>```</t>
        </is>
      </c>
    </row>
    <row r="105">
      <c r="A105" t="inlineStr">
        <is>
          <t>INPUTS (each extension run, TTL=30d)</t>
        </is>
      </c>
    </row>
    <row r="106">
      <c r="A106" t="inlineStr">
        <is>
          <t xml:space="preserve">  FRED TDSP   quarterly SA, percent</t>
        </is>
      </c>
    </row>
    <row r="107">
      <c r="A107" t="inlineStr">
        <is>
          <t xml:space="preserve">  FRED FODSP  quarterly SA, percent</t>
        </is>
      </c>
    </row>
    <row r="108">
      <c r="A108" t="inlineStr"/>
    </row>
    <row r="109">
      <c r="A109" t="inlineStr">
        <is>
          <t>UNIT CONVERSION (FRED -&gt; book scale)</t>
        </is>
      </c>
    </row>
    <row r="110">
      <c r="A110" t="inlineStr">
        <is>
          <t xml:space="preserve">  tdsp_decimal_t  = TDSP_t  / 100.0     # 11.1 -&gt; 0.111</t>
        </is>
      </c>
    </row>
    <row r="111">
      <c r="A111" t="inlineStr">
        <is>
          <t xml:space="preserve">  fodsp_decimal_t = FODSP_t / 100.0</t>
        </is>
      </c>
    </row>
    <row r="112">
      <c r="A112" t="inlineStr"/>
    </row>
    <row r="113">
      <c r="A113" t="inlineStr">
        <is>
          <t>SPLICE (primary quarterly variant)</t>
        </is>
      </c>
    </row>
    <row r="114">
      <c r="A114" t="inlineStr">
        <is>
          <t xml:space="preserve">  S1606-A_extended[t] = book FOR[t]      for t in [1980Q1, 2012Q4]</t>
        </is>
      </c>
    </row>
    <row r="115">
      <c r="A115" t="inlineStr">
        <is>
          <t xml:space="preserve">  S1606-A_extended[t] = fodsp_decimal_t  for t in [2013Q1, 2024Q4]</t>
        </is>
      </c>
    </row>
    <row r="116">
      <c r="A116" t="inlineStr">
        <is>
          <t xml:space="preserve">  S1606-B_extended[t] = book DSR[t]      for t in [1980Q1, 2012Q4]</t>
        </is>
      </c>
    </row>
    <row r="117">
      <c r="A117" t="inlineStr">
        <is>
          <t xml:space="preserve">  S1606-B_extended[t] = tdsp_decimal_t   for t in [2013Q1, 2024Q4]</t>
        </is>
      </c>
    </row>
    <row r="118">
      <c r="A118" t="inlineStr"/>
    </row>
    <row r="119">
      <c r="A119" t="inlineStr">
        <is>
          <t>ANNUAL VARIANT (secondary)</t>
        </is>
      </c>
    </row>
    <row r="120">
      <c r="A120" t="inlineStr">
        <is>
          <t xml:space="preserve">  S1606-A_annual[year] = mean( S1606-A_extended[year-Q1..Q4] )</t>
        </is>
      </c>
    </row>
    <row r="121">
      <c r="A121" t="inlineStr">
        <is>
          <t xml:space="preserve">  S1606-B_annual[year] = mean( S1606-B_extended[year-Q1..Q4] )</t>
        </is>
      </c>
    </row>
    <row r="122">
      <c r="A122" t="inlineStr"/>
    </row>
    <row r="123">
      <c r="A123" t="inlineStr">
        <is>
          <t>OUTPUT</t>
        </is>
      </c>
    </row>
    <row r="124">
      <c r="A124" t="inlineStr">
        <is>
          <t xml:space="preserve">  Primary parquet (quarterly):  Technical/data/processed/S1606.parquet</t>
        </is>
      </c>
    </row>
    <row r="125">
      <c r="A125" t="inlineStr">
        <is>
          <t xml:space="preserve">                                  columns: year, quarter, qdate, value, subseries_id, source_id, units</t>
        </is>
      </c>
    </row>
    <row r="126">
      <c r="A126" t="inlineStr">
        <is>
          <t xml:space="preserve">  Secondary parquet (annual):   Technical/data/processed/S1606_annual.parquet</t>
        </is>
      </c>
    </row>
    <row r="127">
      <c r="A127" t="inlineStr">
        <is>
          <t xml:space="preserve">                                  columns: year, value, subseries_id, source_id, units</t>
        </is>
      </c>
    </row>
    <row r="128">
      <c r="A128" t="inlineStr">
        <is>
          <t>```</t>
        </is>
      </c>
    </row>
    <row r="129">
      <c r="A129" t="inlineStr"/>
    </row>
    <row r="130">
      <c r="A130" t="inlineStr">
        <is>
          <t>## 4. Component re-fetching</t>
        </is>
      </c>
    </row>
    <row r="131">
      <c r="A131" t="inlineStr"/>
    </row>
    <row r="132">
      <c r="A132" t="inlineStr">
        <is>
          <t>Every extension run re-pulls TDSP and FODSP from FRED at quarterly frequency. The annual variant is a deterministic average; recomputed from scratch each run (never persisted across runs without recompute).</t>
        </is>
      </c>
    </row>
    <row r="133">
      <c r="A133" t="inlineStr"/>
    </row>
    <row r="134">
      <c r="A134" t="inlineStr">
        <is>
          <t>## 5. Proxies</t>
        </is>
      </c>
    </row>
    <row r="135">
      <c r="A135" t="inlineStr"/>
    </row>
    <row r="136">
      <c r="A136" t="inlineStr">
        <is>
          <t>**None.** TDSP = the book's `DTFD%YPD.Q` identifier under FRED's modern naming. FODSP is the parallel FOR series cited in CD2 and tracked here. Both are direct Fed-published series. `proxy: false` on all subseries.</t>
        </is>
      </c>
    </row>
    <row r="137">
      <c r="A137" t="inlineStr"/>
    </row>
    <row r="138">
      <c r="A138" t="inlineStr">
        <is>
          <t>## 6. Synthetic data</t>
        </is>
      </c>
    </row>
    <row r="139">
      <c r="A139" t="inlineStr"/>
    </row>
    <row r="140">
      <c r="A140" t="inlineStr">
        <is>
          <t>**None permitted.** If FRED returns NaN for any quarter, the value is NaN in S1606. Annual variant tolerates up to 1 NaN quarter (averages over remaining); if 2 or more NaN, the annual value is NaN.</t>
        </is>
      </c>
    </row>
    <row r="141">
      <c r="A141" t="inlineStr"/>
    </row>
    <row r="142">
      <c r="A142" t="inlineStr">
        <is>
          <t>## 7. Failure modes &amp; graceful degradation</t>
        </is>
      </c>
    </row>
    <row r="143">
      <c r="A143" t="inlineStr"/>
    </row>
    <row r="144">
      <c r="A144" t="inlineStr">
        <is>
          <t>| Failure | Detection | Action |</t>
        </is>
      </c>
    </row>
    <row r="145">
      <c r="A145" t="inlineStr">
        <is>
          <t>|---|---|---|</t>
        </is>
      </c>
    </row>
    <row r="146">
      <c r="A146" t="inlineStr">
        <is>
          <t>| FRED_API_KEY missing | startup | Extension skipped; book quarterly published only |</t>
        </is>
      </c>
    </row>
    <row r="147">
      <c r="A147" t="inlineStr">
        <is>
          <t>| TDSP / FODSP 5xx | retry 3× | Mark `extension_status: api_error`; publish book period only |</t>
        </is>
      </c>
    </row>
    <row r="148">
      <c r="A148" t="inlineStr">
        <is>
          <t>| Splice gap (book ends Q4 2012, FRED starts mid-year) | overlap check | Walk back to 2012Q1 / 2011Q4 anchor; if no overlap, fails hard |</t>
        </is>
      </c>
    </row>
    <row r="149">
      <c r="A149" t="inlineStr">
        <is>
          <t>| FRED unit drift (percent vs decimal) | sanity assertion `0.05 &lt; median &lt; 0.25` | If outside band, log warning and skip the suspect rows |</t>
        </is>
      </c>
    </row>
    <row r="150">
      <c r="A150" t="inlineStr">
        <is>
          <t>| FOR &lt; DSR violation | post-merge assertion | Log year/quarter; do NOT auto-correct |</t>
        </is>
      </c>
    </row>
    <row r="151">
      <c r="A151" t="inlineStr"/>
    </row>
    <row r="152">
      <c r="A152" t="inlineStr">
        <is>
          <t>## 8. CD2 divergence</t>
        </is>
      </c>
    </row>
    <row r="153">
      <c r="A153" t="inlineStr"/>
    </row>
    <row r="154">
      <c r="A154" t="inlineStr">
        <is>
          <t>CD2's `S101` decomposed into A (FOR) and B (DSR). RSCD S1606 preserves this naming and adds extension subseries C/D plus the annual variant E. Values on the book period should match CD2 within 0.1% (both pull from the same Fed publication).</t>
        </is>
      </c>
    </row>
    <row r="155">
      <c r="A155" t="inlineStr"/>
    </row>
    <row r="156">
      <c r="A156" t="inlineStr">
        <is>
          <t>## 9. Splice diagnostics (V03)</t>
        </is>
      </c>
    </row>
    <row r="157">
      <c r="A157" t="inlineStr"/>
    </row>
    <row r="158">
      <c r="A158" t="inlineStr">
        <is>
          <t>- Per-quarter MAE on book period 1980Q1-2012Q4 vs Appendix 16.2 columns — expected ~0%</t>
        </is>
      </c>
    </row>
    <row r="159">
      <c r="A159" t="inlineStr">
        <is>
          <t>- Splice continuity 2012Q4 -&gt; 2013Q1: FRED value should match book value within ±0.5%</t>
        </is>
      </c>
    </row>
    <row r="160">
      <c r="A160" t="inlineStr">
        <is>
          <t>- Sample quarters (per CD2 S101 validation): 1980Q1, 1985Q1, 2000Q1, 2007Q1, 2012Q1</t>
        </is>
      </c>
    </row>
    <row r="161">
      <c r="A161" t="inlineStr">
        <is>
          <t>- FOR &gt; DSR ordering: assertion at every quarter</t>
        </is>
      </c>
    </row>
    <row r="162">
      <c r="A162" t="inlineStr">
        <is>
          <t>- Annual variant validation: exact arithmetic mean of corresponding quarters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4" customWidth="1" min="1" max="1"/>
    <col width="22" customWidth="1" min="2" max="2"/>
    <col width="62" customWidth="1" min="3" max="3"/>
    <col width="62" customWidth="1" min="4" max="4"/>
    <col width="33" customWidth="1" min="5" max="5"/>
    <col width="54" customWidth="1" min="6" max="6"/>
    <col width="49" customWidth="1" min="7" max="7"/>
    <col width="62" customWidth="1" min="8" max="8"/>
    <col width="49"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S1606-A</t>
        </is>
      </c>
      <c r="B2" t="inlineStr">
        <is>
          <t>SHAIKH_APPENDIX_16_2</t>
        </is>
      </c>
      <c r="C2" t="inlineStr">
        <is>
          <t>Shaikh, Capitalism (2016), Appendix 16.2 -- Chapter 16 Data Tables (WageProdData, RXRRULCOECD, ProfitRates, DebtIncRatio, HouseholdDebtService)</t>
        </is>
      </c>
      <c r="D2" t="inlineStr">
        <is>
          <t>Anwar Shaikh (author construction from BLS / BEA NIPA / Federal Reserve Z.1 + H.10 + housedebt / IMF IFS / FRED)</t>
        </is>
      </c>
      <c r="E2" t="inlineStr">
        <is>
          <t>http://www.anwarshaikhecon.org/</t>
        </is>
      </c>
      <c r="F2" t="inlineStr">
        <is>
          <t>mixed (indices, decimal rates, ratios, billions USD)</t>
        </is>
      </c>
      <c r="G2" t="inlineStr">
        <is>
          <t>annual (and quarterly for HouseholdDebtService)</t>
        </is>
      </c>
      <c r="H2" t="inlineStr">
        <is>
          <t>Copyright OUP; underlying BLS/BEA/Fed/IMF data are public domain or freely redistributable. Reproduced under fair use for replication.</t>
        </is>
      </c>
      <c r="I2" t="inlineStr">
        <is>
          <t>salvaged xlsx (anwarshaikhecon.org now offline)</t>
        </is>
      </c>
    </row>
    <row r="3">
      <c r="A3" t="inlineStr">
        <is>
          <t>S1606-B</t>
        </is>
      </c>
      <c r="B3" t="inlineStr">
        <is>
          <t>SHAIKH_APPENDIX_16_2</t>
        </is>
      </c>
      <c r="C3" t="inlineStr">
        <is>
          <t>Shaikh, Capitalism (2016), Appendix 16.2 -- Chapter 16 Data Tables (WageProdData, RXRRULCOECD, ProfitRates, DebtIncRatio, HouseholdDebtService)</t>
        </is>
      </c>
      <c r="D3" t="inlineStr">
        <is>
          <t>Anwar Shaikh (author construction from BLS / BEA NIPA / Federal Reserve Z.1 + H.10 + housedebt / IMF IFS / FRED)</t>
        </is>
      </c>
      <c r="E3" t="inlineStr">
        <is>
          <t>http://www.anwarshaikhecon.org/</t>
        </is>
      </c>
      <c r="F3" t="inlineStr">
        <is>
          <t>mixed (indices, decimal rates, ratios, billions USD)</t>
        </is>
      </c>
      <c r="G3" t="inlineStr">
        <is>
          <t>annual (and quarterly for HouseholdDebtService)</t>
        </is>
      </c>
      <c r="H3" t="inlineStr">
        <is>
          <t>Copyright OUP; underlying BLS/BEA/Fed/IMF data are public domain or freely redistributable. Reproduced under fair use for replication.</t>
        </is>
      </c>
      <c r="I3" t="inlineStr">
        <is>
          <t>salvaged xlsx (anwarshaikhecon.org now offline)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62" customWidth="1" min="2" max="2"/>
  </cols>
  <sheetData>
    <row r="1">
      <c r="A1" s="1" t="inlineStr">
        <is>
          <t>S1606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compare_range</t>
        </is>
      </c>
      <c r="B6" t="inlineStr">
        <is>
          <t>[1980, 2012]</t>
        </is>
      </c>
    </row>
    <row r="7">
      <c r="A7" t="inlineStr">
        <is>
          <t>n_compared</t>
        </is>
      </c>
      <c r="B7" t="n">
        <v>264</v>
      </c>
    </row>
    <row r="8">
      <c r="A8" t="inlineStr">
        <is>
          <t>mae</t>
        </is>
      </c>
      <c r="B8" t="n">
        <v>0</v>
      </c>
    </row>
    <row r="9">
      <c r="A9" t="inlineStr">
        <is>
          <t>max_pct_err</t>
        </is>
      </c>
      <c r="B9" t="n">
        <v>0</v>
      </c>
    </row>
    <row r="10">
      <c r="A10" t="inlineStr">
        <is>
          <t>max_abs_err</t>
        </is>
      </c>
      <c r="B10" t="n">
        <v>0</v>
      </c>
    </row>
    <row r="11">
      <c r="A11" t="inlineStr">
        <is>
          <t>divergence_quarters</t>
        </is>
      </c>
      <c r="B11" t="inlineStr">
        <is>
          <t>[]</t>
        </is>
      </c>
    </row>
    <row r="12">
      <c r="A12" t="inlineStr">
        <is>
          <t>divergence_count</t>
        </is>
      </c>
      <c r="B12" t="n">
        <v>0</v>
      </c>
    </row>
    <row r="13">
      <c r="A13" t="inlineStr">
        <is>
          <t>per_subseries_quarterly</t>
        </is>
      </c>
      <c r="B13" t="inlineStr">
        <is>
          <t>{"S1606-A": {"n": 132, "mae": 0.0, "max_pct_err": 0.0, "div_quarters": []}, "S1606-B": {"n": 132, "mae": 0.0, "max_pct_err": 0.0, "div_quarters": []}}</t>
        </is>
      </c>
    </row>
    <row r="14">
      <c r="A14" t="inlineStr">
        <is>
          <t>per_subseries_annual</t>
        </is>
      </c>
      <c r="B14" t="inlineStr">
        <is>
          <t>{"S1606-A": {"n": 33, "mae": 0.0, "max_pct_err": 0.0, "div_years": []}, "S1606-B": {"n": 33, "mae": 0.0, "max_pct_err": 0.0, "div_years": []}}</t>
        </is>
      </c>
    </row>
    <row r="15">
      <c r="A15" t="inlineStr">
        <is>
          <t>annual_status</t>
        </is>
      </c>
      <c r="B15" t="inlineStr">
        <is>
          <t>PASS</t>
        </is>
      </c>
    </row>
    <row r="16">
      <c r="A16" t="inlineStr">
        <is>
          <t>validated_at</t>
        </is>
      </c>
      <c r="B16" t="inlineStr">
        <is>
          <t>2026-07-11T03:44:23.813679+00:00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62" customWidth="1" min="2" max="2"/>
  </cols>
  <sheetData>
    <row r="1">
      <c r="A1" s="1" t="inlineStr">
        <is>
          <t>S1606 — Provenance</t>
        </is>
      </c>
    </row>
    <row r="2"/>
    <row r="3">
      <c r="A3" s="2" t="inlineStr">
        <is>
          <t>field</t>
        </is>
      </c>
      <c r="B3" s="2" t="inlineStr">
        <is>
          <t>value</t>
        </is>
      </c>
    </row>
    <row r="4">
      <c r="A4" t="inlineStr">
        <is>
          <t>primary_source</t>
        </is>
      </c>
      <c r="B4" t="inlineStr">
        <is>
          <t>SHAIKH_APPENDIX_16_2</t>
        </is>
      </c>
    </row>
    <row r="5">
      <c r="A5" t="inlineStr">
        <is>
          <t>construction</t>
        </is>
      </c>
      <c r="B5" t="inlineStr">
        <is>
          <t>direct</t>
        </is>
      </c>
    </row>
    <row r="6">
      <c r="A6" t="inlineStr">
        <is>
          <t>status</t>
        </is>
      </c>
      <c r="B6" t="inlineStr">
        <is>
          <t>book_period_validated</t>
        </is>
      </c>
    </row>
    <row r="7">
      <c r="A7" t="inlineStr">
        <is>
          <t>validation_class</t>
        </is>
      </c>
      <c r="B7" t="inlineStr">
        <is>
          <t>pipeline_consistent</t>
        </is>
      </c>
    </row>
    <row r="8">
      <c r="A8" t="inlineStr">
        <is>
          <t>triage</t>
        </is>
      </c>
      <c r="B8" t="inlineStr">
        <is>
          <t>{"verdict": "publish", "reason": "KB-verified: figure 16.10 caption and in-text passage (p.735) match; Federal Reserve FOR/DSR quarterly SA sourcing confirmed; verbatim quotes match.", "date": "2026-06-11"}</t>
        </is>
      </c>
    </row>
    <row r="9">
      <c r="A9" t="inlineStr">
        <is>
          <t>dpr</t>
        </is>
      </c>
      <c r="B9" t="inlineStr">
        <is>
          <t>Technical/docs/series/S1606_DPR.md</t>
        </is>
      </c>
    </row>
    <row r="10">
      <c r="A10" t="inlineStr">
        <is>
          <t>epr</t>
        </is>
      </c>
      <c r="B10" t="inlineStr">
        <is>
          <t>Technical/docs/series/S1606_EPR.md</t>
        </is>
      </c>
    </row>
    <row r="11">
      <c r="A11" t="inlineStr">
        <is>
          <t>notes</t>
        </is>
      </c>
      <c r="B11" t="inlineStr">
        <is>
          <t>FOR &gt; DSR by construction (FOR adds rent, leases, insurance, property tax).</t>
        </is>
      </c>
    </row>
    <row r="12">
      <c r="A12" t="inlineStr">
        <is>
          <t>content_type</t>
        </is>
      </c>
      <c r="B12" t="inlineStr">
        <is>
          <t>time_series</t>
        </is>
      </c>
    </row>
    <row r="13">
      <c r="A13" t="inlineStr">
        <is>
          <t>units</t>
        </is>
      </c>
      <c r="B13" t="inlineStr">
        <is>
          <t>decimal_quarterly_and_decimal_annual_mean</t>
        </is>
      </c>
    </row>
    <row r="14">
      <c r="A14" t="inlineStr">
        <is>
          <t>proxy</t>
        </is>
      </c>
      <c r="B14" t="inlineStr">
        <is>
          <t>false</t>
        </is>
      </c>
    </row>
    <row r="15">
      <c r="A15" t="inlineStr">
        <is>
          <t>publish</t>
        </is>
      </c>
      <c r="B15" t="inlineStr">
        <is>
          <t>true</t>
        </is>
      </c>
    </row>
    <row r="16">
      <c r="A16" t="inlineStr">
        <is>
          <t>chapter</t>
        </is>
      </c>
      <c r="B16" t="inlineStr">
        <is>
          <t>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2026-07-19T13:16:05Z</dcterms:created>
  <dcterms:modified xmlns:dcterms="http://purl.org/dc/terms/" xmlns:xsi="http://www.w3.org/2001/XMLSchema-instance" xsi:type="dcterms:W3CDTF">2026-07-19T13:16:05Z</dcterms:modified>
</cp:coreProperties>
</file>
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XS2301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'Data'!$A$4:$A$26</f>
            </numRef>
          </cat>
          <val>
            <numRef>
              <f>'Data'!$B$4:$B$26</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'Data'!$A$4:$A$26</f>
            </numRef>
          </cat>
          <val>
            <numRef>
              <f>'Data'!$C$4:$C$26</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57" customWidth="1" min="1" max="1"/>
    <col width="21" customWidth="1" min="2" max="2"/>
    <col width="21" customWidth="1" min="3" max="3"/>
    <col width="20" customWidth="1" min="4" max="4"/>
    <col width="13" customWidth="1" min="5" max="5"/>
  </cols>
  <sheetData>
    <row r="1">
      <c r="A1" s="1" t="inlineStr">
        <is>
          <t>XS2301 — annual values (long form below pivot)</t>
        </is>
      </c>
    </row>
    <row r="2"/>
    <row r="3">
      <c r="A3" s="2" t="inlineStr">
        <is>
          <t>year</t>
        </is>
      </c>
      <c r="B3" s="2" t="inlineStr">
        <is>
          <t>XS2301-china</t>
        </is>
      </c>
      <c r="C3" s="2" t="inlineStr">
        <is>
          <t>XS2301-world</t>
        </is>
      </c>
    </row>
    <row r="4">
      <c r="A4" t="n">
        <v>2002</v>
      </c>
      <c r="B4" t="n">
        <v>-103.0649</v>
      </c>
      <c r="C4" t="n">
        <v>-468.262</v>
      </c>
    </row>
    <row r="5">
      <c r="A5" t="n">
        <v>2003</v>
      </c>
      <c r="B5" t="n">
        <v>-124.0682</v>
      </c>
      <c r="C5" t="n">
        <v>-532.35</v>
      </c>
    </row>
    <row r="6">
      <c r="A6" t="n">
        <v>2004</v>
      </c>
      <c r="B6" t="n">
        <v>-162.2543</v>
      </c>
      <c r="C6" t="n">
        <v>-654.8285</v>
      </c>
    </row>
    <row r="7">
      <c r="A7" t="n">
        <v>2005</v>
      </c>
      <c r="B7" t="n">
        <v>-202.2781</v>
      </c>
      <c r="C7" t="n">
        <v>-772.3742</v>
      </c>
    </row>
    <row r="8">
      <c r="A8" t="n">
        <v>2006</v>
      </c>
      <c r="B8" t="n">
        <v>-234.1013</v>
      </c>
      <c r="C8" t="n">
        <v>-827.97</v>
      </c>
    </row>
    <row r="9">
      <c r="A9" t="n">
        <v>2007</v>
      </c>
      <c r="B9" t="n">
        <v>-258.506</v>
      </c>
      <c r="C9" t="n">
        <v>-808.765</v>
      </c>
    </row>
    <row r="10">
      <c r="A10" t="n">
        <v>2008</v>
      </c>
      <c r="B10" t="n">
        <v>-268.0398</v>
      </c>
      <c r="C10" t="n">
        <v>-816.2</v>
      </c>
    </row>
    <row r="11">
      <c r="A11" t="n">
        <v>2009</v>
      </c>
      <c r="B11" t="n">
        <v>-226.8772</v>
      </c>
      <c r="C11" t="n">
        <v>-503.583</v>
      </c>
    </row>
    <row r="12">
      <c r="A12" t="n">
        <v>2010</v>
      </c>
      <c r="B12" t="n">
        <v>-273.0416</v>
      </c>
      <c r="C12" t="n">
        <v>-635.365</v>
      </c>
    </row>
    <row r="13">
      <c r="A13" t="n">
        <v>2011</v>
      </c>
      <c r="B13" t="n">
        <v>-295.2497</v>
      </c>
      <c r="C13" t="n">
        <v>-725.447</v>
      </c>
    </row>
    <row r="14">
      <c r="A14" t="n">
        <v>2012</v>
      </c>
      <c r="B14" t="n">
        <v>-315.1025</v>
      </c>
      <c r="C14" t="n">
        <v>-730.4463000000001</v>
      </c>
    </row>
    <row r="15">
      <c r="A15" t="n">
        <v>2013</v>
      </c>
      <c r="B15" t="n">
        <v>-318.6838</v>
      </c>
      <c r="C15" t="n">
        <v>-689.4699000000001</v>
      </c>
    </row>
    <row r="16">
      <c r="A16" t="n">
        <v>2014</v>
      </c>
      <c r="B16" t="n">
        <v>-344.8177</v>
      </c>
      <c r="C16" t="n">
        <v>-734.4823</v>
      </c>
    </row>
    <row r="17">
      <c r="A17" t="n">
        <v>2015</v>
      </c>
      <c r="B17" t="n">
        <v>-367.3283</v>
      </c>
      <c r="C17" t="n">
        <v>-745.4829999999999</v>
      </c>
    </row>
    <row r="18">
      <c r="A18" t="n">
        <v>2016</v>
      </c>
      <c r="B18" t="n">
        <v>-346.8252</v>
      </c>
      <c r="C18" t="n">
        <v>-735.326</v>
      </c>
    </row>
    <row r="19">
      <c r="A19" t="n">
        <v>2017</v>
      </c>
      <c r="B19" t="n">
        <v>-375.1679</v>
      </c>
      <c r="C19" t="n">
        <v>-792.3959</v>
      </c>
    </row>
    <row r="20">
      <c r="A20" t="n">
        <v>2018</v>
      </c>
      <c r="B20" t="n">
        <v>-418.2329</v>
      </c>
      <c r="C20" t="n">
        <v>-870.3584000000001</v>
      </c>
    </row>
    <row r="21">
      <c r="A21" t="n">
        <v>2019</v>
      </c>
      <c r="B21" t="n">
        <v>-342.6295</v>
      </c>
      <c r="C21" t="n">
        <v>-845.7592</v>
      </c>
    </row>
    <row r="22">
      <c r="A22" t="n">
        <v>2020</v>
      </c>
      <c r="B22" t="n">
        <v>-307.9665</v>
      </c>
      <c r="C22" t="n">
        <v>-901.4818</v>
      </c>
    </row>
    <row r="23">
      <c r="A23" t="n">
        <v>2021</v>
      </c>
      <c r="B23" t="n">
        <v>-352.8069</v>
      </c>
      <c r="C23" t="n">
        <v>-1070.7718</v>
      </c>
    </row>
    <row r="24">
      <c r="A24" t="n">
        <v>2022</v>
      </c>
      <c r="B24" t="n">
        <v>-382.2813</v>
      </c>
      <c r="C24" t="n">
        <v>-1167.0849</v>
      </c>
    </row>
    <row r="25">
      <c r="A25" t="n">
        <v>2023</v>
      </c>
      <c r="B25" t="n">
        <v>-279.6078</v>
      </c>
      <c r="C25" t="n">
        <v>-1054.613</v>
      </c>
    </row>
    <row r="26">
      <c r="A26" t="n">
        <v>2024</v>
      </c>
      <c r="B26" t="n">
        <v>-297.0477</v>
      </c>
      <c r="C26" t="n">
        <v>-1200.8688</v>
      </c>
    </row>
    <row r="27"/>
    <row r="28"/>
    <row r="29"/>
    <row r="30">
      <c r="A30" s="1" t="inlineStr">
        <is>
          <t>Long form (year, value, subseries_id, source_id, units)</t>
        </is>
      </c>
    </row>
    <row r="31">
      <c r="A31" s="3" t="inlineStr">
        <is>
          <t>year</t>
        </is>
      </c>
      <c r="B31" s="3" t="inlineStr">
        <is>
          <t>value</t>
        </is>
      </c>
      <c r="C31" s="3" t="inlineStr">
        <is>
          <t>subseries_id</t>
        </is>
      </c>
      <c r="D31" s="3" t="inlineStr">
        <is>
          <t>source_id</t>
        </is>
      </c>
      <c r="E31" s="3" t="inlineStr">
        <is>
          <t>units</t>
        </is>
      </c>
    </row>
    <row r="32">
      <c r="A32" t="n">
        <v>2002</v>
      </c>
      <c r="B32" t="n">
        <v>-103.0649</v>
      </c>
      <c r="C32" t="inlineStr">
        <is>
          <t>XS2301-china</t>
        </is>
      </c>
      <c r="D32" t="inlineStr">
        <is>
          <t>CENSUS_FT900_C5700</t>
        </is>
      </c>
      <c r="E32" t="inlineStr">
        <is>
          <t>billion_usd</t>
        </is>
      </c>
    </row>
    <row r="33">
      <c r="A33" t="n">
        <v>2003</v>
      </c>
      <c r="B33" t="n">
        <v>-124.0682</v>
      </c>
      <c r="C33" t="inlineStr">
        <is>
          <t>XS2301-china</t>
        </is>
      </c>
      <c r="D33" t="inlineStr">
        <is>
          <t>CENSUS_FT900_C5700</t>
        </is>
      </c>
      <c r="E33" t="inlineStr">
        <is>
          <t>billion_usd</t>
        </is>
      </c>
    </row>
    <row r="34">
      <c r="A34" t="n">
        <v>2004</v>
      </c>
      <c r="B34" t="n">
        <v>-162.2543</v>
      </c>
      <c r="C34" t="inlineStr">
        <is>
          <t>XS2301-china</t>
        </is>
      </c>
      <c r="D34" t="inlineStr">
        <is>
          <t>CENSUS_FT900_C5700</t>
        </is>
      </c>
      <c r="E34" t="inlineStr">
        <is>
          <t>billion_usd</t>
        </is>
      </c>
    </row>
    <row r="35">
      <c r="A35" t="n">
        <v>2005</v>
      </c>
      <c r="B35" t="n">
        <v>-202.2781</v>
      </c>
      <c r="C35" t="inlineStr">
        <is>
          <t>XS2301-china</t>
        </is>
      </c>
      <c r="D35" t="inlineStr">
        <is>
          <t>CENSUS_FT900_C5700</t>
        </is>
      </c>
      <c r="E35" t="inlineStr">
        <is>
          <t>billion_usd</t>
        </is>
      </c>
    </row>
    <row r="36">
      <c r="A36" t="n">
        <v>2006</v>
      </c>
      <c r="B36" t="n">
        <v>-234.1013</v>
      </c>
      <c r="C36" t="inlineStr">
        <is>
          <t>XS2301-china</t>
        </is>
      </c>
      <c r="D36" t="inlineStr">
        <is>
          <t>CENSUS_FT900_C5700</t>
        </is>
      </c>
      <c r="E36" t="inlineStr">
        <is>
          <t>billion_usd</t>
        </is>
      </c>
    </row>
    <row r="37">
      <c r="A37" t="n">
        <v>2007</v>
      </c>
      <c r="B37" t="n">
        <v>-258.506</v>
      </c>
      <c r="C37" t="inlineStr">
        <is>
          <t>XS2301-china</t>
        </is>
      </c>
      <c r="D37" t="inlineStr">
        <is>
          <t>CENSUS_FT900_C5700</t>
        </is>
      </c>
      <c r="E37" t="inlineStr">
        <is>
          <t>billion_usd</t>
        </is>
      </c>
    </row>
    <row r="38">
      <c r="A38" t="n">
        <v>2008</v>
      </c>
      <c r="B38" t="n">
        <v>-268.0398</v>
      </c>
      <c r="C38" t="inlineStr">
        <is>
          <t>XS2301-china</t>
        </is>
      </c>
      <c r="D38" t="inlineStr">
        <is>
          <t>CENSUS_FT900_C5700</t>
        </is>
      </c>
      <c r="E38" t="inlineStr">
        <is>
          <t>billion_usd</t>
        </is>
      </c>
    </row>
    <row r="39">
      <c r="A39" t="n">
        <v>2009</v>
      </c>
      <c r="B39" t="n">
        <v>-226.8772</v>
      </c>
      <c r="C39" t="inlineStr">
        <is>
          <t>XS2301-china</t>
        </is>
      </c>
      <c r="D39" t="inlineStr">
        <is>
          <t>CENSUS_FT900_C5700</t>
        </is>
      </c>
      <c r="E39" t="inlineStr">
        <is>
          <t>billion_usd</t>
        </is>
      </c>
    </row>
    <row r="40">
      <c r="A40" t="n">
        <v>2010</v>
      </c>
      <c r="B40" t="n">
        <v>-273.0416</v>
      </c>
      <c r="C40" t="inlineStr">
        <is>
          <t>XS2301-china</t>
        </is>
      </c>
      <c r="D40" t="inlineStr">
        <is>
          <t>CENSUS_FT900_C5700</t>
        </is>
      </c>
      <c r="E40" t="inlineStr">
        <is>
          <t>billion_usd</t>
        </is>
      </c>
    </row>
    <row r="41">
      <c r="A41" t="n">
        <v>2011</v>
      </c>
      <c r="B41" t="n">
        <v>-295.2497</v>
      </c>
      <c r="C41" t="inlineStr">
        <is>
          <t>XS2301-china</t>
        </is>
      </c>
      <c r="D41" t="inlineStr">
        <is>
          <t>CENSUS_FT900_C5700</t>
        </is>
      </c>
      <c r="E41" t="inlineStr">
        <is>
          <t>billion_usd</t>
        </is>
      </c>
    </row>
    <row r="42">
      <c r="A42" t="n">
        <v>2012</v>
      </c>
      <c r="B42" t="n">
        <v>-315.1025</v>
      </c>
      <c r="C42" t="inlineStr">
        <is>
          <t>XS2301-china</t>
        </is>
      </c>
      <c r="D42" t="inlineStr">
        <is>
          <t>CENSUS_FT900_C5700</t>
        </is>
      </c>
      <c r="E42" t="inlineStr">
        <is>
          <t>billion_usd</t>
        </is>
      </c>
    </row>
    <row r="43">
      <c r="A43" t="n">
        <v>2013</v>
      </c>
      <c r="B43" t="n">
        <v>-318.6838</v>
      </c>
      <c r="C43" t="inlineStr">
        <is>
          <t>XS2301-china</t>
        </is>
      </c>
      <c r="D43" t="inlineStr">
        <is>
          <t>CENSUS_FT900_C5700</t>
        </is>
      </c>
      <c r="E43" t="inlineStr">
        <is>
          <t>billion_usd</t>
        </is>
      </c>
    </row>
    <row r="44">
      <c r="A44" t="n">
        <v>2014</v>
      </c>
      <c r="B44" t="n">
        <v>-344.8177</v>
      </c>
      <c r="C44" t="inlineStr">
        <is>
          <t>XS2301-china</t>
        </is>
      </c>
      <c r="D44" t="inlineStr">
        <is>
          <t>CENSUS_FT900_C5700</t>
        </is>
      </c>
      <c r="E44" t="inlineStr">
        <is>
          <t>billion_usd</t>
        </is>
      </c>
    </row>
    <row r="45">
      <c r="A45" t="n">
        <v>2015</v>
      </c>
      <c r="B45" t="n">
        <v>-367.3283</v>
      </c>
      <c r="C45" t="inlineStr">
        <is>
          <t>XS2301-china</t>
        </is>
      </c>
      <c r="D45" t="inlineStr">
        <is>
          <t>CENSUS_FT900_C5700</t>
        </is>
      </c>
      <c r="E45" t="inlineStr">
        <is>
          <t>billion_usd</t>
        </is>
      </c>
    </row>
    <row r="46">
      <c r="A46" t="n">
        <v>2016</v>
      </c>
      <c r="B46" t="n">
        <v>-346.8252</v>
      </c>
      <c r="C46" t="inlineStr">
        <is>
          <t>XS2301-china</t>
        </is>
      </c>
      <c r="D46" t="inlineStr">
        <is>
          <t>CENSUS_FT900_C5700</t>
        </is>
      </c>
      <c r="E46" t="inlineStr">
        <is>
          <t>billion_usd</t>
        </is>
      </c>
    </row>
    <row r="47">
      <c r="A47" t="n">
        <v>2017</v>
      </c>
      <c r="B47" t="n">
        <v>-375.1679</v>
      </c>
      <c r="C47" t="inlineStr">
        <is>
          <t>XS2301-china</t>
        </is>
      </c>
      <c r="D47" t="inlineStr">
        <is>
          <t>CENSUS_FT900_C5700</t>
        </is>
      </c>
      <c r="E47" t="inlineStr">
        <is>
          <t>billion_usd</t>
        </is>
      </c>
    </row>
    <row r="48">
      <c r="A48" t="n">
        <v>2018</v>
      </c>
      <c r="B48" t="n">
        <v>-418.2329</v>
      </c>
      <c r="C48" t="inlineStr">
        <is>
          <t>XS2301-china</t>
        </is>
      </c>
      <c r="D48" t="inlineStr">
        <is>
          <t>CENSUS_FT900_C5700</t>
        </is>
      </c>
      <c r="E48" t="inlineStr">
        <is>
          <t>billion_usd</t>
        </is>
      </c>
    </row>
    <row r="49">
      <c r="A49" t="n">
        <v>2019</v>
      </c>
      <c r="B49" t="n">
        <v>-342.6295</v>
      </c>
      <c r="C49" t="inlineStr">
        <is>
          <t>XS2301-china</t>
        </is>
      </c>
      <c r="D49" t="inlineStr">
        <is>
          <t>CENSUS_FT900_C5700</t>
        </is>
      </c>
      <c r="E49" t="inlineStr">
        <is>
          <t>billion_usd</t>
        </is>
      </c>
    </row>
    <row r="50">
      <c r="A50" t="n">
        <v>2020</v>
      </c>
      <c r="B50" t="n">
        <v>-307.9665</v>
      </c>
      <c r="C50" t="inlineStr">
        <is>
          <t>XS2301-china</t>
        </is>
      </c>
      <c r="D50" t="inlineStr">
        <is>
          <t>CENSUS_FT900_C5700</t>
        </is>
      </c>
      <c r="E50" t="inlineStr">
        <is>
          <t>billion_usd</t>
        </is>
      </c>
    </row>
    <row r="51">
      <c r="A51" t="n">
        <v>2021</v>
      </c>
      <c r="B51" t="n">
        <v>-352.8069</v>
      </c>
      <c r="C51" t="inlineStr">
        <is>
          <t>XS2301-china</t>
        </is>
      </c>
      <c r="D51" t="inlineStr">
        <is>
          <t>CENSUS_FT900_C5700</t>
        </is>
      </c>
      <c r="E51" t="inlineStr">
        <is>
          <t>billion_usd</t>
        </is>
      </c>
    </row>
    <row r="52">
      <c r="A52" t="n">
        <v>2022</v>
      </c>
      <c r="B52" t="n">
        <v>-382.2813</v>
      </c>
      <c r="C52" t="inlineStr">
        <is>
          <t>XS2301-china</t>
        </is>
      </c>
      <c r="D52" t="inlineStr">
        <is>
          <t>CENSUS_FT900_C5700</t>
        </is>
      </c>
      <c r="E52" t="inlineStr">
        <is>
          <t>billion_usd</t>
        </is>
      </c>
    </row>
    <row r="53">
      <c r="A53" t="n">
        <v>2023</v>
      </c>
      <c r="B53" t="n">
        <v>-279.6078</v>
      </c>
      <c r="C53" t="inlineStr">
        <is>
          <t>XS2301-china</t>
        </is>
      </c>
      <c r="D53" t="inlineStr">
        <is>
          <t>CENSUS_FT900_C5700</t>
        </is>
      </c>
      <c r="E53" t="inlineStr">
        <is>
          <t>billion_usd</t>
        </is>
      </c>
    </row>
    <row r="54">
      <c r="A54" t="n">
        <v>2024</v>
      </c>
      <c r="B54" t="n">
        <v>-297.0477</v>
      </c>
      <c r="C54" t="inlineStr">
        <is>
          <t>XS2301-china</t>
        </is>
      </c>
      <c r="D54" t="inlineStr">
        <is>
          <t>CENSUS_FT900_C5700</t>
        </is>
      </c>
      <c r="E54" t="inlineStr">
        <is>
          <t>billion_usd</t>
        </is>
      </c>
    </row>
    <row r="55">
      <c r="A55" t="n">
        <v>2002</v>
      </c>
      <c r="B55" t="n">
        <v>-468.262</v>
      </c>
      <c r="C55" t="inlineStr">
        <is>
          <t>XS2301-world</t>
        </is>
      </c>
      <c r="D55" t="inlineStr">
        <is>
          <t>CENSUS_FT900_C0004</t>
        </is>
      </c>
      <c r="E55" t="inlineStr">
        <is>
          <t>billion_usd</t>
        </is>
      </c>
    </row>
    <row r="56">
      <c r="A56" t="n">
        <v>2003</v>
      </c>
      <c r="B56" t="n">
        <v>-532.35</v>
      </c>
      <c r="C56" t="inlineStr">
        <is>
          <t>XS2301-world</t>
        </is>
      </c>
      <c r="D56" t="inlineStr">
        <is>
          <t>CENSUS_FT900_C0004</t>
        </is>
      </c>
      <c r="E56" t="inlineStr">
        <is>
          <t>billion_usd</t>
        </is>
      </c>
    </row>
    <row r="57">
      <c r="A57" t="n">
        <v>2004</v>
      </c>
      <c r="B57" t="n">
        <v>-654.8285</v>
      </c>
      <c r="C57" t="inlineStr">
        <is>
          <t>XS2301-world</t>
        </is>
      </c>
      <c r="D57" t="inlineStr">
        <is>
          <t>CENSUS_FT900_C0004</t>
        </is>
      </c>
      <c r="E57" t="inlineStr">
        <is>
          <t>billion_usd</t>
        </is>
      </c>
    </row>
    <row r="58">
      <c r="A58" t="n">
        <v>2005</v>
      </c>
      <c r="B58" t="n">
        <v>-772.3742</v>
      </c>
      <c r="C58" t="inlineStr">
        <is>
          <t>XS2301-world</t>
        </is>
      </c>
      <c r="D58" t="inlineStr">
        <is>
          <t>CENSUS_FT900_C0004</t>
        </is>
      </c>
      <c r="E58" t="inlineStr">
        <is>
          <t>billion_usd</t>
        </is>
      </c>
    </row>
    <row r="59">
      <c r="A59" t="n">
        <v>2006</v>
      </c>
      <c r="B59" t="n">
        <v>-827.97</v>
      </c>
      <c r="C59" t="inlineStr">
        <is>
          <t>XS2301-world</t>
        </is>
      </c>
      <c r="D59" t="inlineStr">
        <is>
          <t>CENSUS_FT900_C0004</t>
        </is>
      </c>
      <c r="E59" t="inlineStr">
        <is>
          <t>billion_usd</t>
        </is>
      </c>
    </row>
    <row r="60">
      <c r="A60" t="n">
        <v>2007</v>
      </c>
      <c r="B60" t="n">
        <v>-808.765</v>
      </c>
      <c r="C60" t="inlineStr">
        <is>
          <t>XS2301-world</t>
        </is>
      </c>
      <c r="D60" t="inlineStr">
        <is>
          <t>CENSUS_FT900_C0004</t>
        </is>
      </c>
      <c r="E60" t="inlineStr">
        <is>
          <t>billion_usd</t>
        </is>
      </c>
    </row>
    <row r="61">
      <c r="A61" t="n">
        <v>2008</v>
      </c>
      <c r="B61" t="n">
        <v>-816.2</v>
      </c>
      <c r="C61" t="inlineStr">
        <is>
          <t>XS2301-world</t>
        </is>
      </c>
      <c r="D61" t="inlineStr">
        <is>
          <t>CENSUS_FT900_C0004</t>
        </is>
      </c>
      <c r="E61" t="inlineStr">
        <is>
          <t>billion_usd</t>
        </is>
      </c>
    </row>
    <row r="62">
      <c r="A62" t="n">
        <v>2009</v>
      </c>
      <c r="B62" t="n">
        <v>-503.583</v>
      </c>
      <c r="C62" t="inlineStr">
        <is>
          <t>XS2301-world</t>
        </is>
      </c>
      <c r="D62" t="inlineStr">
        <is>
          <t>CENSUS_FT900_C0004</t>
        </is>
      </c>
      <c r="E62" t="inlineStr">
        <is>
          <t>billion_usd</t>
        </is>
      </c>
    </row>
    <row r="63">
      <c r="A63" t="n">
        <v>2010</v>
      </c>
      <c r="B63" t="n">
        <v>-635.365</v>
      </c>
      <c r="C63" t="inlineStr">
        <is>
          <t>XS2301-world</t>
        </is>
      </c>
      <c r="D63" t="inlineStr">
        <is>
          <t>CENSUS_FT900_C0004</t>
        </is>
      </c>
      <c r="E63" t="inlineStr">
        <is>
          <t>billion_usd</t>
        </is>
      </c>
    </row>
    <row r="64">
      <c r="A64" t="n">
        <v>2011</v>
      </c>
      <c r="B64" t="n">
        <v>-725.447</v>
      </c>
      <c r="C64" t="inlineStr">
        <is>
          <t>XS2301-world</t>
        </is>
      </c>
      <c r="D64" t="inlineStr">
        <is>
          <t>CENSUS_FT900_C0004</t>
        </is>
      </c>
      <c r="E64" t="inlineStr">
        <is>
          <t>billion_usd</t>
        </is>
      </c>
    </row>
    <row r="65">
      <c r="A65" t="n">
        <v>2012</v>
      </c>
      <c r="B65" t="n">
        <v>-730.4463000000001</v>
      </c>
      <c r="C65" t="inlineStr">
        <is>
          <t>XS2301-world</t>
        </is>
      </c>
      <c r="D65" t="inlineStr">
        <is>
          <t>CENSUS_FT900_C0004</t>
        </is>
      </c>
      <c r="E65" t="inlineStr">
        <is>
          <t>billion_usd</t>
        </is>
      </c>
    </row>
    <row r="66">
      <c r="A66" t="n">
        <v>2013</v>
      </c>
      <c r="B66" t="n">
        <v>-689.4699000000001</v>
      </c>
      <c r="C66" t="inlineStr">
        <is>
          <t>XS2301-world</t>
        </is>
      </c>
      <c r="D66" t="inlineStr">
        <is>
          <t>CENSUS_FT900_C0004</t>
        </is>
      </c>
      <c r="E66" t="inlineStr">
        <is>
          <t>billion_usd</t>
        </is>
      </c>
    </row>
    <row r="67">
      <c r="A67" t="n">
        <v>2014</v>
      </c>
      <c r="B67" t="n">
        <v>-734.4823</v>
      </c>
      <c r="C67" t="inlineStr">
        <is>
          <t>XS2301-world</t>
        </is>
      </c>
      <c r="D67" t="inlineStr">
        <is>
          <t>CENSUS_FT900_C0004</t>
        </is>
      </c>
      <c r="E67" t="inlineStr">
        <is>
          <t>billion_usd</t>
        </is>
      </c>
    </row>
    <row r="68">
      <c r="A68" t="n">
        <v>2015</v>
      </c>
      <c r="B68" t="n">
        <v>-745.4829999999999</v>
      </c>
      <c r="C68" t="inlineStr">
        <is>
          <t>XS2301-world</t>
        </is>
      </c>
      <c r="D68" t="inlineStr">
        <is>
          <t>CENSUS_FT900_C0004</t>
        </is>
      </c>
      <c r="E68" t="inlineStr">
        <is>
          <t>billion_usd</t>
        </is>
      </c>
    </row>
    <row r="69">
      <c r="A69" t="n">
        <v>2016</v>
      </c>
      <c r="B69" t="n">
        <v>-735.326</v>
      </c>
      <c r="C69" t="inlineStr">
        <is>
          <t>XS2301-world</t>
        </is>
      </c>
      <c r="D69" t="inlineStr">
        <is>
          <t>CENSUS_FT900_C0004</t>
        </is>
      </c>
      <c r="E69" t="inlineStr">
        <is>
          <t>billion_usd</t>
        </is>
      </c>
    </row>
    <row r="70">
      <c r="A70" t="n">
        <v>2017</v>
      </c>
      <c r="B70" t="n">
        <v>-792.3959</v>
      </c>
      <c r="C70" t="inlineStr">
        <is>
          <t>XS2301-world</t>
        </is>
      </c>
      <c r="D70" t="inlineStr">
        <is>
          <t>CENSUS_FT900_C0004</t>
        </is>
      </c>
      <c r="E70" t="inlineStr">
        <is>
          <t>billion_usd</t>
        </is>
      </c>
    </row>
    <row r="71">
      <c r="A71" t="n">
        <v>2018</v>
      </c>
      <c r="B71" t="n">
        <v>-870.3584000000001</v>
      </c>
      <c r="C71" t="inlineStr">
        <is>
          <t>XS2301-world</t>
        </is>
      </c>
      <c r="D71" t="inlineStr">
        <is>
          <t>CENSUS_FT900_C0004</t>
        </is>
      </c>
      <c r="E71" t="inlineStr">
        <is>
          <t>billion_usd</t>
        </is>
      </c>
    </row>
    <row r="72">
      <c r="A72" t="n">
        <v>2019</v>
      </c>
      <c r="B72" t="n">
        <v>-845.7592</v>
      </c>
      <c r="C72" t="inlineStr">
        <is>
          <t>XS2301-world</t>
        </is>
      </c>
      <c r="D72" t="inlineStr">
        <is>
          <t>CENSUS_FT900_C0004</t>
        </is>
      </c>
      <c r="E72" t="inlineStr">
        <is>
          <t>billion_usd</t>
        </is>
      </c>
    </row>
    <row r="73">
      <c r="A73" t="n">
        <v>2020</v>
      </c>
      <c r="B73" t="n">
        <v>-901.4818</v>
      </c>
      <c r="C73" t="inlineStr">
        <is>
          <t>XS2301-world</t>
        </is>
      </c>
      <c r="D73" t="inlineStr">
        <is>
          <t>CENSUS_FT900_C0004</t>
        </is>
      </c>
      <c r="E73" t="inlineStr">
        <is>
          <t>billion_usd</t>
        </is>
      </c>
    </row>
    <row r="74">
      <c r="A74" t="n">
        <v>2021</v>
      </c>
      <c r="B74" t="n">
        <v>-1070.7718</v>
      </c>
      <c r="C74" t="inlineStr">
        <is>
          <t>XS2301-world</t>
        </is>
      </c>
      <c r="D74" t="inlineStr">
        <is>
          <t>CENSUS_FT900_C0004</t>
        </is>
      </c>
      <c r="E74" t="inlineStr">
        <is>
          <t>billion_usd</t>
        </is>
      </c>
    </row>
    <row r="75">
      <c r="A75" t="n">
        <v>2022</v>
      </c>
      <c r="B75" t="n">
        <v>-1167.0849</v>
      </c>
      <c r="C75" t="inlineStr">
        <is>
          <t>XS2301-world</t>
        </is>
      </c>
      <c r="D75" t="inlineStr">
        <is>
          <t>CENSUS_FT900_C0004</t>
        </is>
      </c>
      <c r="E75" t="inlineStr">
        <is>
          <t>billion_usd</t>
        </is>
      </c>
    </row>
    <row r="76">
      <c r="A76" t="n">
        <v>2023</v>
      </c>
      <c r="B76" t="n">
        <v>-1054.613</v>
      </c>
      <c r="C76" t="inlineStr">
        <is>
          <t>XS2301-world</t>
        </is>
      </c>
      <c r="D76" t="inlineStr">
        <is>
          <t>CENSUS_FT900_C0004</t>
        </is>
      </c>
      <c r="E76" t="inlineStr">
        <is>
          <t>billion_usd</t>
        </is>
      </c>
    </row>
    <row r="77">
      <c r="A77" t="n">
        <v>2024</v>
      </c>
      <c r="B77" t="n">
        <v>-1200.8688</v>
      </c>
      <c r="C77" t="inlineStr">
        <is>
          <t>XS2301-world</t>
        </is>
      </c>
      <c r="D77" t="inlineStr">
        <is>
          <t>CENSUS_FT900_C0004</t>
        </is>
      </c>
      <c r="E77" t="inlineStr">
        <is>
          <t>billion_usd</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91"/>
  <sheetViews>
    <sheetView workbookViewId="0">
      <selection activeCell="A1" sqref="A1"/>
    </sheetView>
  </sheetViews>
  <sheetFormatPr baseColWidth="8" defaultRowHeight="15"/>
  <cols>
    <col width="100" customWidth="1" min="1" max="1"/>
  </cols>
  <sheetData>
    <row r="1">
      <c r="A1" s="1" t="inlineStr">
        <is>
          <t>XS2301 — Methodology</t>
        </is>
      </c>
    </row>
    <row r="3">
      <c r="A3" s="4">
        <f>== DPR: XS2301_DPR.md ===</f>
        <v/>
      </c>
    </row>
    <row r="4">
      <c r="A4" t="inlineStr">
        <is>
          <t># XS2301 — US Trade Balance: World Total and China, 2002–2024</t>
        </is>
      </c>
    </row>
    <row r="5">
      <c r="A5" t="inlineStr"/>
    </row>
    <row r="6">
      <c r="A6" t="inlineStr">
        <is>
          <t>**Data Provenance Record (DPR)**</t>
        </is>
      </c>
    </row>
    <row r="7">
      <c r="A7" t="inlineStr">
        <is>
          <t>**Series ID**: XS2301</t>
        </is>
      </c>
    </row>
    <row r="8">
      <c r="A8" t="inlineStr">
        <is>
          <t>**Status**: study_complete</t>
        </is>
      </c>
    </row>
    <row r="9">
      <c r="A9" t="inlineStr">
        <is>
          <t>**Authored**: 2026-05-18</t>
        </is>
      </c>
    </row>
    <row r="10">
      <c r="A10" t="inlineStr">
        <is>
          <t>**Revised**: 2026-06-11 (truncation repair: loader rebuilt on the Census country pages; coverage now genuinely continuous 2002–2024)</t>
        </is>
      </c>
    </row>
    <row r="11">
      <c r="A11" t="inlineStr"/>
    </row>
    <row r="12">
      <c r="A12" t="inlineStr">
        <is>
          <t>## 1. Definition</t>
        </is>
      </c>
    </row>
    <row r="13">
      <c r="A13" t="inlineStr"/>
    </row>
    <row r="14">
      <c r="A14" t="inlineStr">
        <is>
          <t>XS2301 is the annual US merchandise (goods) trade balance against **two**</t>
        </is>
      </c>
    </row>
    <row r="15">
      <c r="A15" t="inlineStr">
        <is>
          <t>trading partners: (i) World Total; (ii) China. Both in Billion current USD,</t>
        </is>
      </c>
    </row>
    <row r="16">
      <c r="A16" t="inlineStr">
        <is>
          <t>Census basis (Total Exports Value − Customs Import Value). Paper source:</t>
        </is>
      </c>
    </row>
    <row r="17">
      <c r="A17" t="inlineStr">
        <is>
          <t>Weber &amp; Shaikh (2020), Appendix Figure 1 (p. 453), which plots 2002–2017.</t>
        </is>
      </c>
    </row>
    <row r="18">
      <c r="A18" t="inlineStr">
        <is>
          <t>We extend the same source forward to 2024.</t>
        </is>
      </c>
    </row>
    <row r="19">
      <c r="A19" t="inlineStr"/>
    </row>
    <row r="20">
      <c r="A20" t="inlineStr">
        <is>
          <t>Per US Census FT900 convention (FT900 is the Census Bureau's monthly</t>
        </is>
      </c>
    </row>
    <row r="21">
      <c r="A21" t="inlineStr">
        <is>
          <t>foreign-trade statistics report), both series are negative throughout the window</t>
        </is>
      </c>
    </row>
    <row r="22">
      <c r="A22" t="inlineStr">
        <is>
          <t>(the US runs a goods-trade deficit). The constructed Census series reproduces</t>
        </is>
      </c>
    </row>
    <row r="23">
      <c r="A23" t="inlineStr">
        <is>
          <t>the paper's Figure 1 endpoints to within figure-read precision: World Total</t>
        </is>
      </c>
    </row>
    <row r="24">
      <c r="A24" t="inlineStr">
        <is>
          <t>2002 = -468.3 bn (paper figure-read ≈ -474), 2017 = -792.4 bn (≈ -810);</t>
        </is>
      </c>
    </row>
    <row r="25">
      <c r="A25" t="inlineStr">
        <is>
          <t>China 2002 = -103.1 bn (≈ -103), 2017 = -375.2 bn (≈ -376).</t>
        </is>
      </c>
    </row>
    <row r="26">
      <c r="A26" t="inlineStr"/>
    </row>
    <row r="27">
      <c r="A27" t="inlineStr">
        <is>
          <t>## 2. Why it matters</t>
        </is>
      </c>
    </row>
    <row r="28">
      <c r="A28" t="inlineStr"/>
    </row>
    <row r="29">
      <c r="A29" t="inlineStr">
        <is>
          <t>Figure 1 is the paper's headline: the bilateral US-China deficit grew from</t>
        </is>
      </c>
    </row>
    <row r="30">
      <c r="A30" t="inlineStr">
        <is>
          <t>"around one-fifth" of the total US deficit in 2002 to "about one-third" by</t>
        </is>
      </c>
    </row>
    <row r="31">
      <c r="A31" t="inlineStr">
        <is>
          <t>2008 (paper p. 432). Decomposing the world-total deficit into the China share</t>
        </is>
      </c>
    </row>
    <row r="32">
      <c r="A32" t="inlineStr">
        <is>
          <t>is the empirical hook for the paper's currency-manipulation critique.</t>
        </is>
      </c>
    </row>
    <row r="33">
      <c r="A33" t="inlineStr"/>
    </row>
    <row r="34">
      <c r="A34" t="inlineStr">
        <is>
          <t>## 3. Sources</t>
        </is>
      </c>
    </row>
    <row r="35">
      <c r="A35" t="inlineStr"/>
    </row>
    <row r="36">
      <c r="A36" t="inlineStr">
        <is>
          <t>| Subseries | Coverage | Source | Native units | Retrieval |</t>
        </is>
      </c>
    </row>
    <row r="37">
      <c r="A37" t="inlineStr">
        <is>
          <t>|---|---|---|---|---|</t>
        </is>
      </c>
    </row>
    <row r="38">
      <c r="A38" t="inlineStr">
        <is>
          <t>| XS2301-world | 2002–2024 | US Census FT900, All-countries goods balance page (c0004) | Millions USD | `census.gov/foreign-trade/balance/c0004.html` |</t>
        </is>
      </c>
    </row>
    <row r="39">
      <c r="A39" t="inlineStr">
        <is>
          <t>| XS2301-china | 2002–2024 | US Census FT900, China goods balance page (c5700) | Millions USD | `census.gov/foreign-trade/balance/c5700.html` |</t>
        </is>
      </c>
    </row>
    <row r="40">
      <c r="A40" t="inlineStr"/>
    </row>
    <row r="41">
      <c r="A41" t="inlineStr">
        <is>
          <t>Both pages are public, key-free HTML and carry one `TOTAL {YYYY}` annual row</t>
        </is>
      </c>
    </row>
    <row r="42">
      <c r="A42" t="inlineStr">
        <is>
          <t>per year-table (Exports / Imports / Balance, current USD millions, Census</t>
        </is>
      </c>
    </row>
    <row r="43">
      <c r="A43" t="inlineStr">
        <is>
          <t>basis). This is the same source family the paper used for Figure 1.</t>
        </is>
      </c>
    </row>
    <row r="44">
      <c r="A44" t="inlineStr"/>
    </row>
    <row r="45">
      <c r="A45" t="inlineStr">
        <is>
          <t>## 4. Construction</t>
        </is>
      </c>
    </row>
    <row r="46">
      <c r="A46" t="inlineStr"/>
    </row>
    <row r="47">
      <c r="A47" t="inlineStr">
        <is>
          <t>For each partner, read the `TOTAL {YYYY}` annual rows from the Census country</t>
        </is>
      </c>
    </row>
    <row r="48">
      <c r="A48" t="inlineStr">
        <is>
          <t>page; take the published annual Balance (millions USD), and divide by 1000 to</t>
        </is>
      </c>
    </row>
    <row r="49">
      <c r="A49" t="inlineStr">
        <is>
          <t>present in Billion USD. The two partners are emitted as two subseries —</t>
        </is>
      </c>
    </row>
    <row r="50">
      <c r="A50" t="inlineStr">
        <is>
          <t>`XS2301-world` and `XS2301-china` (the suffix after the series id names the</t>
        </is>
      </c>
    </row>
    <row r="51">
      <c r="A51" t="inlineStr">
        <is>
          <t>trading partner) — with each observation labelled by its partner and year.</t>
        </is>
      </c>
    </row>
    <row r="52">
      <c r="A52" t="inlineStr"/>
    </row>
    <row r="53">
      <c r="A53" t="inlineStr">
        <is>
          <t>## 5. Year coverage</t>
        </is>
      </c>
    </row>
    <row r="54">
      <c r="A54" t="inlineStr"/>
    </row>
    <row r="55">
      <c r="A55" t="inlineStr">
        <is>
          <t>- Paper window (plotted in Fig 1): 2002–2017 (16 obs per partner)</t>
        </is>
      </c>
    </row>
    <row r="56">
      <c r="A56" t="inlineStr">
        <is>
          <t>- Continued from the same source: 2018–2024 (7 obs; Section 301 tariffs in</t>
        </is>
      </c>
    </row>
    <row r="57">
      <c r="A57" t="inlineStr">
        <is>
          <t xml:space="preserve">  2018-19 and COVID in 2020 create structural shifts — interpretive, not data</t>
        </is>
      </c>
    </row>
    <row r="58">
      <c r="A58" t="inlineStr">
        <is>
          <t xml:space="preserve">  gaps)</t>
        </is>
      </c>
    </row>
    <row r="59">
      <c r="A59" t="inlineStr">
        <is>
          <t>- **Total: 2002–2024 — 23 obs per partner, 46 rows long form, genuinely</t>
        </is>
      </c>
    </row>
    <row r="60">
      <c r="A60" t="inlineStr">
        <is>
          <t xml:space="preserve">  continuous (no missing years).**</t>
        </is>
      </c>
    </row>
    <row r="61">
      <c r="A61" t="inlineStr"/>
    </row>
    <row r="62">
      <c r="A62" t="inlineStr">
        <is>
          <t>## 6. Units</t>
        </is>
      </c>
    </row>
    <row r="63">
      <c r="A63" t="inlineStr"/>
    </row>
    <row r="64">
      <c r="A64" t="inlineStr">
        <is>
          <t>`billion_usd` (loader divides the Census millions figure by 1000).</t>
        </is>
      </c>
    </row>
    <row r="65">
      <c r="A65" t="inlineStr"/>
    </row>
    <row r="66">
      <c r="A66" t="inlineStr">
        <is>
          <t>## 7. Caveats</t>
        </is>
      </c>
    </row>
    <row r="67">
      <c r="A67" t="inlineStr"/>
    </row>
    <row r="68">
      <c r="A68" t="inlineStr">
        <is>
          <t>1. Census-basis (Total Exports Value − Customs Import Value) differs slightly</t>
        </is>
      </c>
    </row>
    <row r="69">
      <c r="A69" t="inlineStr">
        <is>
          <t xml:space="preserve">   from BoP-basis (balance-of-payments basis, US Bureau of Economic Analysis</t>
        </is>
      </c>
    </row>
    <row r="70">
      <c r="A70" t="inlineStr">
        <is>
          <t xml:space="preserve">   (BEA) International Transactions); the paper uses Census</t>
        </is>
      </c>
    </row>
    <row r="71">
      <c r="A71" t="inlineStr">
        <is>
          <t xml:space="preserve">   basis per the Fig 1 footnote, which is what these pages publish.</t>
        </is>
      </c>
    </row>
    <row r="72">
      <c r="A72" t="inlineStr">
        <is>
          <t>2. Section 301 tariffs (2018-) and COVID (2020) create structural breaks in</t>
        </is>
      </c>
    </row>
    <row r="73">
      <c r="A73" t="inlineStr">
        <is>
          <t xml:space="preserve">   the post-paper years — interpretive, not data gaps.</t>
        </is>
      </c>
    </row>
    <row r="74">
      <c r="A74" t="inlineStr">
        <is>
          <t>3. The world-total figure-read endpoints in the paper (-474 in 2002, -810 in</t>
        </is>
      </c>
    </row>
    <row r="75">
      <c r="A75" t="inlineStr">
        <is>
          <t xml:space="preserve">   2017) are eyeballed off the appendix chart; the constructed Census source</t>
        </is>
      </c>
    </row>
    <row r="76">
      <c r="A76" t="inlineStr">
        <is>
          <t xml:space="preserve">   values (-468.3, -792.4) differ by 1.2–2.2%, well within the ±10% validator</t>
        </is>
      </c>
    </row>
    <row r="77">
      <c r="A77" t="inlineStr">
        <is>
          <t xml:space="preserve">   tolerance. The China endpoints match the paper to &lt;1%.</t>
        </is>
      </c>
    </row>
    <row r="78">
      <c r="A78" t="inlineStr"/>
    </row>
    <row r="79">
      <c r="A79" t="inlineStr">
        <is>
          <t>## 8. Revision history — truncation repair (2026-06-11)</t>
        </is>
      </c>
    </row>
    <row r="80">
      <c r="A80" t="inlineStr"/>
    </row>
    <row r="81">
      <c r="A81" t="inlineStr">
        <is>
          <t>The earlier loader attempted a fragile Census scrape that keyed annual figures</t>
        </is>
      </c>
    </row>
    <row r="82">
      <c r="A82" t="inlineStr">
        <is>
          <t>off a four-digit *column header* that does not exist on the country pages (the</t>
        </is>
      </c>
    </row>
    <row r="83">
      <c r="A83" t="inlineStr">
        <is>
          <t>year lives in the `TOTAL {YYYY}` Month cell). The scrape therefore always</t>
        </is>
      </c>
    </row>
    <row r="84">
      <c r="A84" t="inlineStr">
        <is>
          <t>failed and the series silently degraded to the five salvaged Fig-1 *anchor*</t>
        </is>
      </c>
    </row>
    <row r="85">
      <c r="A85" t="inlineStr">
        <is>
          <t>points (World 2002/2017; China 2002/2017/2018), which truncated the series at</t>
        </is>
      </c>
    </row>
    <row r="86">
      <c r="A86" t="inlineStr">
        <is>
          <t>2018 and were figure-reads rather than source data — while the DPR claimed</t>
        </is>
      </c>
    </row>
    <row r="87">
      <c r="A87" t="inlineStr">
        <is>
          <t>continuous coverage to 2024.</t>
        </is>
      </c>
    </row>
    <row r="88">
      <c r="A88" t="inlineStr"/>
    </row>
    <row r="89">
      <c r="A89" t="inlineStr">
        <is>
          <t>The loader was rebuilt to read the `TOTAL {YYYY}` rows directly from the</t>
        </is>
      </c>
    </row>
    <row r="90">
      <c r="A90" t="inlineStr">
        <is>
          <t>Census World (c0004) and China (c5700) country pages. Result: 23 real annual</t>
        </is>
      </c>
    </row>
    <row r="91">
      <c r="A91" t="inlineStr">
        <is>
          <t>observations per partner, 2002–2024, no fabrication, no interpolation.</t>
        </is>
      </c>
    </row>
    <row r="92">
      <c r="A92" t="inlineStr">
        <is>
          <t>Validation PASS (4/4 anchors matched, max 2.17% error). The verbatim Figure 1</t>
        </is>
      </c>
    </row>
    <row r="93">
      <c r="A93" t="inlineStr">
        <is>
          <t>anchors are retained only as a per-partner last-resort fallback if a page</t>
        </is>
      </c>
    </row>
    <row r="94">
      <c r="A94" t="inlineStr">
        <is>
          <t>fetch fails.</t>
        </is>
      </c>
    </row>
    <row r="95">
      <c r="A95" t="inlineStr"/>
    </row>
    <row r="96">
      <c r="A96" t="inlineStr">
        <is>
          <t>## 9. Cross-references</t>
        </is>
      </c>
    </row>
    <row r="97">
      <c r="A97" t="inlineStr"/>
    </row>
    <row r="98">
      <c r="A98" t="inlineStr">
        <is>
          <t>- Related: XS2302, XS2303, XS2304, XS2305 (other Weber-Shaikh figures);</t>
        </is>
      </c>
    </row>
    <row r="99">
      <c r="A99" t="inlineStr">
        <is>
          <t xml:space="preserve">  S1101 (Ch11 trade balance, different concept)</t>
        </is>
      </c>
    </row>
    <row r="100">
      <c r="A100" t="inlineStr"/>
    </row>
    <row r="101">
      <c r="A101" t="inlineStr">
        <is>
          <t>## 10. Validation expectation</t>
        </is>
      </c>
    </row>
    <row r="102">
      <c r="A102" t="inlineStr"/>
    </row>
    <row r="103">
      <c r="A103" t="inlineStr">
        <is>
          <t>- Tolerance: ±10% (figure-read precision on the World endpoints; Census</t>
        </is>
      </c>
    </row>
    <row r="104">
      <c r="A104" t="inlineStr">
        <is>
          <t xml:space="preserve">  periodic revisions can shift historical totals 1–3%).</t>
        </is>
      </c>
    </row>
    <row r="105">
      <c r="A105" t="inlineStr">
        <is>
          <t>- Anchors from Fig 1: world-total 2002 ≈ -474 bn, 2017 ≈ -810 bn;</t>
        </is>
      </c>
    </row>
    <row r="106">
      <c r="A106" t="inlineStr">
        <is>
          <t xml:space="preserve">  china 2002 ≈ -103 bn, 2017 ≈ -376 bn. All satisfied (see §1).</t>
        </is>
      </c>
    </row>
    <row r="109">
      <c r="A109" s="4">
        <f>== EPR: XS2301_EPR.md ===</f>
        <v/>
      </c>
    </row>
    <row r="110">
      <c r="A110" t="inlineStr">
        <is>
          <t># XS2301 — Extension Provenance Record</t>
        </is>
      </c>
    </row>
    <row r="111">
      <c r="A111" t="inlineStr"/>
    </row>
    <row r="112">
      <c r="A112" t="inlineStr">
        <is>
          <t>**Series**: XS2301 — US Trade Balance (World, China)</t>
        </is>
      </c>
    </row>
    <row r="113">
      <c r="A113" t="inlineStr">
        <is>
          <t>**Construction**: `direct` (two parallel partner pulls)</t>
        </is>
      </c>
    </row>
    <row r="114">
      <c r="A114" t="inlineStr">
        <is>
          <t>**Authored**: 2026-05-18</t>
        </is>
      </c>
    </row>
    <row r="115">
      <c r="A115" t="inlineStr"/>
    </row>
    <row r="116">
      <c r="A116" t="inlineStr">
        <is>
          <t>## 1. Extendability</t>
        </is>
      </c>
    </row>
    <row r="117">
      <c r="A117" t="inlineStr"/>
    </row>
    <row r="118">
      <c r="A118" t="inlineStr">
        <is>
          <t>US Census FT900 (the Census Bureau's monthly foreign-trade statistics report)</t>
        </is>
      </c>
    </row>
    <row r="119">
      <c r="A119" t="inlineStr">
        <is>
          <t>is continuously published monthly. Per-country totals for</t>
        </is>
      </c>
    </row>
    <row r="120">
      <c r="A120" t="inlineStr">
        <is>
          <t>China extend back to 1985 and forward to current. Extension to 2024 is</t>
        </is>
      </c>
    </row>
    <row r="121">
      <c r="A121" t="inlineStr">
        <is>
          <t>mechanical with the caveat that:</t>
        </is>
      </c>
    </row>
    <row r="122">
      <c r="A122" t="inlineStr"/>
    </row>
    <row r="123">
      <c r="A123" t="inlineStr">
        <is>
          <t>- 2018-2019 Section 301 tariffs introduce a documented structural break</t>
        </is>
      </c>
    </row>
    <row r="124">
      <c r="A124" t="inlineStr">
        <is>
          <t xml:space="preserve">  in import-value composition (tariff-inclusive vs not).</t>
        </is>
      </c>
    </row>
    <row r="125">
      <c r="A125" t="inlineStr">
        <is>
          <t>- 2020 COVID compresses bilateral trade flows.</t>
        </is>
      </c>
    </row>
    <row r="126">
      <c r="A126" t="inlineStr"/>
    </row>
    <row r="127">
      <c r="A127" t="inlineStr">
        <is>
          <t>Neither caveat blocks extension — both are documented in the extension</t>
        </is>
      </c>
    </row>
    <row r="128">
      <c r="A128" t="inlineStr">
        <is>
          <t>narrative.</t>
        </is>
      </c>
    </row>
    <row r="129">
      <c r="A129" t="inlineStr"/>
    </row>
    <row r="130">
      <c r="A130" t="inlineStr">
        <is>
          <t>## 2. Method</t>
        </is>
      </c>
    </row>
    <row r="131">
      <c r="A131" t="inlineStr"/>
    </row>
    <row r="132">
      <c r="A132" t="inlineStr">
        <is>
          <t>For each partner (world = Census page c0004, china = Census page c5700):</t>
        </is>
      </c>
    </row>
    <row r="133">
      <c r="A133" t="inlineStr">
        <is>
          <t>1. The loader pulls the Census country balance page (rebuilt 2026-06-11 to</t>
        </is>
      </c>
    </row>
    <row r="134">
      <c r="A134" t="inlineStr">
        <is>
          <t xml:space="preserve">   replace a prior fragile scrape that mis-keyed the year off a non-existent</t>
        </is>
      </c>
    </row>
    <row r="135">
      <c r="A135" t="inlineStr">
        <is>
          <t xml:space="preserve">   column header and silently truncated the series at 2018).</t>
        </is>
      </c>
    </row>
    <row r="136">
      <c r="A136" t="inlineStr">
        <is>
          <t>2. Reads the published `TOTAL {YYYY}` annual Balance row directly (Census</t>
        </is>
      </c>
    </row>
    <row r="137">
      <c r="A137" t="inlineStr">
        <is>
          <t xml:space="preserve">   already aggregates the months); no month summing required.</t>
        </is>
      </c>
    </row>
    <row r="138">
      <c r="A138" t="inlineStr">
        <is>
          <t>3. Converts to Billion USD (divide millions by 1000).</t>
        </is>
      </c>
    </row>
    <row r="139">
      <c r="A139" t="inlineStr">
        <is>
          <t>4. Emits two subseries, `XS2301-world` and `XS2301-china` (the suffix names</t>
        </is>
      </c>
    </row>
    <row r="140">
      <c r="A140" t="inlineStr">
        <is>
          <t xml:space="preserve">   the trading partner).</t>
        </is>
      </c>
    </row>
    <row r="141">
      <c r="A141" t="inlineStr"/>
    </row>
    <row r="142">
      <c r="A142" t="inlineStr">
        <is>
          <t>Result: genuinely continuous 2002–2024, 23 obs/partner, all live Census data;</t>
        </is>
      </c>
    </row>
    <row r="143">
      <c r="A143" t="inlineStr">
        <is>
          <t>validation PASS (4/4 Figure 1 anchors, max 2.17% error).</t>
        </is>
      </c>
    </row>
    <row r="144">
      <c r="A144" t="inlineStr"/>
    </row>
    <row r="145">
      <c r="A145" t="inlineStr">
        <is>
          <t>## 3. Proxies</t>
        </is>
      </c>
    </row>
    <row r="146">
      <c r="A146" t="inlineStr"/>
    </row>
    <row r="147">
      <c r="A147" t="inlineStr">
        <is>
          <t>None. Census FT900 IS the source the paper cites.</t>
        </is>
      </c>
    </row>
    <row r="148">
      <c r="A148" t="inlineStr"/>
    </row>
    <row r="149">
      <c r="A149" t="inlineStr">
        <is>
          <t>## 4. Synthetic data</t>
        </is>
      </c>
    </row>
    <row r="150">
      <c r="A150" t="inlineStr"/>
    </row>
    <row r="151">
      <c r="A151" t="inlineStr">
        <is>
          <t>None. NaN propagates.</t>
        </is>
      </c>
    </row>
    <row r="152">
      <c r="A152" t="inlineStr"/>
    </row>
    <row r="153">
      <c r="A153" t="inlineStr">
        <is>
          <t>## 5. Failure modes</t>
        </is>
      </c>
    </row>
    <row r="154">
      <c r="A154" t="inlineStr"/>
    </row>
    <row r="155">
      <c r="A155" t="inlineStr">
        <is>
          <t>- Census HTML layout change: loader returns degraded; processor</t>
        </is>
      </c>
    </row>
    <row r="156">
      <c r="A156" t="inlineStr">
        <is>
          <t xml:space="preserve">  publishes whichever partner parsed.</t>
        </is>
      </c>
    </row>
    <row r="157">
      <c r="A157" t="inlineStr">
        <is>
          <t>- USA Trade Online auth-required path: not used; we stick to the</t>
        </is>
      </c>
    </row>
    <row r="158">
      <c r="A158" t="inlineStr">
        <is>
          <t xml:space="preserve">  public HTML/text pages.</t>
        </is>
      </c>
    </row>
    <row r="159">
      <c r="A159" t="inlineStr"/>
    </row>
    <row r="160">
      <c r="A160" t="inlineStr">
        <is>
          <t>## 6. Conceptual continuity vs adjacent concepts</t>
        </is>
      </c>
    </row>
    <row r="161">
      <c r="A161" t="inlineStr"/>
    </row>
    <row r="162">
      <c r="A162" t="inlineStr">
        <is>
          <t>The extension proxy `Census FT900 c0004 (world) + c5700 (China)` measures</t>
        </is>
      </c>
    </row>
    <row r="163">
      <c r="A163" t="inlineStr">
        <is>
          <t>`US merchandise (goods) trade balance, Census basis` rather than</t>
        </is>
      </c>
    </row>
    <row r="164">
      <c r="A164" t="inlineStr">
        <is>
          <t>`US current account` or `BoP-basis goods balance` (balance-of-payments basis)</t>
        </is>
      </c>
    </row>
    <row r="165">
      <c r="A165" t="inlineStr">
        <is>
          <t>because:</t>
        </is>
      </c>
    </row>
    <row r="166">
      <c r="A166" t="inlineStr">
        <is>
          <t>- Source agency choice: Weber &amp; Shaikh (2020) Fig 1 explicitly cites Census,</t>
        </is>
      </c>
    </row>
    <row r="167">
      <c r="A167" t="inlineStr">
        <is>
          <t xml:space="preserve">  not US Bureau of Economic Analysis (BEA) International Transactions. Census</t>
        </is>
      </c>
    </row>
    <row r="168">
      <c r="A168" t="inlineStr">
        <is>
          <t xml:space="preserve">  FT900 is the published recipe.</t>
        </is>
      </c>
    </row>
    <row r="169">
      <c r="A169" t="inlineStr">
        <is>
          <t>- Methodology continuity: paper-window 2002-2017 values were Census-basis</t>
        </is>
      </c>
    </row>
    <row r="170">
      <c r="A170" t="inlineStr">
        <is>
          <t xml:space="preserve">  monthly aggregates; 2018-2024 extension uses the *same* FT900 release</t>
        </is>
      </c>
    </row>
    <row r="171">
      <c r="A171" t="inlineStr">
        <is>
          <t xml:space="preserve">  (same agency, same exhibit numbers).</t>
        </is>
      </c>
    </row>
    <row r="172">
      <c r="A172" t="inlineStr">
        <is>
          <t>- Disambiguation: Census-basis (Total Exports Value − Customs Import Value)</t>
        </is>
      </c>
    </row>
    <row r="173">
      <c r="A173" t="inlineStr">
        <is>
          <t xml:space="preserve">  differs from BoP-basis (BEA International Transactions Accounts (ITA)</t>
        </is>
      </c>
    </row>
    <row r="174">
      <c r="A174" t="inlineStr">
        <is>
          <t xml:space="preserve">  Table 4.1, which makes balance-of-payments coverage and timing</t>
        </is>
      </c>
    </row>
    <row r="175">
      <c r="A175" t="inlineStr">
        <is>
          <t xml:space="preserve">  adjustments), and from current-account (which adds</t>
        </is>
      </c>
    </row>
    <row r="176">
      <c r="A176" t="inlineStr">
        <is>
          <t xml:space="preserve">  services, primary income, and secondary income).</t>
        </is>
      </c>
    </row>
    <row r="177">
      <c r="A177" t="inlineStr"/>
    </row>
    <row r="178">
      <c r="A178" t="inlineStr">
        <is>
          <t>The book's original concept (paper p. 432, Fig 1 footnote) was: "Total Exports</t>
        </is>
      </c>
    </row>
    <row r="179">
      <c r="A179" t="inlineStr">
        <is>
          <t>Value minus Customs Import Value". The modern series preserves Census-basis</t>
        </is>
      </c>
    </row>
    <row r="180">
      <c r="A180" t="inlineStr">
        <is>
          <t>goods coverage and the bilateral US-China decomposition while permitting a</t>
        </is>
      </c>
    </row>
    <row r="181">
      <c r="A181" t="inlineStr">
        <is>
          <t>small post-2018 Section-301-tariff valuation effect (customs values now</t>
        </is>
      </c>
    </row>
    <row r="182">
      <c r="A182" t="inlineStr">
        <is>
          <t>include tariff-inclusive imports for some Harmonized Tariff Schedule (HTS)</t>
        </is>
      </c>
    </row>
    <row r="183">
      <c r="A183" t="inlineStr">
        <is>
          <t>lines). This is not a proxy substitution: the loader pulls from *exactly* the</t>
        </is>
      </c>
    </row>
    <row r="184">
      <c r="A184" t="inlineStr">
        <is>
          <t>source the paper cites (US Census FT900) — no change of agency, no change of</t>
        </is>
      </c>
    </row>
    <row r="185">
      <c r="A185" t="inlineStr">
        <is>
          <t>concept.</t>
        </is>
      </c>
    </row>
    <row r="186">
      <c r="A186" t="inlineStr"/>
    </row>
    <row r="187">
      <c r="A187" t="inlineStr">
        <is>
          <t>## 7. Method note: Census-basis vs BoP-basis</t>
        </is>
      </c>
    </row>
    <row r="188">
      <c r="A188" t="inlineStr"/>
    </row>
    <row r="189">
      <c r="A189" t="inlineStr">
        <is>
          <t>We reproduce Census basis to match paper recipe; BEA International</t>
        </is>
      </c>
    </row>
    <row r="190">
      <c r="A190" t="inlineStr">
        <is>
          <t>Transactions Table 4.1 BoP-basis goods balance is concept-adjacent but</t>
        </is>
      </c>
    </row>
    <row r="191">
      <c r="A191" t="inlineStr">
        <is>
          <t>methodologically distinct and is NOT used.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14" customWidth="1" min="1" max="1"/>
    <col width="20" customWidth="1" min="2" max="2"/>
    <col width="62" customWidth="1" min="3" max="3"/>
    <col width="44" customWidth="1" min="4" max="4"/>
    <col width="57" customWidth="1" min="5" max="5"/>
    <col width="22" customWidth="1" min="6" max="6"/>
    <col width="38" customWidth="1" min="7" max="7"/>
    <col width="15"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XS2301-china</t>
        </is>
      </c>
      <c r="B2" t="inlineStr">
        <is>
          <t>CENSUS_FT900_C5700</t>
        </is>
      </c>
      <c r="C2" t="inlineStr">
        <is>
          <t>US Census FT900 Trade in Goods with China (per-country page c5700)</t>
        </is>
      </c>
      <c r="D2" t="inlineStr">
        <is>
          <t>U.S. Census Bureau, Foreign Trade Division</t>
        </is>
      </c>
      <c r="E2" t="inlineStr">
        <is>
          <t>https://www.census.gov/foreign-trade/balance/c5700.html</t>
        </is>
      </c>
      <c r="F2" t="inlineStr">
        <is>
          <t>millions current USD</t>
        </is>
      </c>
      <c r="G2" t="inlineStr">
        <is>
          <t>annual (computed from monthly FT900)</t>
        </is>
      </c>
      <c r="H2" t="inlineStr">
        <is>
          <t>Public domain</t>
        </is>
      </c>
      <c r="I2" t="inlineStr">
        <is>
          <t>api_open_no_auth</t>
        </is>
      </c>
    </row>
    <row r="3">
      <c r="A3" t="inlineStr">
        <is>
          <t>XS2301-world</t>
        </is>
      </c>
      <c r="B3" t="inlineStr">
        <is>
          <t>CENSUS_FT900_C0004</t>
        </is>
      </c>
      <c r="C3" t="inlineStr">
        <is>
          <t>US Census FT900 Trade in Goods with the World / all countries (per-country page c0004)</t>
        </is>
      </c>
      <c r="D3" t="inlineStr">
        <is>
          <t>U.S. Census Bureau, Foreign Trade Division</t>
        </is>
      </c>
      <c r="E3" t="inlineStr">
        <is>
          <t>https://www.census.gov/foreign-trade/balance/c0004.html</t>
        </is>
      </c>
      <c r="F3" t="inlineStr">
        <is>
          <t>millions current USD</t>
        </is>
      </c>
      <c r="G3" t="inlineStr">
        <is>
          <t>annual (computed from monthly FT900)</t>
        </is>
      </c>
      <c r="H3" t="inlineStr">
        <is>
          <t>Public domain</t>
        </is>
      </c>
      <c r="I3" t="inlineStr">
        <is>
          <t>api_open_no_auth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2" customWidth="1" min="1" max="1"/>
    <col width="57" customWidth="1" min="2" max="2"/>
  </cols>
  <sheetData>
    <row r="1">
      <c r="A1" s="1" t="inlineStr">
        <is>
          <t>XS2301 — Validation</t>
        </is>
      </c>
    </row>
    <row r="2"/>
    <row r="3">
      <c r="A3" s="2" t="inlineStr">
        <is>
          <t>field</t>
        </is>
      </c>
      <c r="B3" s="2" t="inlineStr">
        <is>
          <t>value</t>
        </is>
      </c>
    </row>
    <row r="4">
      <c r="A4" t="inlineStr">
        <is>
          <t>status</t>
        </is>
      </c>
      <c r="B4" t="inlineStr">
        <is>
          <t>PASS</t>
        </is>
      </c>
    </row>
    <row r="5">
      <c r="A5" t="inlineStr">
        <is>
          <t>tolerance_pct</t>
        </is>
      </c>
      <c r="B5" t="n">
        <v>10</v>
      </c>
    </row>
    <row r="6">
      <c r="A6" t="inlineStr">
        <is>
          <t>content_type</t>
        </is>
      </c>
      <c r="B6" t="inlineStr">
        <is>
          <t>time_series</t>
        </is>
      </c>
    </row>
    <row r="7">
      <c r="A7" t="inlineStr">
        <is>
          <t>comparison_basis</t>
        </is>
      </c>
      <c r="B7" t="inlineStr">
        <is>
          <t>Fig 1 endpoint anchors (2002, 2017) for World and China</t>
        </is>
      </c>
    </row>
    <row r="8">
      <c r="A8" t="inlineStr">
        <is>
          <t>n_compared</t>
        </is>
      </c>
      <c r="B8" t="n">
        <v>4</v>
      </c>
    </row>
    <row r="9">
      <c r="A9" t="inlineStr">
        <is>
          <t>mae</t>
        </is>
      </c>
      <c r="B9" t="n">
        <v>6.0598</v>
      </c>
    </row>
    <row r="10">
      <c r="A10" t="inlineStr">
        <is>
          <t>max_abs_err</t>
        </is>
      </c>
      <c r="B10" t="n">
        <v>17.604</v>
      </c>
    </row>
    <row r="11">
      <c r="A11" t="inlineStr">
        <is>
          <t>max_pct_err</t>
        </is>
      </c>
      <c r="B11" t="n">
        <v>2.1733</v>
      </c>
    </row>
    <row r="12">
      <c r="A12" t="inlineStr">
        <is>
          <t>divergence_count</t>
        </is>
      </c>
      <c r="B12" t="n">
        <v>0</v>
      </c>
    </row>
    <row r="13">
      <c r="A13" t="inlineStr">
        <is>
          <t>divergences</t>
        </is>
      </c>
      <c r="B13" t="inlineStr">
        <is>
          <t>[]</t>
        </is>
      </c>
    </row>
    <row r="14">
      <c r="A14" t="inlineStr">
        <is>
          <t>year_range_processed</t>
        </is>
      </c>
      <c r="B14" t="inlineStr">
        <is>
          <t>[2002, 2024]</t>
        </is>
      </c>
    </row>
    <row r="15">
      <c r="A15" t="inlineStr">
        <is>
          <t>subseries_present</t>
        </is>
      </c>
      <c r="B15" t="inlineStr">
        <is>
          <t>["XS2301-china", "XS2301-world"]</t>
        </is>
      </c>
    </row>
    <row r="16">
      <c r="A16" t="inlineStr">
        <is>
          <t>validated_at</t>
        </is>
      </c>
      <c r="B16" t="inlineStr">
        <is>
          <t>2026-07-11T03:44:27.759924+00:00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1" customWidth="1" min="1" max="1"/>
    <col width="62" customWidth="1" min="2" max="2"/>
  </cols>
  <sheetData>
    <row r="1">
      <c r="A1" s="1" t="inlineStr">
        <is>
          <t>XS2301 — Provenance</t>
        </is>
      </c>
    </row>
    <row r="2"/>
    <row r="3">
      <c r="A3" s="2" t="inlineStr">
        <is>
          <t>field</t>
        </is>
      </c>
      <c r="B3" s="2" t="inlineStr">
        <is>
          <t>value</t>
        </is>
      </c>
    </row>
    <row r="4">
      <c r="A4" t="inlineStr">
        <is>
          <t>primary_source</t>
        </is>
      </c>
      <c r="B4" t="inlineStr">
        <is>
          <t>CENSUS_FT900_C0004</t>
        </is>
      </c>
    </row>
    <row r="5">
      <c r="A5" t="inlineStr">
        <is>
          <t>construction</t>
        </is>
      </c>
      <c r="B5" t="inlineStr">
        <is>
          <t>direct</t>
        </is>
      </c>
    </row>
    <row r="6">
      <c r="A6" t="inlineStr">
        <is>
          <t>status</t>
        </is>
      </c>
      <c r="B6" t="inlineStr">
        <is>
          <t>study_complete</t>
        </is>
      </c>
    </row>
    <row r="7">
      <c r="A7" t="inlineStr">
        <is>
          <t>validation_class</t>
        </is>
      </c>
      <c r="B7" t="inlineStr">
        <is>
          <t>study_replication</t>
        </is>
      </c>
    </row>
    <row r="8">
      <c r="A8" t="inlineStr">
        <is>
          <t>triage</t>
        </is>
      </c>
      <c r="B8" t="inlineStr">
        <is>
          <t>{"verdict": "publish", "reason": "Truncation repaired this pass. The loader's fragile Census scrape mis-keyed the annual figure off a non-existent column header and silently fell back to five Fig-1 anchor points, truncating at 2018 while the DPR falsely claimed continuous coverage to 2024. Loader rebuilt on the Census FT900 country balance pages (c0004 World, c5700 China), reading the published TOTAL {YYYY} rows directly. Now genuinely continuous 2002-2024, 23 real annual observations per partner, all live Census data, zero fabrication. V03 validator PASS (4/4 Fig-1 anchors matched, max 2.17% error). DPR + EPR corrected.", "date": "2026-06-11"}</t>
        </is>
      </c>
    </row>
    <row r="9">
      <c r="A9" t="inlineStr">
        <is>
          <t>dpr</t>
        </is>
      </c>
      <c r="B9" t="inlineStr">
        <is>
          <t>Technical/docs/series/XS2301_DPR.md</t>
        </is>
      </c>
    </row>
    <row r="10">
      <c r="A10" t="inlineStr">
        <is>
          <t>epr</t>
        </is>
      </c>
      <c r="B10" t="inlineStr">
        <is>
          <t>Technical/docs/series/XS2301_EPR.md</t>
        </is>
      </c>
    </row>
    <row r="11">
      <c r="A11" t="inlineStr">
        <is>
          <t>notes</t>
        </is>
      </c>
      <c r="B11" t="inlineStr">
        <is>
          <t>Decision 0001: ES placeholder. Phase 3 subagent must read the paper PDF, identify empirical figures, and either populate this placeholder as a single series OR expand to N series ES{group}01..ES{group}NN. | Rescoped per decision 0006 to Fig 1 only; XS2302-XS2305 hold the other 4 figures.</t>
        </is>
      </c>
    </row>
    <row r="12">
      <c r="A12" t="inlineStr">
        <is>
          <t>content_type</t>
        </is>
      </c>
      <c r="B12" t="inlineStr">
        <is>
          <t>time_series</t>
        </is>
      </c>
    </row>
    <row r="13">
      <c r="A13" t="inlineStr">
        <is>
          <t>units</t>
        </is>
      </c>
      <c r="B13" t="inlineStr">
        <is>
          <t>billion_usd</t>
        </is>
      </c>
    </row>
    <row r="14">
      <c r="A14" t="inlineStr">
        <is>
          <t>proxy</t>
        </is>
      </c>
      <c r="B14" t="inlineStr">
        <is>
          <t>false</t>
        </is>
      </c>
    </row>
    <row r="15">
      <c r="A15" t="inlineStr">
        <is>
          <t>publish</t>
        </is>
      </c>
      <c r="B15" t="inlineStr">
        <is>
          <t>true</t>
        </is>
      </c>
    </row>
    <row r="16">
      <c r="A16" t="inlineStr">
        <is>
          <t>chapter</t>
        </is>
      </c>
      <c r="B16" t="inlineStr">
        <is>
          <t>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2026-07-19T13:16:14Z</dcterms:created>
  <dcterms:modified xmlns:dcterms="http://purl.org/dc/terms/" xmlns:xsi="http://www.w3.org/2001/XMLSchema-instance" xsi:type="dcterms:W3CDTF">2026-07-19T13:16:14Z</dcterms:modified>
</cp:coreProperties>
</file>
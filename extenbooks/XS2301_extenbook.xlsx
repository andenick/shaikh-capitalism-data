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XS2301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'Data'!$B$4:$B$26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'Data'!$A$4:$A$26</f>
            </numRef>
          </cat>
          <val>
            <numRef>
              <f>'Data'!$C$4:$C$26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20" customWidth="1" min="4" max="4"/>
    <col width="13" customWidth="1" min="5" max="5"/>
  </cols>
  <sheetData>
    <row r="1">
      <c r="A1" s="1" t="inlineStr">
        <is>
          <t>XS2301 — annual values (long form below pivot)</t>
        </is>
      </c>
    </row>
    <row r="2"/>
    <row r="3">
      <c r="A3" s="2" t="inlineStr">
        <is>
          <t>year</t>
        </is>
      </c>
      <c r="B3" s="2" t="inlineStr">
        <is>
          <t>XS2301-china</t>
        </is>
      </c>
      <c r="C3" s="2" t="inlineStr">
        <is>
          <t>XS2301-world</t>
        </is>
      </c>
    </row>
    <row r="4">
      <c r="A4" t="n">
        <v>2002</v>
      </c>
      <c r="B4" t="n">
        <v>-103.065</v>
      </c>
      <c r="C4" t="n">
        <v>-468.262</v>
      </c>
    </row>
    <row r="5">
      <c r="A5" t="n">
        <v>2003</v>
      </c>
      <c r="B5" t="n">
        <v>-124.068</v>
      </c>
      <c r="C5" t="n">
        <v>-532.35</v>
      </c>
    </row>
    <row r="6">
      <c r="A6" t="n">
        <v>2004</v>
      </c>
      <c r="B6" t="n">
        <v>-162.254</v>
      </c>
      <c r="C6" t="n">
        <v>-654.828</v>
      </c>
    </row>
    <row r="7">
      <c r="A7" t="n">
        <v>2005</v>
      </c>
      <c r="B7" t="n">
        <v>-202.278</v>
      </c>
      <c r="C7" t="n">
        <v>-772.374</v>
      </c>
    </row>
    <row r="8">
      <c r="A8" t="n">
        <v>2006</v>
      </c>
      <c r="B8" t="n">
        <v>-234.101</v>
      </c>
      <c r="C8" t="n">
        <v>-827.97</v>
      </c>
    </row>
    <row r="9">
      <c r="A9" t="n">
        <v>2007</v>
      </c>
      <c r="B9" t="n">
        <v>-258.506</v>
      </c>
      <c r="C9" t="n">
        <v>-808.765</v>
      </c>
    </row>
    <row r="10">
      <c r="A10" t="n">
        <v>2008</v>
      </c>
      <c r="B10" t="n">
        <v>-268.04</v>
      </c>
      <c r="C10" t="n">
        <v>-816.2</v>
      </c>
    </row>
    <row r="11">
      <c r="A11" t="n">
        <v>2009</v>
      </c>
      <c r="B11" t="n">
        <v>-226.877</v>
      </c>
      <c r="C11" t="n">
        <v>-503.583</v>
      </c>
    </row>
    <row r="12">
      <c r="A12" t="n">
        <v>2010</v>
      </c>
      <c r="B12" t="n">
        <v>-273.042</v>
      </c>
      <c r="C12" t="n">
        <v>-635.365</v>
      </c>
    </row>
    <row r="13">
      <c r="A13" t="n">
        <v>2011</v>
      </c>
      <c r="B13" t="n">
        <v>-295.25</v>
      </c>
      <c r="C13" t="n">
        <v>-725.447</v>
      </c>
    </row>
    <row r="14">
      <c r="A14" t="n">
        <v>2012</v>
      </c>
      <c r="B14" t="n">
        <v>-315.103</v>
      </c>
      <c r="C14" t="n">
        <v>-730.446</v>
      </c>
    </row>
    <row r="15">
      <c r="A15" t="n">
        <v>2013</v>
      </c>
      <c r="B15" t="n">
        <v>-318.684</v>
      </c>
      <c r="C15" t="n">
        <v>-689.47</v>
      </c>
    </row>
    <row r="16">
      <c r="A16" t="n">
        <v>2014</v>
      </c>
      <c r="B16" t="n">
        <v>-344.818</v>
      </c>
      <c r="C16" t="n">
        <v>-734.482</v>
      </c>
    </row>
    <row r="17">
      <c r="A17" t="n">
        <v>2015</v>
      </c>
      <c r="B17" t="n">
        <v>-367.328</v>
      </c>
      <c r="C17" t="n">
        <v>-745.4829999999999</v>
      </c>
    </row>
    <row r="18">
      <c r="A18" t="n">
        <v>2016</v>
      </c>
      <c r="B18" t="n">
        <v>-346.825</v>
      </c>
      <c r="C18" t="n">
        <v>-735.326</v>
      </c>
    </row>
    <row r="19">
      <c r="A19" t="n">
        <v>2017</v>
      </c>
      <c r="B19" t="n">
        <v>-375.168</v>
      </c>
      <c r="C19" t="n">
        <v>-792.396</v>
      </c>
    </row>
    <row r="20">
      <c r="A20" t="n">
        <v>2018</v>
      </c>
      <c r="B20" t="n">
        <v>-418.233</v>
      </c>
      <c r="C20" t="n">
        <v>-870.3579999999999</v>
      </c>
    </row>
    <row r="21">
      <c r="A21" t="n">
        <v>2019</v>
      </c>
      <c r="B21" t="n">
        <v>-342.63</v>
      </c>
      <c r="C21" t="n">
        <v>-845.759</v>
      </c>
    </row>
    <row r="22">
      <c r="A22" t="n">
        <v>2020</v>
      </c>
      <c r="B22" t="n">
        <v>-307.966</v>
      </c>
      <c r="C22" t="n">
        <v>-901.482</v>
      </c>
    </row>
    <row r="23">
      <c r="A23" t="n">
        <v>2021</v>
      </c>
      <c r="B23" t="n">
        <v>-352.807</v>
      </c>
      <c r="C23" t="n">
        <v>-1070.772</v>
      </c>
    </row>
    <row r="24">
      <c r="A24" t="n">
        <v>2022</v>
      </c>
      <c r="B24" t="n">
        <v>-382.281</v>
      </c>
      <c r="C24" t="n">
        <v>-1167.085</v>
      </c>
    </row>
    <row r="25">
      <c r="A25" t="n">
        <v>2023</v>
      </c>
      <c r="B25" t="n">
        <v>-279.608</v>
      </c>
      <c r="C25" t="n">
        <v>-1054.613</v>
      </c>
    </row>
    <row r="26">
      <c r="A26" t="n">
        <v>2024</v>
      </c>
      <c r="B26" t="n">
        <v>-297.048</v>
      </c>
      <c r="C26" t="n">
        <v>-1200.869</v>
      </c>
    </row>
    <row r="27"/>
    <row r="28"/>
    <row r="29"/>
    <row r="30">
      <c r="A30" s="1" t="inlineStr">
        <is>
          <t>Long form (year, value, subseries_id, source_id, units)</t>
        </is>
      </c>
    </row>
    <row r="31">
      <c r="A31" s="3" t="inlineStr">
        <is>
          <t>year</t>
        </is>
      </c>
      <c r="B31" s="3" t="inlineStr">
        <is>
          <t>value</t>
        </is>
      </c>
      <c r="C31" s="3" t="inlineStr">
        <is>
          <t>subseries_id</t>
        </is>
      </c>
      <c r="D31" s="3" t="inlineStr">
        <is>
          <t>source_id</t>
        </is>
      </c>
      <c r="E31" s="3" t="inlineStr">
        <is>
          <t>units</t>
        </is>
      </c>
    </row>
    <row r="32">
      <c r="A32" t="n">
        <v>2002</v>
      </c>
      <c r="B32" t="n">
        <v>-103.065</v>
      </c>
      <c r="C32" t="inlineStr">
        <is>
          <t>XS2301-china</t>
        </is>
      </c>
      <c r="D32" t="inlineStr">
        <is>
          <t>CENSUS_FT900_C5700</t>
        </is>
      </c>
      <c r="E32" t="inlineStr">
        <is>
          <t>billion_usd</t>
        </is>
      </c>
    </row>
    <row r="33">
      <c r="A33" t="n">
        <v>2003</v>
      </c>
      <c r="B33" t="n">
        <v>-124.068</v>
      </c>
      <c r="C33" t="inlineStr">
        <is>
          <t>XS2301-china</t>
        </is>
      </c>
      <c r="D33" t="inlineStr">
        <is>
          <t>CENSUS_FT900_C5700</t>
        </is>
      </c>
      <c r="E33" t="inlineStr">
        <is>
          <t>billion_usd</t>
        </is>
      </c>
    </row>
    <row r="34">
      <c r="A34" t="n">
        <v>2004</v>
      </c>
      <c r="B34" t="n">
        <v>-162.254</v>
      </c>
      <c r="C34" t="inlineStr">
        <is>
          <t>XS2301-china</t>
        </is>
      </c>
      <c r="D34" t="inlineStr">
        <is>
          <t>CENSUS_FT900_C5700</t>
        </is>
      </c>
      <c r="E34" t="inlineStr">
        <is>
          <t>billion_usd</t>
        </is>
      </c>
    </row>
    <row r="35">
      <c r="A35" t="n">
        <v>2005</v>
      </c>
      <c r="B35" t="n">
        <v>-202.278</v>
      </c>
      <c r="C35" t="inlineStr">
        <is>
          <t>XS2301-china</t>
        </is>
      </c>
      <c r="D35" t="inlineStr">
        <is>
          <t>CENSUS_FT900_C5700</t>
        </is>
      </c>
      <c r="E35" t="inlineStr">
        <is>
          <t>billion_usd</t>
        </is>
      </c>
    </row>
    <row r="36">
      <c r="A36" t="n">
        <v>2006</v>
      </c>
      <c r="B36" t="n">
        <v>-234.101</v>
      </c>
      <c r="C36" t="inlineStr">
        <is>
          <t>XS2301-china</t>
        </is>
      </c>
      <c r="D36" t="inlineStr">
        <is>
          <t>CENSUS_FT900_C5700</t>
        </is>
      </c>
      <c r="E36" t="inlineStr">
        <is>
          <t>billion_usd</t>
        </is>
      </c>
    </row>
    <row r="37">
      <c r="A37" t="n">
        <v>2007</v>
      </c>
      <c r="B37" t="n">
        <v>-258.506</v>
      </c>
      <c r="C37" t="inlineStr">
        <is>
          <t>XS2301-china</t>
        </is>
      </c>
      <c r="D37" t="inlineStr">
        <is>
          <t>CENSUS_FT900_C5700</t>
        </is>
      </c>
      <c r="E37" t="inlineStr">
        <is>
          <t>billion_usd</t>
        </is>
      </c>
    </row>
    <row r="38">
      <c r="A38" t="n">
        <v>2008</v>
      </c>
      <c r="B38" t="n">
        <v>-268.04</v>
      </c>
      <c r="C38" t="inlineStr">
        <is>
          <t>XS2301-china</t>
        </is>
      </c>
      <c r="D38" t="inlineStr">
        <is>
          <t>CENSUS_FT900_C5700</t>
        </is>
      </c>
      <c r="E38" t="inlineStr">
        <is>
          <t>billion_usd</t>
        </is>
      </c>
    </row>
    <row r="39">
      <c r="A39" t="n">
        <v>2009</v>
      </c>
      <c r="B39" t="n">
        <v>-226.877</v>
      </c>
      <c r="C39" t="inlineStr">
        <is>
          <t>XS2301-china</t>
        </is>
      </c>
      <c r="D39" t="inlineStr">
        <is>
          <t>CENSUS_FT900_C5700</t>
        </is>
      </c>
      <c r="E39" t="inlineStr">
        <is>
          <t>billion_usd</t>
        </is>
      </c>
    </row>
    <row r="40">
      <c r="A40" t="n">
        <v>2010</v>
      </c>
      <c r="B40" t="n">
        <v>-273.042</v>
      </c>
      <c r="C40" t="inlineStr">
        <is>
          <t>XS2301-china</t>
        </is>
      </c>
      <c r="D40" t="inlineStr">
        <is>
          <t>CENSUS_FT900_C5700</t>
        </is>
      </c>
      <c r="E40" t="inlineStr">
        <is>
          <t>billion_usd</t>
        </is>
      </c>
    </row>
    <row r="41">
      <c r="A41" t="n">
        <v>2011</v>
      </c>
      <c r="B41" t="n">
        <v>-295.25</v>
      </c>
      <c r="C41" t="inlineStr">
        <is>
          <t>XS2301-china</t>
        </is>
      </c>
      <c r="D41" t="inlineStr">
        <is>
          <t>CENSUS_FT900_C5700</t>
        </is>
      </c>
      <c r="E41" t="inlineStr">
        <is>
          <t>billion_usd</t>
        </is>
      </c>
    </row>
    <row r="42">
      <c r="A42" t="n">
        <v>2012</v>
      </c>
      <c r="B42" t="n">
        <v>-315.103</v>
      </c>
      <c r="C42" t="inlineStr">
        <is>
          <t>XS2301-china</t>
        </is>
      </c>
      <c r="D42" t="inlineStr">
        <is>
          <t>CENSUS_FT900_C5700</t>
        </is>
      </c>
      <c r="E42" t="inlineStr">
        <is>
          <t>billion_usd</t>
        </is>
      </c>
    </row>
    <row r="43">
      <c r="A43" t="n">
        <v>2013</v>
      </c>
      <c r="B43" t="n">
        <v>-318.684</v>
      </c>
      <c r="C43" t="inlineStr">
        <is>
          <t>XS2301-china</t>
        </is>
      </c>
      <c r="D43" t="inlineStr">
        <is>
          <t>CENSUS_FT900_C5700</t>
        </is>
      </c>
      <c r="E43" t="inlineStr">
        <is>
          <t>billion_usd</t>
        </is>
      </c>
    </row>
    <row r="44">
      <c r="A44" t="n">
        <v>2014</v>
      </c>
      <c r="B44" t="n">
        <v>-344.818</v>
      </c>
      <c r="C44" t="inlineStr">
        <is>
          <t>XS2301-china</t>
        </is>
      </c>
      <c r="D44" t="inlineStr">
        <is>
          <t>CENSUS_FT900_C5700</t>
        </is>
      </c>
      <c r="E44" t="inlineStr">
        <is>
          <t>billion_usd</t>
        </is>
      </c>
    </row>
    <row r="45">
      <c r="A45" t="n">
        <v>2015</v>
      </c>
      <c r="B45" t="n">
        <v>-367.328</v>
      </c>
      <c r="C45" t="inlineStr">
        <is>
          <t>XS2301-china</t>
        </is>
      </c>
      <c r="D45" t="inlineStr">
        <is>
          <t>CENSUS_FT900_C5700</t>
        </is>
      </c>
      <c r="E45" t="inlineStr">
        <is>
          <t>billion_usd</t>
        </is>
      </c>
    </row>
    <row r="46">
      <c r="A46" t="n">
        <v>2016</v>
      </c>
      <c r="B46" t="n">
        <v>-346.825</v>
      </c>
      <c r="C46" t="inlineStr">
        <is>
          <t>XS2301-china</t>
        </is>
      </c>
      <c r="D46" t="inlineStr">
        <is>
          <t>CENSUS_FT900_C5700</t>
        </is>
      </c>
      <c r="E46" t="inlineStr">
        <is>
          <t>billion_usd</t>
        </is>
      </c>
    </row>
    <row r="47">
      <c r="A47" t="n">
        <v>2017</v>
      </c>
      <c r="B47" t="n">
        <v>-375.168</v>
      </c>
      <c r="C47" t="inlineStr">
        <is>
          <t>XS2301-china</t>
        </is>
      </c>
      <c r="D47" t="inlineStr">
        <is>
          <t>CENSUS_FT900_C5700</t>
        </is>
      </c>
      <c r="E47" t="inlineStr">
        <is>
          <t>billion_usd</t>
        </is>
      </c>
    </row>
    <row r="48">
      <c r="A48" t="n">
        <v>2018</v>
      </c>
      <c r="B48" t="n">
        <v>-418.233</v>
      </c>
      <c r="C48" t="inlineStr">
        <is>
          <t>XS2301-china</t>
        </is>
      </c>
      <c r="D48" t="inlineStr">
        <is>
          <t>CENSUS_FT900_C5700</t>
        </is>
      </c>
      <c r="E48" t="inlineStr">
        <is>
          <t>billion_usd</t>
        </is>
      </c>
    </row>
    <row r="49">
      <c r="A49" t="n">
        <v>2019</v>
      </c>
      <c r="B49" t="n">
        <v>-342.63</v>
      </c>
      <c r="C49" t="inlineStr">
        <is>
          <t>XS2301-china</t>
        </is>
      </c>
      <c r="D49" t="inlineStr">
        <is>
          <t>CENSUS_FT900_C5700</t>
        </is>
      </c>
      <c r="E49" t="inlineStr">
        <is>
          <t>billion_usd</t>
        </is>
      </c>
    </row>
    <row r="50">
      <c r="A50" t="n">
        <v>2020</v>
      </c>
      <c r="B50" t="n">
        <v>-307.966</v>
      </c>
      <c r="C50" t="inlineStr">
        <is>
          <t>XS2301-china</t>
        </is>
      </c>
      <c r="D50" t="inlineStr">
        <is>
          <t>CENSUS_FT900_C5700</t>
        </is>
      </c>
      <c r="E50" t="inlineStr">
        <is>
          <t>billion_usd</t>
        </is>
      </c>
    </row>
    <row r="51">
      <c r="A51" t="n">
        <v>2021</v>
      </c>
      <c r="B51" t="n">
        <v>-352.807</v>
      </c>
      <c r="C51" t="inlineStr">
        <is>
          <t>XS2301-china</t>
        </is>
      </c>
      <c r="D51" t="inlineStr">
        <is>
          <t>CENSUS_FT900_C5700</t>
        </is>
      </c>
      <c r="E51" t="inlineStr">
        <is>
          <t>billion_usd</t>
        </is>
      </c>
    </row>
    <row r="52">
      <c r="A52" t="n">
        <v>2022</v>
      </c>
      <c r="B52" t="n">
        <v>-382.281</v>
      </c>
      <c r="C52" t="inlineStr">
        <is>
          <t>XS2301-china</t>
        </is>
      </c>
      <c r="D52" t="inlineStr">
        <is>
          <t>CENSUS_FT900_C5700</t>
        </is>
      </c>
      <c r="E52" t="inlineStr">
        <is>
          <t>billion_usd</t>
        </is>
      </c>
    </row>
    <row r="53">
      <c r="A53" t="n">
        <v>2023</v>
      </c>
      <c r="B53" t="n">
        <v>-279.608</v>
      </c>
      <c r="C53" t="inlineStr">
        <is>
          <t>XS2301-china</t>
        </is>
      </c>
      <c r="D53" t="inlineStr">
        <is>
          <t>CENSUS_FT900_C5700</t>
        </is>
      </c>
      <c r="E53" t="inlineStr">
        <is>
          <t>billion_usd</t>
        </is>
      </c>
    </row>
    <row r="54">
      <c r="A54" t="n">
        <v>2024</v>
      </c>
      <c r="B54" t="n">
        <v>-297.048</v>
      </c>
      <c r="C54" t="inlineStr">
        <is>
          <t>XS2301-china</t>
        </is>
      </c>
      <c r="D54" t="inlineStr">
        <is>
          <t>CENSUS_FT900_C5700</t>
        </is>
      </c>
      <c r="E54" t="inlineStr">
        <is>
          <t>billion_usd</t>
        </is>
      </c>
    </row>
    <row r="55">
      <c r="A55" t="n">
        <v>2002</v>
      </c>
      <c r="B55" t="n">
        <v>-468.262</v>
      </c>
      <c r="C55" t="inlineStr">
        <is>
          <t>XS2301-world</t>
        </is>
      </c>
      <c r="D55" t="inlineStr">
        <is>
          <t>CENSUS_FT900_C0004</t>
        </is>
      </c>
      <c r="E55" t="inlineStr">
        <is>
          <t>billion_usd</t>
        </is>
      </c>
    </row>
    <row r="56">
      <c r="A56" t="n">
        <v>2003</v>
      </c>
      <c r="B56" t="n">
        <v>-532.35</v>
      </c>
      <c r="C56" t="inlineStr">
        <is>
          <t>XS2301-world</t>
        </is>
      </c>
      <c r="D56" t="inlineStr">
        <is>
          <t>CENSUS_FT900_C0004</t>
        </is>
      </c>
      <c r="E56" t="inlineStr">
        <is>
          <t>billion_usd</t>
        </is>
      </c>
    </row>
    <row r="57">
      <c r="A57" t="n">
        <v>2004</v>
      </c>
      <c r="B57" t="n">
        <v>-654.828</v>
      </c>
      <c r="C57" t="inlineStr">
        <is>
          <t>XS2301-world</t>
        </is>
      </c>
      <c r="D57" t="inlineStr">
        <is>
          <t>CENSUS_FT900_C0004</t>
        </is>
      </c>
      <c r="E57" t="inlineStr">
        <is>
          <t>billion_usd</t>
        </is>
      </c>
    </row>
    <row r="58">
      <c r="A58" t="n">
        <v>2005</v>
      </c>
      <c r="B58" t="n">
        <v>-772.374</v>
      </c>
      <c r="C58" t="inlineStr">
        <is>
          <t>XS2301-world</t>
        </is>
      </c>
      <c r="D58" t="inlineStr">
        <is>
          <t>CENSUS_FT900_C0004</t>
        </is>
      </c>
      <c r="E58" t="inlineStr">
        <is>
          <t>billion_usd</t>
        </is>
      </c>
    </row>
    <row r="59">
      <c r="A59" t="n">
        <v>2006</v>
      </c>
      <c r="B59" t="n">
        <v>-827.97</v>
      </c>
      <c r="C59" t="inlineStr">
        <is>
          <t>XS2301-world</t>
        </is>
      </c>
      <c r="D59" t="inlineStr">
        <is>
          <t>CENSUS_FT900_C0004</t>
        </is>
      </c>
      <c r="E59" t="inlineStr">
        <is>
          <t>billion_usd</t>
        </is>
      </c>
    </row>
    <row r="60">
      <c r="A60" t="n">
        <v>2007</v>
      </c>
      <c r="B60" t="n">
        <v>-808.765</v>
      </c>
      <c r="C60" t="inlineStr">
        <is>
          <t>XS2301-world</t>
        </is>
      </c>
      <c r="D60" t="inlineStr">
        <is>
          <t>CENSUS_FT900_C0004</t>
        </is>
      </c>
      <c r="E60" t="inlineStr">
        <is>
          <t>billion_usd</t>
        </is>
      </c>
    </row>
    <row r="61">
      <c r="A61" t="n">
        <v>2008</v>
      </c>
      <c r="B61" t="n">
        <v>-816.2</v>
      </c>
      <c r="C61" t="inlineStr">
        <is>
          <t>XS2301-world</t>
        </is>
      </c>
      <c r="D61" t="inlineStr">
        <is>
          <t>CENSUS_FT900_C0004</t>
        </is>
      </c>
      <c r="E61" t="inlineStr">
        <is>
          <t>billion_usd</t>
        </is>
      </c>
    </row>
    <row r="62">
      <c r="A62" t="n">
        <v>2009</v>
      </c>
      <c r="B62" t="n">
        <v>-503.583</v>
      </c>
      <c r="C62" t="inlineStr">
        <is>
          <t>XS2301-world</t>
        </is>
      </c>
      <c r="D62" t="inlineStr">
        <is>
          <t>CENSUS_FT900_C0004</t>
        </is>
      </c>
      <c r="E62" t="inlineStr">
        <is>
          <t>billion_usd</t>
        </is>
      </c>
    </row>
    <row r="63">
      <c r="A63" t="n">
        <v>2010</v>
      </c>
      <c r="B63" t="n">
        <v>-635.365</v>
      </c>
      <c r="C63" t="inlineStr">
        <is>
          <t>XS2301-world</t>
        </is>
      </c>
      <c r="D63" t="inlineStr">
        <is>
          <t>CENSUS_FT900_C0004</t>
        </is>
      </c>
      <c r="E63" t="inlineStr">
        <is>
          <t>billion_usd</t>
        </is>
      </c>
    </row>
    <row r="64">
      <c r="A64" t="n">
        <v>2011</v>
      </c>
      <c r="B64" t="n">
        <v>-725.447</v>
      </c>
      <c r="C64" t="inlineStr">
        <is>
          <t>XS2301-world</t>
        </is>
      </c>
      <c r="D64" t="inlineStr">
        <is>
          <t>CENSUS_FT900_C0004</t>
        </is>
      </c>
      <c r="E64" t="inlineStr">
        <is>
          <t>billion_usd</t>
        </is>
      </c>
    </row>
    <row r="65">
      <c r="A65" t="n">
        <v>2012</v>
      </c>
      <c r="B65" t="n">
        <v>-730.446</v>
      </c>
      <c r="C65" t="inlineStr">
        <is>
          <t>XS2301-world</t>
        </is>
      </c>
      <c r="D65" t="inlineStr">
        <is>
          <t>CENSUS_FT900_C0004</t>
        </is>
      </c>
      <c r="E65" t="inlineStr">
        <is>
          <t>billion_usd</t>
        </is>
      </c>
    </row>
    <row r="66">
      <c r="A66" t="n">
        <v>2013</v>
      </c>
      <c r="B66" t="n">
        <v>-689.47</v>
      </c>
      <c r="C66" t="inlineStr">
        <is>
          <t>XS2301-world</t>
        </is>
      </c>
      <c r="D66" t="inlineStr">
        <is>
          <t>CENSUS_FT900_C0004</t>
        </is>
      </c>
      <c r="E66" t="inlineStr">
        <is>
          <t>billion_usd</t>
        </is>
      </c>
    </row>
    <row r="67">
      <c r="A67" t="n">
        <v>2014</v>
      </c>
      <c r="B67" t="n">
        <v>-734.482</v>
      </c>
      <c r="C67" t="inlineStr">
        <is>
          <t>XS2301-world</t>
        </is>
      </c>
      <c r="D67" t="inlineStr">
        <is>
          <t>CENSUS_FT900_C0004</t>
        </is>
      </c>
      <c r="E67" t="inlineStr">
        <is>
          <t>billion_usd</t>
        </is>
      </c>
    </row>
    <row r="68">
      <c r="A68" t="n">
        <v>2015</v>
      </c>
      <c r="B68" t="n">
        <v>-745.4829999999999</v>
      </c>
      <c r="C68" t="inlineStr">
        <is>
          <t>XS2301-world</t>
        </is>
      </c>
      <c r="D68" t="inlineStr">
        <is>
          <t>CENSUS_FT900_C0004</t>
        </is>
      </c>
      <c r="E68" t="inlineStr">
        <is>
          <t>billion_usd</t>
        </is>
      </c>
    </row>
    <row r="69">
      <c r="A69" t="n">
        <v>2016</v>
      </c>
      <c r="B69" t="n">
        <v>-735.326</v>
      </c>
      <c r="C69" t="inlineStr">
        <is>
          <t>XS2301-world</t>
        </is>
      </c>
      <c r="D69" t="inlineStr">
        <is>
          <t>CENSUS_FT900_C0004</t>
        </is>
      </c>
      <c r="E69" t="inlineStr">
        <is>
          <t>billion_usd</t>
        </is>
      </c>
    </row>
    <row r="70">
      <c r="A70" t="n">
        <v>2017</v>
      </c>
      <c r="B70" t="n">
        <v>-792.396</v>
      </c>
      <c r="C70" t="inlineStr">
        <is>
          <t>XS2301-world</t>
        </is>
      </c>
      <c r="D70" t="inlineStr">
        <is>
          <t>CENSUS_FT900_C0004</t>
        </is>
      </c>
      <c r="E70" t="inlineStr">
        <is>
          <t>billion_usd</t>
        </is>
      </c>
    </row>
    <row r="71">
      <c r="A71" t="n">
        <v>2018</v>
      </c>
      <c r="B71" t="n">
        <v>-870.3579999999999</v>
      </c>
      <c r="C71" t="inlineStr">
        <is>
          <t>XS2301-world</t>
        </is>
      </c>
      <c r="D71" t="inlineStr">
        <is>
          <t>CENSUS_FT900_C0004</t>
        </is>
      </c>
      <c r="E71" t="inlineStr">
        <is>
          <t>billion_usd</t>
        </is>
      </c>
    </row>
    <row r="72">
      <c r="A72" t="n">
        <v>2019</v>
      </c>
      <c r="B72" t="n">
        <v>-845.759</v>
      </c>
      <c r="C72" t="inlineStr">
        <is>
          <t>XS2301-world</t>
        </is>
      </c>
      <c r="D72" t="inlineStr">
        <is>
          <t>CENSUS_FT900_C0004</t>
        </is>
      </c>
      <c r="E72" t="inlineStr">
        <is>
          <t>billion_usd</t>
        </is>
      </c>
    </row>
    <row r="73">
      <c r="A73" t="n">
        <v>2020</v>
      </c>
      <c r="B73" t="n">
        <v>-901.482</v>
      </c>
      <c r="C73" t="inlineStr">
        <is>
          <t>XS2301-world</t>
        </is>
      </c>
      <c r="D73" t="inlineStr">
        <is>
          <t>CENSUS_FT900_C0004</t>
        </is>
      </c>
      <c r="E73" t="inlineStr">
        <is>
          <t>billion_usd</t>
        </is>
      </c>
    </row>
    <row r="74">
      <c r="A74" t="n">
        <v>2021</v>
      </c>
      <c r="B74" t="n">
        <v>-1070.772</v>
      </c>
      <c r="C74" t="inlineStr">
        <is>
          <t>XS2301-world</t>
        </is>
      </c>
      <c r="D74" t="inlineStr">
        <is>
          <t>CENSUS_FT900_C0004</t>
        </is>
      </c>
      <c r="E74" t="inlineStr">
        <is>
          <t>billion_usd</t>
        </is>
      </c>
    </row>
    <row r="75">
      <c r="A75" t="n">
        <v>2022</v>
      </c>
      <c r="B75" t="n">
        <v>-1167.085</v>
      </c>
      <c r="C75" t="inlineStr">
        <is>
          <t>XS2301-world</t>
        </is>
      </c>
      <c r="D75" t="inlineStr">
        <is>
          <t>CENSUS_FT900_C0004</t>
        </is>
      </c>
      <c r="E75" t="inlineStr">
        <is>
          <t>billion_usd</t>
        </is>
      </c>
    </row>
    <row r="76">
      <c r="A76" t="n">
        <v>2023</v>
      </c>
      <c r="B76" t="n">
        <v>-1054.613</v>
      </c>
      <c r="C76" t="inlineStr">
        <is>
          <t>XS2301-world</t>
        </is>
      </c>
      <c r="D76" t="inlineStr">
        <is>
          <t>CENSUS_FT900_C0004</t>
        </is>
      </c>
      <c r="E76" t="inlineStr">
        <is>
          <t>billion_usd</t>
        </is>
      </c>
    </row>
    <row r="77">
      <c r="A77" t="n">
        <v>2024</v>
      </c>
      <c r="B77" t="n">
        <v>-1200.869</v>
      </c>
      <c r="C77" t="inlineStr">
        <is>
          <t>XS2301-world</t>
        </is>
      </c>
      <c r="D77" t="inlineStr">
        <is>
          <t>CENSUS_FT900_C0004</t>
        </is>
      </c>
      <c r="E77" t="inlineStr">
        <is>
          <t>billion_usd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XS2301 — Methodology</t>
        </is>
      </c>
    </row>
    <row r="3">
      <c r="A3" s="4">
        <f>== DPR: XS2301_DPR.md ===</f>
        <v/>
      </c>
    </row>
    <row r="4">
      <c r="A4" t="inlineStr">
        <is>
          <t># XS2301 — US Trade Balance: World Total and China, 2002–2024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**Series ID**: XS2301</t>
        </is>
      </c>
    </row>
    <row r="8">
      <c r="A8" t="inlineStr">
        <is>
          <t>**Status**: study_complete</t>
        </is>
      </c>
    </row>
    <row r="9">
      <c r="A9" t="inlineStr">
        <is>
          <t>**Authored**: 2026-05-18</t>
        </is>
      </c>
    </row>
    <row r="10">
      <c r="A10" t="inlineStr">
        <is>
          <t>**Revised**: 2026-06-11 (truncation repair: loader rebuilt on the Census country pages; coverage now genuinely continuous 2002–2024)</t>
        </is>
      </c>
    </row>
    <row r="11">
      <c r="A11" t="inlineStr"/>
    </row>
    <row r="12">
      <c r="A12" t="inlineStr">
        <is>
          <t>## 1. Definition</t>
        </is>
      </c>
    </row>
    <row r="13">
      <c r="A13" t="inlineStr"/>
    </row>
    <row r="14">
      <c r="A14" t="inlineStr">
        <is>
          <t>XS2301 is the annual US merchandise (goods) trade balance against **two**</t>
        </is>
      </c>
    </row>
    <row r="15">
      <c r="A15" t="inlineStr">
        <is>
          <t>trading partners: (i) World Total; (ii) China. Both in Billion current USD,</t>
        </is>
      </c>
    </row>
    <row r="16">
      <c r="A16" t="inlineStr">
        <is>
          <t>Census basis (Total Exports Value − Customs Import Value). Paper source:</t>
        </is>
      </c>
    </row>
    <row r="17">
      <c r="A17" t="inlineStr">
        <is>
          <t>Weber &amp; Shaikh (2020), Appendix Figure 1 (p. 453), which plots 2002–2017.</t>
        </is>
      </c>
    </row>
    <row r="18">
      <c r="A18" t="inlineStr">
        <is>
          <t>We extend the same source forward to 2024.</t>
        </is>
      </c>
    </row>
    <row r="19">
      <c r="A19" t="inlineStr"/>
    </row>
    <row r="20">
      <c r="A20" t="inlineStr">
        <is>
          <t>Per US Census FT900 convention (FT900 is the Census Bureau's monthly</t>
        </is>
      </c>
    </row>
    <row r="21">
      <c r="A21" t="inlineStr">
        <is>
          <t>foreign-trade statistics report), both series are negative throughout the window</t>
        </is>
      </c>
    </row>
    <row r="22">
      <c r="A22" t="inlineStr">
        <is>
          <t>(the US runs a goods-trade deficit). The constructed Census series reproduces</t>
        </is>
      </c>
    </row>
    <row r="23">
      <c r="A23" t="inlineStr">
        <is>
          <t>the paper's Figure 1 endpoints to within figure-read precision: World Total</t>
        </is>
      </c>
    </row>
    <row r="24">
      <c r="A24" t="inlineStr">
        <is>
          <t>2002 = -468.3 bn (paper figure-read ≈ -474), 2017 = -792.4 bn (≈ -810);</t>
        </is>
      </c>
    </row>
    <row r="25">
      <c r="A25" t="inlineStr">
        <is>
          <t>China 2002 = -103.1 bn (≈ -103), 2017 = -375.2 bn (≈ -376).</t>
        </is>
      </c>
    </row>
    <row r="26">
      <c r="A26" t="inlineStr"/>
    </row>
    <row r="27">
      <c r="A27" t="inlineStr">
        <is>
          <t>## 2. Why it matters</t>
        </is>
      </c>
    </row>
    <row r="28">
      <c r="A28" t="inlineStr"/>
    </row>
    <row r="29">
      <c r="A29" t="inlineStr">
        <is>
          <t>Figure 1 is the paper's headline: the bilateral US-China deficit grew from</t>
        </is>
      </c>
    </row>
    <row r="30">
      <c r="A30" t="inlineStr">
        <is>
          <t>"around one-fifth" of the total US deficit in 2002 to "about one-third" by</t>
        </is>
      </c>
    </row>
    <row r="31">
      <c r="A31" t="inlineStr">
        <is>
          <t>2008 (paper p. 432). Decomposing the world-total deficit into the China share</t>
        </is>
      </c>
    </row>
    <row r="32">
      <c r="A32" t="inlineStr">
        <is>
          <t>is the empirical hook for the paper's currency-manipulation critique.</t>
        </is>
      </c>
    </row>
    <row r="33">
      <c r="A33" t="inlineStr"/>
    </row>
    <row r="34">
      <c r="A34" t="inlineStr">
        <is>
          <t>## 3. Sources</t>
        </is>
      </c>
    </row>
    <row r="35">
      <c r="A35" t="inlineStr"/>
    </row>
    <row r="36">
      <c r="A36" t="inlineStr">
        <is>
          <t>| Subseries | Coverage | Source | Native units | Retrieval |</t>
        </is>
      </c>
    </row>
    <row r="37">
      <c r="A37" t="inlineStr">
        <is>
          <t>|---|---|---|---|---|</t>
        </is>
      </c>
    </row>
    <row r="38">
      <c r="A38" t="inlineStr">
        <is>
          <t>| XS2301-world | 2002–2024 | US Census FT900, All-countries goods balance page (c0004) | Millions USD | `census.gov/foreign-trade/balance/c0004.html` |</t>
        </is>
      </c>
    </row>
    <row r="39">
      <c r="A39" t="inlineStr">
        <is>
          <t>| XS2301-china | 2002–2024 | US Census FT900, China goods balance page (c5700) | Millions USD | `census.gov/foreign-trade/balance/c5700.html` |</t>
        </is>
      </c>
    </row>
    <row r="40">
      <c r="A40" t="inlineStr"/>
    </row>
    <row r="41">
      <c r="A41" t="inlineStr">
        <is>
          <t>Both pages are public, key-free HTML and carry one `TOTAL {YYYY}` annual row</t>
        </is>
      </c>
    </row>
    <row r="42">
      <c r="A42" t="inlineStr">
        <is>
          <t>per year-table (Exports / Imports / Balance, current USD millions, Census</t>
        </is>
      </c>
    </row>
    <row r="43">
      <c r="A43" t="inlineStr">
        <is>
          <t>basis). This is the same source family the paper used for Figure 1.</t>
        </is>
      </c>
    </row>
    <row r="44">
      <c r="A44" t="inlineStr"/>
    </row>
    <row r="45">
      <c r="A45" t="inlineStr">
        <is>
          <t>## 4. Construction</t>
        </is>
      </c>
    </row>
    <row r="46">
      <c r="A46" t="inlineStr"/>
    </row>
    <row r="47">
      <c r="A47" t="inlineStr">
        <is>
          <t>For each partner, read the `TOTAL {YYYY}` annual rows from the Census country</t>
        </is>
      </c>
    </row>
    <row r="48">
      <c r="A48" t="inlineStr">
        <is>
          <t>page; take the published annual Balance (millions USD), and divide by 1000 to</t>
        </is>
      </c>
    </row>
    <row r="49">
      <c r="A49" t="inlineStr">
        <is>
          <t>present in Billion USD. The two partners are emitted as two subseries —</t>
        </is>
      </c>
    </row>
    <row r="50">
      <c r="A50" t="inlineStr">
        <is>
          <t>`XS2301-world` and `XS2301-china` (the suffix after the series id names the</t>
        </is>
      </c>
    </row>
    <row r="51">
      <c r="A51" t="inlineStr">
        <is>
          <t>trading partner) — with each observation labelled by its partner and year.</t>
        </is>
      </c>
    </row>
    <row r="52">
      <c r="A52" t="inlineStr"/>
    </row>
    <row r="53">
      <c r="A53" t="inlineStr">
        <is>
          <t>## 5. Year coverage</t>
        </is>
      </c>
    </row>
    <row r="54">
      <c r="A54" t="inlineStr"/>
    </row>
    <row r="55">
      <c r="A55" t="inlineStr">
        <is>
          <t>- Paper window (plotted in Fig 1): 2002–2017 (16 obs per partner)</t>
        </is>
      </c>
    </row>
    <row r="56">
      <c r="A56" t="inlineStr">
        <is>
          <t>- Continued from the same source: 2018–2024 (7 obs; Section 301 tariffs in</t>
        </is>
      </c>
    </row>
    <row r="57">
      <c r="A57" t="inlineStr">
        <is>
          <t xml:space="preserve">  2018-19 and COVID in 2020 create structural shifts — interpretive, not data</t>
        </is>
      </c>
    </row>
    <row r="58">
      <c r="A58" t="inlineStr">
        <is>
          <t xml:space="preserve">  gaps)</t>
        </is>
      </c>
    </row>
    <row r="59">
      <c r="A59" t="inlineStr">
        <is>
          <t>- **Total: 2002–2024 — 23 obs per partner, 46 rows long form, genuinely</t>
        </is>
      </c>
    </row>
    <row r="60">
      <c r="A60" t="inlineStr">
        <is>
          <t xml:space="preserve">  continuous (no missing years).**</t>
        </is>
      </c>
    </row>
    <row r="61">
      <c r="A61" t="inlineStr"/>
    </row>
    <row r="62">
      <c r="A62" t="inlineStr">
        <is>
          <t>## 6. Units</t>
        </is>
      </c>
    </row>
    <row r="63">
      <c r="A63" t="inlineStr"/>
    </row>
    <row r="64">
      <c r="A64" t="inlineStr">
        <is>
          <t>`billion_usd` (loader divides the Census millions figure by 1000).</t>
        </is>
      </c>
    </row>
    <row r="65">
      <c r="A65" t="inlineStr"/>
    </row>
    <row r="66">
      <c r="A66" t="inlineStr">
        <is>
          <t>## 7. Caveats</t>
        </is>
      </c>
    </row>
    <row r="67">
      <c r="A67" t="inlineStr"/>
    </row>
    <row r="68">
      <c r="A68" t="inlineStr">
        <is>
          <t>1. Census-basis (Total Exports Value − Customs Import Value) differs slightly</t>
        </is>
      </c>
    </row>
    <row r="69">
      <c r="A69" t="inlineStr">
        <is>
          <t xml:space="preserve">   from BoP-basis (balance-of-payments basis, US Bureau of Economic Analysis</t>
        </is>
      </c>
    </row>
    <row r="70">
      <c r="A70" t="inlineStr">
        <is>
          <t xml:space="preserve">   (BEA) International Transactions); the paper uses Census</t>
        </is>
      </c>
    </row>
    <row r="71">
      <c r="A71" t="inlineStr">
        <is>
          <t xml:space="preserve">   basis per the Fig 1 footnote, which is what these pages publish.</t>
        </is>
      </c>
    </row>
    <row r="72">
      <c r="A72" t="inlineStr">
        <is>
          <t>2. Section 301 tariffs (2018-) and COVID (2020) create structural breaks in</t>
        </is>
      </c>
    </row>
    <row r="73">
      <c r="A73" t="inlineStr">
        <is>
          <t xml:space="preserve">   the post-paper years — interpretive, not data gaps.</t>
        </is>
      </c>
    </row>
    <row r="74">
      <c r="A74" t="inlineStr">
        <is>
          <t>3. The world-total figure-read endpoints in the paper (-474 in 2002, -810 in</t>
        </is>
      </c>
    </row>
    <row r="75">
      <c r="A75" t="inlineStr">
        <is>
          <t xml:space="preserve">   2017) are eyeballed off the appendix chart; the constructed Census source</t>
        </is>
      </c>
    </row>
    <row r="76">
      <c r="A76" t="inlineStr">
        <is>
          <t xml:space="preserve">   values (-468.3, -792.4) differ by 1.2–2.2%, well within the ±10% validator</t>
        </is>
      </c>
    </row>
    <row r="77">
      <c r="A77" t="inlineStr">
        <is>
          <t xml:space="preserve">   tolerance. The China endpoints match the paper to &lt;1%.</t>
        </is>
      </c>
    </row>
    <row r="78">
      <c r="A78" t="inlineStr"/>
    </row>
    <row r="79">
      <c r="A79" t="inlineStr">
        <is>
          <t>## 8. Revision history — truncation repair (2026-06-11)</t>
        </is>
      </c>
    </row>
    <row r="80">
      <c r="A80" t="inlineStr"/>
    </row>
    <row r="81">
      <c r="A81" t="inlineStr">
        <is>
          <t>The earlier loader attempted a fragile Census scrape that keyed annual figures</t>
        </is>
      </c>
    </row>
    <row r="82">
      <c r="A82" t="inlineStr">
        <is>
          <t>off a four-digit *column header* that does not exist on the country pages (the</t>
        </is>
      </c>
    </row>
    <row r="83">
      <c r="A83" t="inlineStr">
        <is>
          <t>year lives in the `TOTAL {YYYY}` Month cell). The scrape therefore always</t>
        </is>
      </c>
    </row>
    <row r="84">
      <c r="A84" t="inlineStr">
        <is>
          <t>failed and the series silently degraded to the five salvaged Fig-1 *anchor*</t>
        </is>
      </c>
    </row>
    <row r="85">
      <c r="A85" t="inlineStr">
        <is>
          <t>points (World 2002/2017; China 2002/2017/2018), which truncated the series at</t>
        </is>
      </c>
    </row>
    <row r="86">
      <c r="A86" t="inlineStr">
        <is>
          <t>2018 and were figure-reads rather than source data — while the DPR claimed</t>
        </is>
      </c>
    </row>
    <row r="87">
      <c r="A87" t="inlineStr">
        <is>
          <t>continuous coverage to 2024.</t>
        </is>
      </c>
    </row>
    <row r="88">
      <c r="A88" t="inlineStr"/>
    </row>
    <row r="89">
      <c r="A89" t="inlineStr">
        <is>
          <t>The loader was rebuilt to read the `TOTAL {YYYY}` rows directly from the</t>
        </is>
      </c>
    </row>
    <row r="90">
      <c r="A90" t="inlineStr">
        <is>
          <t>Census World (c0004) and China (c5700) country pages. Result: 23 real annual</t>
        </is>
      </c>
    </row>
    <row r="91">
      <c r="A91" t="inlineStr">
        <is>
          <t>observations per partner, 2002–2024, no fabrication, no interpolation.</t>
        </is>
      </c>
    </row>
    <row r="92">
      <c r="A92" t="inlineStr">
        <is>
          <t>Validation PASS (4/4 anchors matched, max 2.17% error). The verbatim Figure 1</t>
        </is>
      </c>
    </row>
    <row r="93">
      <c r="A93" t="inlineStr">
        <is>
          <t>anchors are retained only as a per-partner last-resort fallback if a page</t>
        </is>
      </c>
    </row>
    <row r="94">
      <c r="A94" t="inlineStr">
        <is>
          <t>fetch fails.</t>
        </is>
      </c>
    </row>
    <row r="95">
      <c r="A95" t="inlineStr"/>
    </row>
    <row r="96">
      <c r="A96" t="inlineStr">
        <is>
          <t>## 9. Cross-references</t>
        </is>
      </c>
    </row>
    <row r="97">
      <c r="A97" t="inlineStr"/>
    </row>
    <row r="98">
      <c r="A98" t="inlineStr">
        <is>
          <t>- Related: XS2302, XS2303, XS2304, XS2305 (other Weber-Shaikh figures);</t>
        </is>
      </c>
    </row>
    <row r="99">
      <c r="A99" t="inlineStr">
        <is>
          <t xml:space="preserve">  S1101 (Ch11 trade balance, different concept)</t>
        </is>
      </c>
    </row>
    <row r="100">
      <c r="A100" t="inlineStr"/>
    </row>
    <row r="101">
      <c r="A101" t="inlineStr">
        <is>
          <t>## 10. Validation expectation</t>
        </is>
      </c>
    </row>
    <row r="102">
      <c r="A102" t="inlineStr"/>
    </row>
    <row r="103">
      <c r="A103" t="inlineStr">
        <is>
          <t>- Tolerance: ±10% (figure-read precision on the World endpoints; Census</t>
        </is>
      </c>
    </row>
    <row r="104">
      <c r="A104" t="inlineStr">
        <is>
          <t xml:space="preserve">  periodic revisions can shift historical totals 1–3%).</t>
        </is>
      </c>
    </row>
    <row r="105">
      <c r="A105" t="inlineStr">
        <is>
          <t>- Anchors from Fig 1: world-total 2002 ≈ -474 bn, 2017 ≈ -810 bn;</t>
        </is>
      </c>
    </row>
    <row r="106">
      <c r="A106" t="inlineStr">
        <is>
          <t xml:space="preserve">  china 2002 ≈ -103 bn, 2017 ≈ -376 bn. All satisfied (see §1).</t>
        </is>
      </c>
    </row>
    <row r="109">
      <c r="A109" s="4">
        <f>== EPR: XS2301_EPR.md ===</f>
        <v/>
      </c>
    </row>
    <row r="110">
      <c r="A110" t="inlineStr">
        <is>
          <t># XS2301 — Extension Provenance Record</t>
        </is>
      </c>
    </row>
    <row r="111">
      <c r="A111" t="inlineStr"/>
    </row>
    <row r="112">
      <c r="A112" t="inlineStr">
        <is>
          <t>**Series**: XS2301 — US Trade Balance (World, China)</t>
        </is>
      </c>
    </row>
    <row r="113">
      <c r="A113" t="inlineStr">
        <is>
          <t>**Construction**: `direct` (two parallel partner pulls)</t>
        </is>
      </c>
    </row>
    <row r="114">
      <c r="A114" t="inlineStr">
        <is>
          <t>**Authored**: 2026-05-18</t>
        </is>
      </c>
    </row>
    <row r="115">
      <c r="A115" t="inlineStr"/>
    </row>
    <row r="116">
      <c r="A116" t="inlineStr">
        <is>
          <t>## 1. Extendability</t>
        </is>
      </c>
    </row>
    <row r="117">
      <c r="A117" t="inlineStr"/>
    </row>
    <row r="118">
      <c r="A118" t="inlineStr">
        <is>
          <t>US Census FT900 (the Census Bureau's monthly foreign-trade statistics report)</t>
        </is>
      </c>
    </row>
    <row r="119">
      <c r="A119" t="inlineStr">
        <is>
          <t>is continuously published monthly. Per-country totals for</t>
        </is>
      </c>
    </row>
    <row r="120">
      <c r="A120" t="inlineStr">
        <is>
          <t>China extend back to 1985 and forward to current. Extension to 2024 is</t>
        </is>
      </c>
    </row>
    <row r="121">
      <c r="A121" t="inlineStr">
        <is>
          <t>mechanical with the caveat that:</t>
        </is>
      </c>
    </row>
    <row r="122">
      <c r="A122" t="inlineStr"/>
    </row>
    <row r="123">
      <c r="A123" t="inlineStr">
        <is>
          <t>- 2018-2019 Section 301 tariffs introduce a documented structural break</t>
        </is>
      </c>
    </row>
    <row r="124">
      <c r="A124" t="inlineStr">
        <is>
          <t xml:space="preserve">  in import-value composition (tariff-inclusive vs not).</t>
        </is>
      </c>
    </row>
    <row r="125">
      <c r="A125" t="inlineStr">
        <is>
          <t>- 2020 COVID compresses bilateral trade flows.</t>
        </is>
      </c>
    </row>
    <row r="126">
      <c r="A126" t="inlineStr"/>
    </row>
    <row r="127">
      <c r="A127" t="inlineStr">
        <is>
          <t>Neither caveat blocks extension — both are documented in the extension</t>
        </is>
      </c>
    </row>
    <row r="128">
      <c r="A128" t="inlineStr">
        <is>
          <t>narrative.</t>
        </is>
      </c>
    </row>
    <row r="129">
      <c r="A129" t="inlineStr"/>
    </row>
    <row r="130">
      <c r="A130" t="inlineStr">
        <is>
          <t>## 2. Method</t>
        </is>
      </c>
    </row>
    <row r="131">
      <c r="A131" t="inlineStr"/>
    </row>
    <row r="132">
      <c r="A132" t="inlineStr">
        <is>
          <t>For each partner (world = Census page c0004, china = Census page c5700):</t>
        </is>
      </c>
    </row>
    <row r="133">
      <c r="A133" t="inlineStr">
        <is>
          <t>1. The loader pulls the Census country balance page (rebuilt 2026-06-11 to</t>
        </is>
      </c>
    </row>
    <row r="134">
      <c r="A134" t="inlineStr">
        <is>
          <t xml:space="preserve">   replace a prior fragile scrape that mis-keyed the year off a non-existent</t>
        </is>
      </c>
    </row>
    <row r="135">
      <c r="A135" t="inlineStr">
        <is>
          <t xml:space="preserve">   column header and silently truncated the series at 2018).</t>
        </is>
      </c>
    </row>
    <row r="136">
      <c r="A136" t="inlineStr">
        <is>
          <t>2. Reads the published `TOTAL {YYYY}` annual Balance row directly (Census</t>
        </is>
      </c>
    </row>
    <row r="137">
      <c r="A137" t="inlineStr">
        <is>
          <t xml:space="preserve">   already aggregates the months); no month summing required.</t>
        </is>
      </c>
    </row>
    <row r="138">
      <c r="A138" t="inlineStr">
        <is>
          <t>3. Converts to Billion USD (divide millions by 1000).</t>
        </is>
      </c>
    </row>
    <row r="139">
      <c r="A139" t="inlineStr">
        <is>
          <t>4. Emits two subseries, `XS2301-world` and `XS2301-china` (the suffix names</t>
        </is>
      </c>
    </row>
    <row r="140">
      <c r="A140" t="inlineStr">
        <is>
          <t xml:space="preserve">   the trading partner).</t>
        </is>
      </c>
    </row>
    <row r="141">
      <c r="A141" t="inlineStr"/>
    </row>
    <row r="142">
      <c r="A142" t="inlineStr">
        <is>
          <t>Result: genuinely continuous 2002–2024, 23 obs/partner, all live Census data;</t>
        </is>
      </c>
    </row>
    <row r="143">
      <c r="A143" t="inlineStr">
        <is>
          <t>validation PASS (4/4 Figure 1 anchors, max 2.17% error).</t>
        </is>
      </c>
    </row>
    <row r="144">
      <c r="A144" t="inlineStr"/>
    </row>
    <row r="145">
      <c r="A145" t="inlineStr">
        <is>
          <t>## 3. Proxies</t>
        </is>
      </c>
    </row>
    <row r="146">
      <c r="A146" t="inlineStr"/>
    </row>
    <row r="147">
      <c r="A147" t="inlineStr">
        <is>
          <t>None. Census FT900 IS the source the paper cites.</t>
        </is>
      </c>
    </row>
    <row r="148">
      <c r="A148" t="inlineStr"/>
    </row>
    <row r="149">
      <c r="A149" t="inlineStr">
        <is>
          <t>## 4. Synthetic data</t>
        </is>
      </c>
    </row>
    <row r="150">
      <c r="A150" t="inlineStr"/>
    </row>
    <row r="151">
      <c r="A151" t="inlineStr">
        <is>
          <t>None. NaN propagates.</t>
        </is>
      </c>
    </row>
    <row r="152">
      <c r="A152" t="inlineStr"/>
    </row>
    <row r="153">
      <c r="A153" t="inlineStr">
        <is>
          <t>## 5. Failure modes</t>
        </is>
      </c>
    </row>
    <row r="154">
      <c r="A154" t="inlineStr"/>
    </row>
    <row r="155">
      <c r="A155" t="inlineStr">
        <is>
          <t>- Census HTML layout change: loader returns degraded; processor</t>
        </is>
      </c>
    </row>
    <row r="156">
      <c r="A156" t="inlineStr">
        <is>
          <t xml:space="preserve">  publishes whichever partner parsed.</t>
        </is>
      </c>
    </row>
    <row r="157">
      <c r="A157" t="inlineStr">
        <is>
          <t>- USA Trade Online auth-required path: not used; we stick to the</t>
        </is>
      </c>
    </row>
    <row r="158">
      <c r="A158" t="inlineStr">
        <is>
          <t xml:space="preserve">  public HTML/text pages.</t>
        </is>
      </c>
    </row>
    <row r="159">
      <c r="A159" t="inlineStr"/>
    </row>
    <row r="160">
      <c r="A160" t="inlineStr">
        <is>
          <t>## 6. Conceptual continuity vs adjacent concepts</t>
        </is>
      </c>
    </row>
    <row r="161">
      <c r="A161" t="inlineStr"/>
    </row>
    <row r="162">
      <c r="A162" t="inlineStr">
        <is>
          <t>The extension proxy `Census FT900 Exhibit 1 (world) + c5700 (China)` measures</t>
        </is>
      </c>
    </row>
    <row r="163">
      <c r="A163" t="inlineStr">
        <is>
          <t>`US merchandise (goods) trade balance, Census basis` rather than</t>
        </is>
      </c>
    </row>
    <row r="164">
      <c r="A164" t="inlineStr">
        <is>
          <t>`US current account` or `BoP-basis goods balance` (balance-of-payments basis)</t>
        </is>
      </c>
    </row>
    <row r="165">
      <c r="A165" t="inlineStr">
        <is>
          <t>because:</t>
        </is>
      </c>
    </row>
    <row r="166">
      <c r="A166" t="inlineStr">
        <is>
          <t>- Source agency choice: Weber &amp; Shaikh (2020) Fig 1 explicitly cites Census,</t>
        </is>
      </c>
    </row>
    <row r="167">
      <c r="A167" t="inlineStr">
        <is>
          <t xml:space="preserve">  not US Bureau of Economic Analysis (BEA) International Transactions. Census</t>
        </is>
      </c>
    </row>
    <row r="168">
      <c r="A168" t="inlineStr">
        <is>
          <t xml:space="preserve">  FT900 is the published recipe.</t>
        </is>
      </c>
    </row>
    <row r="169">
      <c r="A169" t="inlineStr">
        <is>
          <t>- Methodology continuity: paper-window 2002-2017 values were Census-basis</t>
        </is>
      </c>
    </row>
    <row r="170">
      <c r="A170" t="inlineStr">
        <is>
          <t xml:space="preserve">  monthly aggregates; 2018-2024 extension uses the *same* FT900 release</t>
        </is>
      </c>
    </row>
    <row r="171">
      <c r="A171" t="inlineStr">
        <is>
          <t xml:space="preserve">  (same agency, same exhibit numbers).</t>
        </is>
      </c>
    </row>
    <row r="172">
      <c r="A172" t="inlineStr">
        <is>
          <t>- Disambiguation: Census-basis (Total Exports Value − Customs Import Value)</t>
        </is>
      </c>
    </row>
    <row r="173">
      <c r="A173" t="inlineStr">
        <is>
          <t xml:space="preserve">  differs from BoP-basis (BEA International Transactions Accounts (ITA)</t>
        </is>
      </c>
    </row>
    <row r="174">
      <c r="A174" t="inlineStr">
        <is>
          <t xml:space="preserve">  Table 4.1, which makes balance-of-payments coverage and timing</t>
        </is>
      </c>
    </row>
    <row r="175">
      <c r="A175" t="inlineStr">
        <is>
          <t xml:space="preserve">  adjustments), and from current-account (which adds</t>
        </is>
      </c>
    </row>
    <row r="176">
      <c r="A176" t="inlineStr">
        <is>
          <t xml:space="preserve">  services, primary income, and secondary income).</t>
        </is>
      </c>
    </row>
    <row r="177">
      <c r="A177" t="inlineStr"/>
    </row>
    <row r="178">
      <c r="A178" t="inlineStr">
        <is>
          <t>The book's original concept (paper p. 432, Fig 1 footnote) was: "Total Exports</t>
        </is>
      </c>
    </row>
    <row r="179">
      <c r="A179" t="inlineStr">
        <is>
          <t>Value minus Customs Import Value". The modern series preserves Census-basis</t>
        </is>
      </c>
    </row>
    <row r="180">
      <c r="A180" t="inlineStr">
        <is>
          <t>goods coverage and the bilateral US-China decomposition while permitting a</t>
        </is>
      </c>
    </row>
    <row r="181">
      <c r="A181" t="inlineStr">
        <is>
          <t>small post-2018 Section-301-tariff valuation effect (customs values now</t>
        </is>
      </c>
    </row>
    <row r="182">
      <c r="A182" t="inlineStr">
        <is>
          <t>include tariff-inclusive imports for some Harmonized Tariff Schedule (HTS)</t>
        </is>
      </c>
    </row>
    <row r="183">
      <c r="A183" t="inlineStr">
        <is>
          <t>lines). This is not a proxy substitution: the loader pulls from *exactly* the</t>
        </is>
      </c>
    </row>
    <row r="184">
      <c r="A184" t="inlineStr">
        <is>
          <t>source the paper cites (US Census FT900) — no change of agency, no change of</t>
        </is>
      </c>
    </row>
    <row r="185">
      <c r="A185" t="inlineStr">
        <is>
          <t>concept.</t>
        </is>
      </c>
    </row>
    <row r="186">
      <c r="A186" t="inlineStr"/>
    </row>
    <row r="187">
      <c r="A187" t="inlineStr">
        <is>
          <t>## 7. Method note: Census-basis vs BoP-basis</t>
        </is>
      </c>
    </row>
    <row r="188">
      <c r="A188" t="inlineStr"/>
    </row>
    <row r="189">
      <c r="A189" t="inlineStr">
        <is>
          <t>We reproduce Census basis to match paper recipe; BEA International</t>
        </is>
      </c>
    </row>
    <row r="190">
      <c r="A190" t="inlineStr">
        <is>
          <t>Transactions Table 4.1 BoP-basis goods balance is concept-adjacent but</t>
        </is>
      </c>
    </row>
    <row r="191">
      <c r="A191" t="inlineStr">
        <is>
          <t>methodologically distinct and is NOT used.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2" customWidth="1" min="3" max="3"/>
    <col width="44" customWidth="1" min="4" max="4"/>
    <col width="62" customWidth="1" min="5" max="5"/>
    <col width="22" customWidth="1" min="6" max="6"/>
    <col width="38" customWidth="1" min="7" max="7"/>
    <col width="51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XS2301-china</t>
        </is>
      </c>
      <c r="B2" t="inlineStr">
        <is>
          <t>CENSUS_FT900_C5700</t>
        </is>
      </c>
      <c r="C2" t="inlineStr">
        <is>
          <t>US Census FT900 Trade in Goods with China (per-country page c5700)</t>
        </is>
      </c>
      <c r="D2" t="inlineStr">
        <is>
          <t>U.S. Census Bureau, Foreign Trade Division</t>
        </is>
      </c>
      <c r="E2" t="inlineStr">
        <is>
          <t>https://www.census.gov/foreign-trade/balance/c5700.html</t>
        </is>
      </c>
      <c r="F2" t="inlineStr">
        <is>
          <t>millions current USD</t>
        </is>
      </c>
      <c r="G2" t="inlineStr">
        <is>
          <t>annual (computed from monthly FT900)</t>
        </is>
      </c>
      <c r="H2" t="inlineStr">
        <is>
          <t>Public domain</t>
        </is>
      </c>
      <c r="I2" t="inlineStr">
        <is>
          <t>api_open_no_auth</t>
        </is>
      </c>
    </row>
    <row r="3">
      <c r="A3" t="inlineStr">
        <is>
          <t>XS2301-world</t>
        </is>
      </c>
      <c r="B3" t="inlineStr">
        <is>
          <t>CENSUS_FT900_EXH1</t>
        </is>
      </c>
      <c r="C3" t="inlineStr">
        <is>
          <t>US Census FT900 Exhibit 1 — US Total Goods Trade</t>
        </is>
      </c>
      <c r="D3" t="inlineStr">
        <is>
          <t>U.S. Census Bureau, Foreign Trade Division</t>
        </is>
      </c>
      <c r="E3" t="inlineStr">
        <is>
          <t>https://www.census.gov/foreign-trade/statistics/historical/exh1.txt</t>
        </is>
      </c>
      <c r="F3" t="inlineStr">
        <is>
          <t>millions current USD</t>
        </is>
      </c>
      <c r="G3" t="inlineStr">
        <is>
          <t>annual (computed from monthly FT900)</t>
        </is>
      </c>
      <c r="H3" t="inlineStr">
        <is>
          <t>Public domain (US Federal Government, 17 USC 105)</t>
        </is>
      </c>
      <c r="I3" t="inlineStr">
        <is>
          <t>api_open_no_auth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7" customWidth="1" min="2" max="2"/>
  </cols>
  <sheetData>
    <row r="1">
      <c r="A1" s="1" t="inlineStr">
        <is>
          <t>XS2301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10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Fig 1 endpoint anchors (2002, 2017) for World and China</t>
        </is>
      </c>
    </row>
    <row r="8">
      <c r="A8" t="inlineStr">
        <is>
          <t>n_compared</t>
        </is>
      </c>
      <c r="B8" t="n">
        <v>4</v>
      </c>
    </row>
    <row r="9">
      <c r="A9" t="inlineStr">
        <is>
          <t>mae</t>
        </is>
      </c>
      <c r="B9" t="n">
        <v>6.0598</v>
      </c>
    </row>
    <row r="10">
      <c r="A10" t="inlineStr">
        <is>
          <t>max_abs_err</t>
        </is>
      </c>
      <c r="B10" t="n">
        <v>17.604</v>
      </c>
    </row>
    <row r="11">
      <c r="A11" t="inlineStr">
        <is>
          <t>max_pct_err</t>
        </is>
      </c>
      <c r="B11" t="n">
        <v>2.1733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year_range_processed</t>
        </is>
      </c>
      <c r="B14" t="inlineStr">
        <is>
          <t>[2002, 2024]</t>
        </is>
      </c>
    </row>
    <row r="15">
      <c r="A15" t="inlineStr">
        <is>
          <t>subseries_present</t>
        </is>
      </c>
      <c r="B15" t="inlineStr">
        <is>
          <t>["XS2301-china", "XS2301-world"]</t>
        </is>
      </c>
    </row>
    <row r="16">
      <c r="A16" t="inlineStr">
        <is>
          <t>validated_at</t>
        </is>
      </c>
      <c r="B16" t="inlineStr">
        <is>
          <t>2026-07-02T06:29:17.412966+00:00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XS2301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2026-07-02T11:32:54Z</dcterms:created>
  <dcterms:modified xmlns:dcterms="http://purl.org/dc/terms/" xmlns:xsi="http://www.w3.org/2001/XMLSchema-instance" xsi:type="dcterms:W3CDTF">2026-07-02T11:32:54Z</dcterms:modified>
</cp:coreProperties>
</file>
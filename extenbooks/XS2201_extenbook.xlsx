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XS2201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'Data'!$B$4:$B$18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'Data'!$C$4:$C$18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'Data'!$D$4:$D$18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'Data'!$E$4:$E$18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'Data'!$F$4:$F$18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16" customWidth="1" min="3" max="3"/>
    <col width="27" customWidth="1" min="4" max="4"/>
    <col width="15" customWidth="1" min="5" max="5"/>
    <col width="15" customWidth="1" min="6" max="6"/>
  </cols>
  <sheetData>
    <row r="1">
      <c r="A1" s="1" t="inlineStr">
        <is>
          <t>XS2201 — annual values (long form below pivot)</t>
        </is>
      </c>
    </row>
    <row r="2"/>
    <row r="3">
      <c r="A3" s="2" t="inlineStr">
        <is>
          <t>year</t>
        </is>
      </c>
      <c r="B3" s="2" t="inlineStr">
        <is>
          <t>XS2201-G_prime</t>
        </is>
      </c>
      <c r="C3" s="2" t="inlineStr">
        <is>
          <t>XS2201-alpha</t>
        </is>
      </c>
      <c r="D3" s="2" t="inlineStr">
        <is>
          <t>XS2201-f_top3</t>
        </is>
      </c>
      <c r="E3" s="2" t="inlineStr">
        <is>
          <t>XS2201-r_mean</t>
        </is>
      </c>
      <c r="F3" s="2" t="inlineStr">
        <is>
          <t>XS2201-w_mean</t>
        </is>
      </c>
    </row>
    <row r="4">
      <c r="A4" t="n">
        <v>2002</v>
      </c>
      <c r="B4" t="n">
        <v>0.49</v>
      </c>
      <c r="C4" t="n">
        <v>1.45</v>
      </c>
      <c r="D4" t="n">
        <v>0.17</v>
      </c>
      <c r="E4" t="n">
        <v>46.39</v>
      </c>
      <c r="F4" t="n">
        <v>38.33</v>
      </c>
    </row>
    <row r="5">
      <c r="A5" t="n">
        <v>2003</v>
      </c>
      <c r="B5" t="n">
        <v>0.49</v>
      </c>
      <c r="C5" t="n">
        <v>1.42</v>
      </c>
      <c r="D5" t="n">
        <v>0.18</v>
      </c>
      <c r="E5" t="n">
        <v>47.59</v>
      </c>
      <c r="F5" t="n">
        <v>38.91</v>
      </c>
    </row>
    <row r="6">
      <c r="A6" t="n">
        <v>2004</v>
      </c>
      <c r="B6" t="n">
        <v>0.49</v>
      </c>
      <c r="C6" t="n">
        <v>1.35</v>
      </c>
      <c r="D6" t="n">
        <v>0.21</v>
      </c>
      <c r="E6" t="n">
        <v>51.34</v>
      </c>
      <c r="F6" t="n">
        <v>40.62</v>
      </c>
    </row>
    <row r="7">
      <c r="A7" t="n">
        <v>2005</v>
      </c>
      <c r="B7" t="n">
        <v>0.49</v>
      </c>
      <c r="C7" t="n">
        <v>1.31</v>
      </c>
      <c r="D7" t="n">
        <v>0.24</v>
      </c>
      <c r="E7" t="n">
        <v>55.24</v>
      </c>
      <c r="F7" t="n">
        <v>42.27</v>
      </c>
    </row>
    <row r="8">
      <c r="A8" t="n">
        <v>2006</v>
      </c>
      <c r="B8" t="n">
        <v>0.49</v>
      </c>
      <c r="C8" t="n">
        <v>1.3</v>
      </c>
      <c r="D8" t="n">
        <v>0.25</v>
      </c>
      <c r="E8" t="n">
        <v>58.03</v>
      </c>
      <c r="F8" t="n">
        <v>43.83</v>
      </c>
    </row>
    <row r="9">
      <c r="A9" t="n">
        <v>2007</v>
      </c>
      <c r="B9" t="n">
        <v>0.49</v>
      </c>
      <c r="C9" t="n">
        <v>1.29</v>
      </c>
      <c r="D9" t="n">
        <v>0.26</v>
      </c>
      <c r="E9" t="n">
        <v>60.76</v>
      </c>
      <c r="F9" t="n">
        <v>44.94</v>
      </c>
    </row>
    <row r="10">
      <c r="A10" t="n">
        <v>2008</v>
      </c>
      <c r="B10" t="n">
        <v>0.49</v>
      </c>
      <c r="C10" t="n">
        <v>1.35</v>
      </c>
      <c r="D10" t="n">
        <v>0.23</v>
      </c>
      <c r="E10" t="n">
        <v>58.01</v>
      </c>
      <c r="F10" t="n">
        <v>44.87</v>
      </c>
    </row>
    <row r="11">
      <c r="A11" t="n">
        <v>2009</v>
      </c>
      <c r="B11" t="n">
        <v>0.49</v>
      </c>
      <c r="C11" t="n">
        <v>1.44</v>
      </c>
      <c r="D11" t="n">
        <v>0.2</v>
      </c>
      <c r="E11" t="n">
        <v>54.28</v>
      </c>
      <c r="F11" t="n">
        <v>43.67</v>
      </c>
    </row>
    <row r="12">
      <c r="A12" t="n">
        <v>2010</v>
      </c>
      <c r="B12" t="n">
        <v>0.49</v>
      </c>
      <c r="C12" t="n">
        <v>1.39</v>
      </c>
      <c r="D12" t="n">
        <v>0.22</v>
      </c>
      <c r="E12" t="n">
        <v>56.61</v>
      </c>
      <c r="F12" t="n">
        <v>44.36</v>
      </c>
    </row>
    <row r="13">
      <c r="A13" t="n">
        <v>2011</v>
      </c>
      <c r="B13" t="n">
        <v>0.49</v>
      </c>
      <c r="C13" t="n">
        <v>1.4</v>
      </c>
      <c r="D13" t="n">
        <v>0.21</v>
      </c>
      <c r="E13" t="n">
        <v>57.61</v>
      </c>
      <c r="F13" t="n">
        <v>45.31</v>
      </c>
    </row>
    <row r="14">
      <c r="A14" t="n">
        <v>2012</v>
      </c>
      <c r="B14" t="n">
        <v>0.49</v>
      </c>
      <c r="C14" t="n">
        <v>1.33</v>
      </c>
      <c r="D14" t="n">
        <v>0.25</v>
      </c>
      <c r="E14" t="n">
        <v>62.79</v>
      </c>
      <c r="F14" t="n">
        <v>46.88</v>
      </c>
    </row>
    <row r="15">
      <c r="A15" t="n">
        <v>2013</v>
      </c>
      <c r="B15" t="n">
        <v>0.49</v>
      </c>
      <c r="C15" t="n">
        <v>1.43</v>
      </c>
      <c r="D15" t="n">
        <v>0.23</v>
      </c>
      <c r="E15" t="n">
        <v>61.71</v>
      </c>
      <c r="F15" t="n">
        <v>47.62</v>
      </c>
    </row>
    <row r="16">
      <c r="A16" t="n">
        <v>2014</v>
      </c>
      <c r="B16" t="n">
        <v>0.49</v>
      </c>
      <c r="C16" t="n">
        <v>1.4</v>
      </c>
      <c r="D16" t="n">
        <v>0.25</v>
      </c>
      <c r="E16" t="n">
        <v>65.75</v>
      </c>
      <c r="F16" t="n">
        <v>49.22</v>
      </c>
    </row>
    <row r="17">
      <c r="A17" t="n">
        <v>2015</v>
      </c>
      <c r="B17" t="n">
        <v>0.48</v>
      </c>
      <c r="C17" t="n">
        <v>1.39</v>
      </c>
      <c r="D17" t="n">
        <v>0.26</v>
      </c>
      <c r="E17" t="n">
        <v>67.84999999999999</v>
      </c>
      <c r="F17" t="n">
        <v>50.42</v>
      </c>
    </row>
    <row r="18">
      <c r="A18" t="n">
        <v>2016</v>
      </c>
      <c r="B18" t="n">
        <v>0.48</v>
      </c>
      <c r="C18" t="n">
        <v>1.43</v>
      </c>
      <c r="D18" t="n">
        <v>0.25</v>
      </c>
      <c r="E18" t="n">
        <v>68.05</v>
      </c>
      <c r="F18" t="n">
        <v>50.96</v>
      </c>
    </row>
    <row r="19"/>
    <row r="20"/>
    <row r="21"/>
    <row r="22">
      <c r="A22" s="1" t="inlineStr">
        <is>
          <t>Long form (year, value, subseries_id, source_id, units)</t>
        </is>
      </c>
    </row>
    <row r="23">
      <c r="A23" s="3" t="inlineStr">
        <is>
          <t>year</t>
        </is>
      </c>
      <c r="B23" s="3" t="inlineStr">
        <is>
          <t>value</t>
        </is>
      </c>
      <c r="C23" s="3" t="inlineStr">
        <is>
          <t>subseries_id</t>
        </is>
      </c>
      <c r="D23" s="3" t="inlineStr">
        <is>
          <t>source_id</t>
        </is>
      </c>
      <c r="E23" s="3" t="inlineStr">
        <is>
          <t>units</t>
        </is>
      </c>
    </row>
    <row r="24">
      <c r="A24" t="n">
        <v>2002</v>
      </c>
      <c r="B24" t="n">
        <v>0.49</v>
      </c>
      <c r="C24" t="inlineStr">
        <is>
          <t>XS2201-G_prime</t>
        </is>
      </c>
      <c r="D24" t="inlineStr">
        <is>
          <t>SHAIKH_JACOBO_2020_TABLE1</t>
        </is>
      </c>
      <c r="E24" t="inlineStr">
        <is>
          <t>dimensionless</t>
        </is>
      </c>
    </row>
    <row r="25">
      <c r="A25" t="n">
        <v>2002</v>
      </c>
      <c r="B25" t="n">
        <v>1.45</v>
      </c>
      <c r="C25" t="inlineStr">
        <is>
          <t>XS2201-alpha</t>
        </is>
      </c>
      <c r="D25" t="inlineStr">
        <is>
          <t>SHAIKH_JACOBO_2020_TABLE1</t>
        </is>
      </c>
      <c r="E25" t="inlineStr">
        <is>
          <t>dimensionless</t>
        </is>
      </c>
    </row>
    <row r="26">
      <c r="A26" t="n">
        <v>2002</v>
      </c>
      <c r="B26" t="n">
        <v>0.17</v>
      </c>
      <c r="C26" t="inlineStr">
        <is>
          <t>XS2201-f_top3</t>
        </is>
      </c>
      <c r="D26" t="inlineStr">
        <is>
          <t>SHAIKH_JACOBO_2020_TABLE1</t>
        </is>
      </c>
      <c r="E26" t="inlineStr">
        <is>
          <t>dimensionless</t>
        </is>
      </c>
    </row>
    <row r="27">
      <c r="A27" t="n">
        <v>2002</v>
      </c>
      <c r="B27" t="n">
        <v>46.39</v>
      </c>
      <c r="C27" t="inlineStr">
        <is>
          <t>XS2201-r_mean</t>
        </is>
      </c>
      <c r="D27" t="inlineStr">
        <is>
          <t>SHAIKH_JACOBO_2020_TABLE1</t>
        </is>
      </c>
      <c r="E27" t="inlineStr">
        <is>
          <t>thousands_usd</t>
        </is>
      </c>
    </row>
    <row r="28">
      <c r="A28" t="n">
        <v>2002</v>
      </c>
      <c r="B28" t="n">
        <v>38.33</v>
      </c>
      <c r="C28" t="inlineStr">
        <is>
          <t>XS2201-w_mean</t>
        </is>
      </c>
      <c r="D28" t="inlineStr">
        <is>
          <t>SHAIKH_JACOBO_2020_TABLE1</t>
        </is>
      </c>
      <c r="E28" t="inlineStr">
        <is>
          <t>thousands_usd</t>
        </is>
      </c>
    </row>
    <row r="29">
      <c r="A29" t="n">
        <v>2003</v>
      </c>
      <c r="B29" t="n">
        <v>0.49</v>
      </c>
      <c r="C29" t="inlineStr">
        <is>
          <t>XS2201-G_prime</t>
        </is>
      </c>
      <c r="D29" t="inlineStr">
        <is>
          <t>SHAIKH_JACOBO_2020_TABLE1</t>
        </is>
      </c>
      <c r="E29" t="inlineStr">
        <is>
          <t>dimensionless</t>
        </is>
      </c>
    </row>
    <row r="30">
      <c r="A30" t="n">
        <v>2003</v>
      </c>
      <c r="B30" t="n">
        <v>1.42</v>
      </c>
      <c r="C30" t="inlineStr">
        <is>
          <t>XS2201-alpha</t>
        </is>
      </c>
      <c r="D30" t="inlineStr">
        <is>
          <t>SHAIKH_JACOBO_2020_TABLE1</t>
        </is>
      </c>
      <c r="E30" t="inlineStr">
        <is>
          <t>dimensionless</t>
        </is>
      </c>
    </row>
    <row r="31">
      <c r="A31" t="n">
        <v>2003</v>
      </c>
      <c r="B31" t="n">
        <v>0.18</v>
      </c>
      <c r="C31" t="inlineStr">
        <is>
          <t>XS2201-f_top3</t>
        </is>
      </c>
      <c r="D31" t="inlineStr">
        <is>
          <t>SHAIKH_JACOBO_2020_TABLE1</t>
        </is>
      </c>
      <c r="E31" t="inlineStr">
        <is>
          <t>dimensionless</t>
        </is>
      </c>
    </row>
    <row r="32">
      <c r="A32" t="n">
        <v>2003</v>
      </c>
      <c r="B32" t="n">
        <v>47.59</v>
      </c>
      <c r="C32" t="inlineStr">
        <is>
          <t>XS2201-r_mean</t>
        </is>
      </c>
      <c r="D32" t="inlineStr">
        <is>
          <t>SHAIKH_JACOBO_2020_TABLE1</t>
        </is>
      </c>
      <c r="E32" t="inlineStr">
        <is>
          <t>thousands_usd</t>
        </is>
      </c>
    </row>
    <row r="33">
      <c r="A33" t="n">
        <v>2003</v>
      </c>
      <c r="B33" t="n">
        <v>38.91</v>
      </c>
      <c r="C33" t="inlineStr">
        <is>
          <t>XS2201-w_mean</t>
        </is>
      </c>
      <c r="D33" t="inlineStr">
        <is>
          <t>SHAIKH_JACOBO_2020_TABLE1</t>
        </is>
      </c>
      <c r="E33" t="inlineStr">
        <is>
          <t>thousands_usd</t>
        </is>
      </c>
    </row>
    <row r="34">
      <c r="A34" t="n">
        <v>2004</v>
      </c>
      <c r="B34" t="n">
        <v>0.49</v>
      </c>
      <c r="C34" t="inlineStr">
        <is>
          <t>XS2201-G_prime</t>
        </is>
      </c>
      <c r="D34" t="inlineStr">
        <is>
          <t>SHAIKH_JACOBO_2020_TABLE1</t>
        </is>
      </c>
      <c r="E34" t="inlineStr">
        <is>
          <t>dimensionless</t>
        </is>
      </c>
    </row>
    <row r="35">
      <c r="A35" t="n">
        <v>2004</v>
      </c>
      <c r="B35" t="n">
        <v>1.35</v>
      </c>
      <c r="C35" t="inlineStr">
        <is>
          <t>XS2201-alpha</t>
        </is>
      </c>
      <c r="D35" t="inlineStr">
        <is>
          <t>SHAIKH_JACOBO_2020_TABLE1</t>
        </is>
      </c>
      <c r="E35" t="inlineStr">
        <is>
          <t>dimensionless</t>
        </is>
      </c>
    </row>
    <row r="36">
      <c r="A36" t="n">
        <v>2004</v>
      </c>
      <c r="B36" t="n">
        <v>0.21</v>
      </c>
      <c r="C36" t="inlineStr">
        <is>
          <t>XS2201-f_top3</t>
        </is>
      </c>
      <c r="D36" t="inlineStr">
        <is>
          <t>SHAIKH_JACOBO_2020_TABLE1</t>
        </is>
      </c>
      <c r="E36" t="inlineStr">
        <is>
          <t>dimensionless</t>
        </is>
      </c>
    </row>
    <row r="37">
      <c r="A37" t="n">
        <v>2004</v>
      </c>
      <c r="B37" t="n">
        <v>51.34</v>
      </c>
      <c r="C37" t="inlineStr">
        <is>
          <t>XS2201-r_mean</t>
        </is>
      </c>
      <c r="D37" t="inlineStr">
        <is>
          <t>SHAIKH_JACOBO_2020_TABLE1</t>
        </is>
      </c>
      <c r="E37" t="inlineStr">
        <is>
          <t>thousands_usd</t>
        </is>
      </c>
    </row>
    <row r="38">
      <c r="A38" t="n">
        <v>2004</v>
      </c>
      <c r="B38" t="n">
        <v>40.62</v>
      </c>
      <c r="C38" t="inlineStr">
        <is>
          <t>XS2201-w_mean</t>
        </is>
      </c>
      <c r="D38" t="inlineStr">
        <is>
          <t>SHAIKH_JACOBO_2020_TABLE1</t>
        </is>
      </c>
      <c r="E38" t="inlineStr">
        <is>
          <t>thousands_usd</t>
        </is>
      </c>
    </row>
    <row r="39">
      <c r="A39" t="n">
        <v>2005</v>
      </c>
      <c r="B39" t="n">
        <v>0.49</v>
      </c>
      <c r="C39" t="inlineStr">
        <is>
          <t>XS2201-G_prime</t>
        </is>
      </c>
      <c r="D39" t="inlineStr">
        <is>
          <t>SHAIKH_JACOBO_2020_TABLE1</t>
        </is>
      </c>
      <c r="E39" t="inlineStr">
        <is>
          <t>dimensionless</t>
        </is>
      </c>
    </row>
    <row r="40">
      <c r="A40" t="n">
        <v>2005</v>
      </c>
      <c r="B40" t="n">
        <v>1.31</v>
      </c>
      <c r="C40" t="inlineStr">
        <is>
          <t>XS2201-alpha</t>
        </is>
      </c>
      <c r="D40" t="inlineStr">
        <is>
          <t>SHAIKH_JACOBO_2020_TABLE1</t>
        </is>
      </c>
      <c r="E40" t="inlineStr">
        <is>
          <t>dimensionless</t>
        </is>
      </c>
    </row>
    <row r="41">
      <c r="A41" t="n">
        <v>2005</v>
      </c>
      <c r="B41" t="n">
        <v>0.24</v>
      </c>
      <c r="C41" t="inlineStr">
        <is>
          <t>XS2201-f_top3</t>
        </is>
      </c>
      <c r="D41" t="inlineStr">
        <is>
          <t>SHAIKH_JACOBO_2020_TABLE1</t>
        </is>
      </c>
      <c r="E41" t="inlineStr">
        <is>
          <t>dimensionless</t>
        </is>
      </c>
    </row>
    <row r="42">
      <c r="A42" t="n">
        <v>2005</v>
      </c>
      <c r="B42" t="n">
        <v>55.24</v>
      </c>
      <c r="C42" t="inlineStr">
        <is>
          <t>XS2201-r_mean</t>
        </is>
      </c>
      <c r="D42" t="inlineStr">
        <is>
          <t>SHAIKH_JACOBO_2020_TABLE1</t>
        </is>
      </c>
      <c r="E42" t="inlineStr">
        <is>
          <t>thousands_usd</t>
        </is>
      </c>
    </row>
    <row r="43">
      <c r="A43" t="n">
        <v>2005</v>
      </c>
      <c r="B43" t="n">
        <v>42.27</v>
      </c>
      <c r="C43" t="inlineStr">
        <is>
          <t>XS2201-w_mean</t>
        </is>
      </c>
      <c r="D43" t="inlineStr">
        <is>
          <t>SHAIKH_JACOBO_2020_TABLE1</t>
        </is>
      </c>
      <c r="E43" t="inlineStr">
        <is>
          <t>thousands_usd</t>
        </is>
      </c>
    </row>
    <row r="44">
      <c r="A44" t="n">
        <v>2006</v>
      </c>
      <c r="B44" t="n">
        <v>0.49</v>
      </c>
      <c r="C44" t="inlineStr">
        <is>
          <t>XS2201-G_prime</t>
        </is>
      </c>
      <c r="D44" t="inlineStr">
        <is>
          <t>SHAIKH_JACOBO_2020_TABLE1</t>
        </is>
      </c>
      <c r="E44" t="inlineStr">
        <is>
          <t>dimensionless</t>
        </is>
      </c>
    </row>
    <row r="45">
      <c r="A45" t="n">
        <v>2006</v>
      </c>
      <c r="B45" t="n">
        <v>1.3</v>
      </c>
      <c r="C45" t="inlineStr">
        <is>
          <t>XS2201-alpha</t>
        </is>
      </c>
      <c r="D45" t="inlineStr">
        <is>
          <t>SHAIKH_JACOBO_2020_TABLE1</t>
        </is>
      </c>
      <c r="E45" t="inlineStr">
        <is>
          <t>dimensionless</t>
        </is>
      </c>
    </row>
    <row r="46">
      <c r="A46" t="n">
        <v>2006</v>
      </c>
      <c r="B46" t="n">
        <v>0.25</v>
      </c>
      <c r="C46" t="inlineStr">
        <is>
          <t>XS2201-f_top3</t>
        </is>
      </c>
      <c r="D46" t="inlineStr">
        <is>
          <t>SHAIKH_JACOBO_2020_TABLE1</t>
        </is>
      </c>
      <c r="E46" t="inlineStr">
        <is>
          <t>dimensionless</t>
        </is>
      </c>
    </row>
    <row r="47">
      <c r="A47" t="n">
        <v>2006</v>
      </c>
      <c r="B47" t="n">
        <v>58.03</v>
      </c>
      <c r="C47" t="inlineStr">
        <is>
          <t>XS2201-r_mean</t>
        </is>
      </c>
      <c r="D47" t="inlineStr">
        <is>
          <t>SHAIKH_JACOBO_2020_TABLE1</t>
        </is>
      </c>
      <c r="E47" t="inlineStr">
        <is>
          <t>thousands_usd</t>
        </is>
      </c>
    </row>
    <row r="48">
      <c r="A48" t="n">
        <v>2006</v>
      </c>
      <c r="B48" t="n">
        <v>43.83</v>
      </c>
      <c r="C48" t="inlineStr">
        <is>
          <t>XS2201-w_mean</t>
        </is>
      </c>
      <c r="D48" t="inlineStr">
        <is>
          <t>SHAIKH_JACOBO_2020_TABLE1</t>
        </is>
      </c>
      <c r="E48" t="inlineStr">
        <is>
          <t>thousands_usd</t>
        </is>
      </c>
    </row>
    <row r="49">
      <c r="A49" t="n">
        <v>2007</v>
      </c>
      <c r="B49" t="n">
        <v>0.49</v>
      </c>
      <c r="C49" t="inlineStr">
        <is>
          <t>XS2201-G_prime</t>
        </is>
      </c>
      <c r="D49" t="inlineStr">
        <is>
          <t>SHAIKH_JACOBO_2020_TABLE1</t>
        </is>
      </c>
      <c r="E49" t="inlineStr">
        <is>
          <t>dimensionless</t>
        </is>
      </c>
    </row>
    <row r="50">
      <c r="A50" t="n">
        <v>2007</v>
      </c>
      <c r="B50" t="n">
        <v>1.29</v>
      </c>
      <c r="C50" t="inlineStr">
        <is>
          <t>XS2201-alpha</t>
        </is>
      </c>
      <c r="D50" t="inlineStr">
        <is>
          <t>SHAIKH_JACOBO_2020_TABLE1</t>
        </is>
      </c>
      <c r="E50" t="inlineStr">
        <is>
          <t>dimensionless</t>
        </is>
      </c>
    </row>
    <row r="51">
      <c r="A51" t="n">
        <v>2007</v>
      </c>
      <c r="B51" t="n">
        <v>0.26</v>
      </c>
      <c r="C51" t="inlineStr">
        <is>
          <t>XS2201-f_top3</t>
        </is>
      </c>
      <c r="D51" t="inlineStr">
        <is>
          <t>SHAIKH_JACOBO_2020_TABLE1</t>
        </is>
      </c>
      <c r="E51" t="inlineStr">
        <is>
          <t>dimensionless</t>
        </is>
      </c>
    </row>
    <row r="52">
      <c r="A52" t="n">
        <v>2007</v>
      </c>
      <c r="B52" t="n">
        <v>60.76</v>
      </c>
      <c r="C52" t="inlineStr">
        <is>
          <t>XS2201-r_mean</t>
        </is>
      </c>
      <c r="D52" t="inlineStr">
        <is>
          <t>SHAIKH_JACOBO_2020_TABLE1</t>
        </is>
      </c>
      <c r="E52" t="inlineStr">
        <is>
          <t>thousands_usd</t>
        </is>
      </c>
    </row>
    <row r="53">
      <c r="A53" t="n">
        <v>2007</v>
      </c>
      <c r="B53" t="n">
        <v>44.94</v>
      </c>
      <c r="C53" t="inlineStr">
        <is>
          <t>XS2201-w_mean</t>
        </is>
      </c>
      <c r="D53" t="inlineStr">
        <is>
          <t>SHAIKH_JACOBO_2020_TABLE1</t>
        </is>
      </c>
      <c r="E53" t="inlineStr">
        <is>
          <t>thousands_usd</t>
        </is>
      </c>
    </row>
    <row r="54">
      <c r="A54" t="n">
        <v>2008</v>
      </c>
      <c r="B54" t="n">
        <v>0.49</v>
      </c>
      <c r="C54" t="inlineStr">
        <is>
          <t>XS2201-G_prime</t>
        </is>
      </c>
      <c r="D54" t="inlineStr">
        <is>
          <t>SHAIKH_JACOBO_2020_TABLE1</t>
        </is>
      </c>
      <c r="E54" t="inlineStr">
        <is>
          <t>dimensionless</t>
        </is>
      </c>
    </row>
    <row r="55">
      <c r="A55" t="n">
        <v>2008</v>
      </c>
      <c r="B55" t="n">
        <v>1.35</v>
      </c>
      <c r="C55" t="inlineStr">
        <is>
          <t>XS2201-alpha</t>
        </is>
      </c>
      <c r="D55" t="inlineStr">
        <is>
          <t>SHAIKH_JACOBO_2020_TABLE1</t>
        </is>
      </c>
      <c r="E55" t="inlineStr">
        <is>
          <t>dimensionless</t>
        </is>
      </c>
    </row>
    <row r="56">
      <c r="A56" t="n">
        <v>2008</v>
      </c>
      <c r="B56" t="n">
        <v>0.23</v>
      </c>
      <c r="C56" t="inlineStr">
        <is>
          <t>XS2201-f_top3</t>
        </is>
      </c>
      <c r="D56" t="inlineStr">
        <is>
          <t>SHAIKH_JACOBO_2020_TABLE1</t>
        </is>
      </c>
      <c r="E56" t="inlineStr">
        <is>
          <t>dimensionless</t>
        </is>
      </c>
    </row>
    <row r="57">
      <c r="A57" t="n">
        <v>2008</v>
      </c>
      <c r="B57" t="n">
        <v>58.01</v>
      </c>
      <c r="C57" t="inlineStr">
        <is>
          <t>XS2201-r_mean</t>
        </is>
      </c>
      <c r="D57" t="inlineStr">
        <is>
          <t>SHAIKH_JACOBO_2020_TABLE1</t>
        </is>
      </c>
      <c r="E57" t="inlineStr">
        <is>
          <t>thousands_usd</t>
        </is>
      </c>
    </row>
    <row r="58">
      <c r="A58" t="n">
        <v>2008</v>
      </c>
      <c r="B58" t="n">
        <v>44.87</v>
      </c>
      <c r="C58" t="inlineStr">
        <is>
          <t>XS2201-w_mean</t>
        </is>
      </c>
      <c r="D58" t="inlineStr">
        <is>
          <t>SHAIKH_JACOBO_2020_TABLE1</t>
        </is>
      </c>
      <c r="E58" t="inlineStr">
        <is>
          <t>thousands_usd</t>
        </is>
      </c>
    </row>
    <row r="59">
      <c r="A59" t="n">
        <v>2009</v>
      </c>
      <c r="B59" t="n">
        <v>0.49</v>
      </c>
      <c r="C59" t="inlineStr">
        <is>
          <t>XS2201-G_prime</t>
        </is>
      </c>
      <c r="D59" t="inlineStr">
        <is>
          <t>SHAIKH_JACOBO_2020_TABLE1</t>
        </is>
      </c>
      <c r="E59" t="inlineStr">
        <is>
          <t>dimensionless</t>
        </is>
      </c>
    </row>
    <row r="60">
      <c r="A60" t="n">
        <v>2009</v>
      </c>
      <c r="B60" t="n">
        <v>1.44</v>
      </c>
      <c r="C60" t="inlineStr">
        <is>
          <t>XS2201-alpha</t>
        </is>
      </c>
      <c r="D60" t="inlineStr">
        <is>
          <t>SHAIKH_JACOBO_2020_TABLE1</t>
        </is>
      </c>
      <c r="E60" t="inlineStr">
        <is>
          <t>dimensionless</t>
        </is>
      </c>
    </row>
    <row r="61">
      <c r="A61" t="n">
        <v>2009</v>
      </c>
      <c r="B61" t="n">
        <v>0.2</v>
      </c>
      <c r="C61" t="inlineStr">
        <is>
          <t>XS2201-f_top3</t>
        </is>
      </c>
      <c r="D61" t="inlineStr">
        <is>
          <t>SHAIKH_JACOBO_2020_TABLE1</t>
        </is>
      </c>
      <c r="E61" t="inlineStr">
        <is>
          <t>dimensionless</t>
        </is>
      </c>
    </row>
    <row r="62">
      <c r="A62" t="n">
        <v>2009</v>
      </c>
      <c r="B62" t="n">
        <v>54.28</v>
      </c>
      <c r="C62" t="inlineStr">
        <is>
          <t>XS2201-r_mean</t>
        </is>
      </c>
      <c r="D62" t="inlineStr">
        <is>
          <t>SHAIKH_JACOBO_2020_TABLE1</t>
        </is>
      </c>
      <c r="E62" t="inlineStr">
        <is>
          <t>thousands_usd</t>
        </is>
      </c>
    </row>
    <row r="63">
      <c r="A63" t="n">
        <v>2009</v>
      </c>
      <c r="B63" t="n">
        <v>43.67</v>
      </c>
      <c r="C63" t="inlineStr">
        <is>
          <t>XS2201-w_mean</t>
        </is>
      </c>
      <c r="D63" t="inlineStr">
        <is>
          <t>SHAIKH_JACOBO_2020_TABLE1</t>
        </is>
      </c>
      <c r="E63" t="inlineStr">
        <is>
          <t>thousands_usd</t>
        </is>
      </c>
    </row>
    <row r="64">
      <c r="A64" t="n">
        <v>2010</v>
      </c>
      <c r="B64" t="n">
        <v>0.49</v>
      </c>
      <c r="C64" t="inlineStr">
        <is>
          <t>XS2201-G_prime</t>
        </is>
      </c>
      <c r="D64" t="inlineStr">
        <is>
          <t>SHAIKH_JACOBO_2020_TABLE1</t>
        </is>
      </c>
      <c r="E64" t="inlineStr">
        <is>
          <t>dimensionless</t>
        </is>
      </c>
    </row>
    <row r="65">
      <c r="A65" t="n">
        <v>2010</v>
      </c>
      <c r="B65" t="n">
        <v>1.39</v>
      </c>
      <c r="C65" t="inlineStr">
        <is>
          <t>XS2201-alpha</t>
        </is>
      </c>
      <c r="D65" t="inlineStr">
        <is>
          <t>SHAIKH_JACOBO_2020_TABLE1</t>
        </is>
      </c>
      <c r="E65" t="inlineStr">
        <is>
          <t>dimensionless</t>
        </is>
      </c>
    </row>
    <row r="66">
      <c r="A66" t="n">
        <v>2010</v>
      </c>
      <c r="B66" t="n">
        <v>0.22</v>
      </c>
      <c r="C66" t="inlineStr">
        <is>
          <t>XS2201-f_top3</t>
        </is>
      </c>
      <c r="D66" t="inlineStr">
        <is>
          <t>SHAIKH_JACOBO_2020_TABLE1</t>
        </is>
      </c>
      <c r="E66" t="inlineStr">
        <is>
          <t>dimensionless</t>
        </is>
      </c>
    </row>
    <row r="67">
      <c r="A67" t="n">
        <v>2010</v>
      </c>
      <c r="B67" t="n">
        <v>56.61</v>
      </c>
      <c r="C67" t="inlineStr">
        <is>
          <t>XS2201-r_mean</t>
        </is>
      </c>
      <c r="D67" t="inlineStr">
        <is>
          <t>SHAIKH_JACOBO_2020_TABLE1</t>
        </is>
      </c>
      <c r="E67" t="inlineStr">
        <is>
          <t>thousands_usd</t>
        </is>
      </c>
    </row>
    <row r="68">
      <c r="A68" t="n">
        <v>2010</v>
      </c>
      <c r="B68" t="n">
        <v>44.36</v>
      </c>
      <c r="C68" t="inlineStr">
        <is>
          <t>XS2201-w_mean</t>
        </is>
      </c>
      <c r="D68" t="inlineStr">
        <is>
          <t>SHAIKH_JACOBO_2020_TABLE1</t>
        </is>
      </c>
      <c r="E68" t="inlineStr">
        <is>
          <t>thousands_usd</t>
        </is>
      </c>
    </row>
    <row r="69">
      <c r="A69" t="n">
        <v>2011</v>
      </c>
      <c r="B69" t="n">
        <v>0.49</v>
      </c>
      <c r="C69" t="inlineStr">
        <is>
          <t>XS2201-G_prime</t>
        </is>
      </c>
      <c r="D69" t="inlineStr">
        <is>
          <t>SHAIKH_JACOBO_2020_TABLE1</t>
        </is>
      </c>
      <c r="E69" t="inlineStr">
        <is>
          <t>dimensionless</t>
        </is>
      </c>
    </row>
    <row r="70">
      <c r="A70" t="n">
        <v>2011</v>
      </c>
      <c r="B70" t="n">
        <v>1.4</v>
      </c>
      <c r="C70" t="inlineStr">
        <is>
          <t>XS2201-alpha</t>
        </is>
      </c>
      <c r="D70" t="inlineStr">
        <is>
          <t>SHAIKH_JACOBO_2020_TABLE1</t>
        </is>
      </c>
      <c r="E70" t="inlineStr">
        <is>
          <t>dimensionless</t>
        </is>
      </c>
    </row>
    <row r="71">
      <c r="A71" t="n">
        <v>2011</v>
      </c>
      <c r="B71" t="n">
        <v>0.21</v>
      </c>
      <c r="C71" t="inlineStr">
        <is>
          <t>XS2201-f_top3</t>
        </is>
      </c>
      <c r="D71" t="inlineStr">
        <is>
          <t>SHAIKH_JACOBO_2020_TABLE1</t>
        </is>
      </c>
      <c r="E71" t="inlineStr">
        <is>
          <t>dimensionless</t>
        </is>
      </c>
    </row>
    <row r="72">
      <c r="A72" t="n">
        <v>2011</v>
      </c>
      <c r="B72" t="n">
        <v>57.61</v>
      </c>
      <c r="C72" t="inlineStr">
        <is>
          <t>XS2201-r_mean</t>
        </is>
      </c>
      <c r="D72" t="inlineStr">
        <is>
          <t>SHAIKH_JACOBO_2020_TABLE1</t>
        </is>
      </c>
      <c r="E72" t="inlineStr">
        <is>
          <t>thousands_usd</t>
        </is>
      </c>
    </row>
    <row r="73">
      <c r="A73" t="n">
        <v>2011</v>
      </c>
      <c r="B73" t="n">
        <v>45.31</v>
      </c>
      <c r="C73" t="inlineStr">
        <is>
          <t>XS2201-w_mean</t>
        </is>
      </c>
      <c r="D73" t="inlineStr">
        <is>
          <t>SHAIKH_JACOBO_2020_TABLE1</t>
        </is>
      </c>
      <c r="E73" t="inlineStr">
        <is>
          <t>thousands_usd</t>
        </is>
      </c>
    </row>
    <row r="74">
      <c r="A74" t="n">
        <v>2012</v>
      </c>
      <c r="B74" t="n">
        <v>0.49</v>
      </c>
      <c r="C74" t="inlineStr">
        <is>
          <t>XS2201-G_prime</t>
        </is>
      </c>
      <c r="D74" t="inlineStr">
        <is>
          <t>SHAIKH_JACOBO_2020_TABLE1</t>
        </is>
      </c>
      <c r="E74" t="inlineStr">
        <is>
          <t>dimensionless</t>
        </is>
      </c>
    </row>
    <row r="75">
      <c r="A75" t="n">
        <v>2012</v>
      </c>
      <c r="B75" t="n">
        <v>1.33</v>
      </c>
      <c r="C75" t="inlineStr">
        <is>
          <t>XS2201-alpha</t>
        </is>
      </c>
      <c r="D75" t="inlineStr">
        <is>
          <t>SHAIKH_JACOBO_2020_TABLE1</t>
        </is>
      </c>
      <c r="E75" t="inlineStr">
        <is>
          <t>dimensionless</t>
        </is>
      </c>
    </row>
    <row r="76">
      <c r="A76" t="n">
        <v>2012</v>
      </c>
      <c r="B76" t="n">
        <v>0.25</v>
      </c>
      <c r="C76" t="inlineStr">
        <is>
          <t>XS2201-f_top3</t>
        </is>
      </c>
      <c r="D76" t="inlineStr">
        <is>
          <t>SHAIKH_JACOBO_2020_TABLE1</t>
        </is>
      </c>
      <c r="E76" t="inlineStr">
        <is>
          <t>dimensionless</t>
        </is>
      </c>
    </row>
    <row r="77">
      <c r="A77" t="n">
        <v>2012</v>
      </c>
      <c r="B77" t="n">
        <v>62.79</v>
      </c>
      <c r="C77" t="inlineStr">
        <is>
          <t>XS2201-r_mean</t>
        </is>
      </c>
      <c r="D77" t="inlineStr">
        <is>
          <t>SHAIKH_JACOBO_2020_TABLE1</t>
        </is>
      </c>
      <c r="E77" t="inlineStr">
        <is>
          <t>thousands_usd</t>
        </is>
      </c>
    </row>
    <row r="78">
      <c r="A78" t="n">
        <v>2012</v>
      </c>
      <c r="B78" t="n">
        <v>46.88</v>
      </c>
      <c r="C78" t="inlineStr">
        <is>
          <t>XS2201-w_mean</t>
        </is>
      </c>
      <c r="D78" t="inlineStr">
        <is>
          <t>SHAIKH_JACOBO_2020_TABLE1</t>
        </is>
      </c>
      <c r="E78" t="inlineStr">
        <is>
          <t>thousands_usd</t>
        </is>
      </c>
    </row>
    <row r="79">
      <c r="A79" t="n">
        <v>2013</v>
      </c>
      <c r="B79" t="n">
        <v>0.49</v>
      </c>
      <c r="C79" t="inlineStr">
        <is>
          <t>XS2201-G_prime</t>
        </is>
      </c>
      <c r="D79" t="inlineStr">
        <is>
          <t>SHAIKH_JACOBO_2020_TABLE1</t>
        </is>
      </c>
      <c r="E79" t="inlineStr">
        <is>
          <t>dimensionless</t>
        </is>
      </c>
    </row>
    <row r="80">
      <c r="A80" t="n">
        <v>2013</v>
      </c>
      <c r="B80" t="n">
        <v>1.43</v>
      </c>
      <c r="C80" t="inlineStr">
        <is>
          <t>XS2201-alpha</t>
        </is>
      </c>
      <c r="D80" t="inlineStr">
        <is>
          <t>SHAIKH_JACOBO_2020_TABLE1</t>
        </is>
      </c>
      <c r="E80" t="inlineStr">
        <is>
          <t>dimensionless</t>
        </is>
      </c>
    </row>
    <row r="81">
      <c r="A81" t="n">
        <v>2013</v>
      </c>
      <c r="B81" t="n">
        <v>0.23</v>
      </c>
      <c r="C81" t="inlineStr">
        <is>
          <t>XS2201-f_top3</t>
        </is>
      </c>
      <c r="D81" t="inlineStr">
        <is>
          <t>SHAIKH_JACOBO_2020_TABLE1</t>
        </is>
      </c>
      <c r="E81" t="inlineStr">
        <is>
          <t>dimensionless</t>
        </is>
      </c>
    </row>
    <row r="82">
      <c r="A82" t="n">
        <v>2013</v>
      </c>
      <c r="B82" t="n">
        <v>61.71</v>
      </c>
      <c r="C82" t="inlineStr">
        <is>
          <t>XS2201-r_mean</t>
        </is>
      </c>
      <c r="D82" t="inlineStr">
        <is>
          <t>SHAIKH_JACOBO_2020_TABLE1</t>
        </is>
      </c>
      <c r="E82" t="inlineStr">
        <is>
          <t>thousands_usd</t>
        </is>
      </c>
    </row>
    <row r="83">
      <c r="A83" t="n">
        <v>2013</v>
      </c>
      <c r="B83" t="n">
        <v>47.62</v>
      </c>
      <c r="C83" t="inlineStr">
        <is>
          <t>XS2201-w_mean</t>
        </is>
      </c>
      <c r="D83" t="inlineStr">
        <is>
          <t>SHAIKH_JACOBO_2020_TABLE1</t>
        </is>
      </c>
      <c r="E83" t="inlineStr">
        <is>
          <t>thousands_usd</t>
        </is>
      </c>
    </row>
    <row r="84">
      <c r="A84" t="n">
        <v>2014</v>
      </c>
      <c r="B84" t="n">
        <v>0.49</v>
      </c>
      <c r="C84" t="inlineStr">
        <is>
          <t>XS2201-G_prime</t>
        </is>
      </c>
      <c r="D84" t="inlineStr">
        <is>
          <t>SHAIKH_JACOBO_2020_TABLE1</t>
        </is>
      </c>
      <c r="E84" t="inlineStr">
        <is>
          <t>dimensionless</t>
        </is>
      </c>
    </row>
    <row r="85">
      <c r="A85" t="n">
        <v>2014</v>
      </c>
      <c r="B85" t="n">
        <v>1.4</v>
      </c>
      <c r="C85" t="inlineStr">
        <is>
          <t>XS2201-alpha</t>
        </is>
      </c>
      <c r="D85" t="inlineStr">
        <is>
          <t>SHAIKH_JACOBO_2020_TABLE1</t>
        </is>
      </c>
      <c r="E85" t="inlineStr">
        <is>
          <t>dimensionless</t>
        </is>
      </c>
    </row>
    <row r="86">
      <c r="A86" t="n">
        <v>2014</v>
      </c>
      <c r="B86" t="n">
        <v>0.25</v>
      </c>
      <c r="C86" t="inlineStr">
        <is>
          <t>XS2201-f_top3</t>
        </is>
      </c>
      <c r="D86" t="inlineStr">
        <is>
          <t>SHAIKH_JACOBO_2020_TABLE1</t>
        </is>
      </c>
      <c r="E86" t="inlineStr">
        <is>
          <t>dimensionless</t>
        </is>
      </c>
    </row>
    <row r="87">
      <c r="A87" t="n">
        <v>2014</v>
      </c>
      <c r="B87" t="n">
        <v>65.75</v>
      </c>
      <c r="C87" t="inlineStr">
        <is>
          <t>XS2201-r_mean</t>
        </is>
      </c>
      <c r="D87" t="inlineStr">
        <is>
          <t>SHAIKH_JACOBO_2020_TABLE1</t>
        </is>
      </c>
      <c r="E87" t="inlineStr">
        <is>
          <t>thousands_usd</t>
        </is>
      </c>
    </row>
    <row r="88">
      <c r="A88" t="n">
        <v>2014</v>
      </c>
      <c r="B88" t="n">
        <v>49.22</v>
      </c>
      <c r="C88" t="inlineStr">
        <is>
          <t>XS2201-w_mean</t>
        </is>
      </c>
      <c r="D88" t="inlineStr">
        <is>
          <t>SHAIKH_JACOBO_2020_TABLE1</t>
        </is>
      </c>
      <c r="E88" t="inlineStr">
        <is>
          <t>thousands_usd</t>
        </is>
      </c>
    </row>
    <row r="89">
      <c r="A89" t="n">
        <v>2015</v>
      </c>
      <c r="B89" t="n">
        <v>0.48</v>
      </c>
      <c r="C89" t="inlineStr">
        <is>
          <t>XS2201-G_prime</t>
        </is>
      </c>
      <c r="D89" t="inlineStr">
        <is>
          <t>SHAIKH_JACOBO_2020_TABLE1</t>
        </is>
      </c>
      <c r="E89" t="inlineStr">
        <is>
          <t>dimensionless</t>
        </is>
      </c>
    </row>
    <row r="90">
      <c r="A90" t="n">
        <v>2015</v>
      </c>
      <c r="B90" t="n">
        <v>1.39</v>
      </c>
      <c r="C90" t="inlineStr">
        <is>
          <t>XS2201-alpha</t>
        </is>
      </c>
      <c r="D90" t="inlineStr">
        <is>
          <t>SHAIKH_JACOBO_2020_TABLE1</t>
        </is>
      </c>
      <c r="E90" t="inlineStr">
        <is>
          <t>dimensionless</t>
        </is>
      </c>
    </row>
    <row r="91">
      <c r="A91" t="n">
        <v>2015</v>
      </c>
      <c r="B91" t="n">
        <v>0.26</v>
      </c>
      <c r="C91" t="inlineStr">
        <is>
          <t>XS2201-f_top3</t>
        </is>
      </c>
      <c r="D91" t="inlineStr">
        <is>
          <t>SHAIKH_JACOBO_2020_TABLE1</t>
        </is>
      </c>
      <c r="E91" t="inlineStr">
        <is>
          <t>dimensionless</t>
        </is>
      </c>
    </row>
    <row r="92">
      <c r="A92" t="n">
        <v>2015</v>
      </c>
      <c r="B92" t="n">
        <v>67.84999999999999</v>
      </c>
      <c r="C92" t="inlineStr">
        <is>
          <t>XS2201-r_mean</t>
        </is>
      </c>
      <c r="D92" t="inlineStr">
        <is>
          <t>SHAIKH_JACOBO_2020_TABLE1</t>
        </is>
      </c>
      <c r="E92" t="inlineStr">
        <is>
          <t>thousands_usd</t>
        </is>
      </c>
    </row>
    <row r="93">
      <c r="A93" t="n">
        <v>2015</v>
      </c>
      <c r="B93" t="n">
        <v>50.42</v>
      </c>
      <c r="C93" t="inlineStr">
        <is>
          <t>XS2201-w_mean</t>
        </is>
      </c>
      <c r="D93" t="inlineStr">
        <is>
          <t>SHAIKH_JACOBO_2020_TABLE1</t>
        </is>
      </c>
      <c r="E93" t="inlineStr">
        <is>
          <t>thousands_usd</t>
        </is>
      </c>
    </row>
    <row r="94">
      <c r="A94" t="n">
        <v>2016</v>
      </c>
      <c r="B94" t="n">
        <v>0.48</v>
      </c>
      <c r="C94" t="inlineStr">
        <is>
          <t>XS2201-G_prime</t>
        </is>
      </c>
      <c r="D94" t="inlineStr">
        <is>
          <t>SHAIKH_JACOBO_2020_TABLE1</t>
        </is>
      </c>
      <c r="E94" t="inlineStr">
        <is>
          <t>dimensionless</t>
        </is>
      </c>
    </row>
    <row r="95">
      <c r="A95" t="n">
        <v>2016</v>
      </c>
      <c r="B95" t="n">
        <v>1.43</v>
      </c>
      <c r="C95" t="inlineStr">
        <is>
          <t>XS2201-alpha</t>
        </is>
      </c>
      <c r="D95" t="inlineStr">
        <is>
          <t>SHAIKH_JACOBO_2020_TABLE1</t>
        </is>
      </c>
      <c r="E95" t="inlineStr">
        <is>
          <t>dimensionless</t>
        </is>
      </c>
    </row>
    <row r="96">
      <c r="A96" t="n">
        <v>2016</v>
      </c>
      <c r="B96" t="n">
        <v>0.25</v>
      </c>
      <c r="C96" t="inlineStr">
        <is>
          <t>XS2201-f_top3</t>
        </is>
      </c>
      <c r="D96" t="inlineStr">
        <is>
          <t>SHAIKH_JACOBO_2020_TABLE1</t>
        </is>
      </c>
      <c r="E96" t="inlineStr">
        <is>
          <t>dimensionless</t>
        </is>
      </c>
    </row>
    <row r="97">
      <c r="A97" t="n">
        <v>2016</v>
      </c>
      <c r="B97" t="n">
        <v>68.05</v>
      </c>
      <c r="C97" t="inlineStr">
        <is>
          <t>XS2201-r_mean</t>
        </is>
      </c>
      <c r="D97" t="inlineStr">
        <is>
          <t>SHAIKH_JACOBO_2020_TABLE1</t>
        </is>
      </c>
      <c r="E97" t="inlineStr">
        <is>
          <t>thousands_usd</t>
        </is>
      </c>
    </row>
    <row r="98">
      <c r="A98" t="n">
        <v>2016</v>
      </c>
      <c r="B98" t="n">
        <v>50.96</v>
      </c>
      <c r="C98" t="inlineStr">
        <is>
          <t>XS2201-w_mean</t>
        </is>
      </c>
      <c r="D98" t="inlineStr">
        <is>
          <t>SHAIKH_JACOBO_2020_TABLE1</t>
        </is>
      </c>
      <c r="E98" t="inlineStr">
        <is>
          <t>thousands_usd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XS2201 — Methodology</t>
        </is>
      </c>
    </row>
    <row r="3">
      <c r="A3" s="4">
        <f>== DPR: XS2201_DPR.md ===</f>
        <v/>
      </c>
    </row>
    <row r="4">
      <c r="A4" t="inlineStr">
        <is>
          <t># XS2201 — Econophysics Two-Class Income Distribution Parameters, US 2002-2016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XS2201</t>
        </is>
      </c>
    </row>
    <row r="9">
      <c r="A9" t="inlineStr">
        <is>
          <t>**Content type**: `time_series`</t>
        </is>
      </c>
    </row>
    <row r="10">
      <c r="A10" t="inlineStr">
        <is>
          <t>**Status**: study_complete</t>
        </is>
      </c>
    </row>
    <row r="11">
      <c r="A11" t="inlineStr">
        <is>
          <t>**Authored**: 2026-05-18</t>
        </is>
      </c>
    </row>
    <row r="12">
      <c r="A12" t="inlineStr">
        <is>
          <t>**Author**: opus-fanout-ES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XS2201 is the annual panel of five jointly-fitted parameters of the</t>
        </is>
      </c>
    </row>
    <row r="17">
      <c r="A17" t="inlineStr">
        <is>
          <t>econophysics two-class income distribution model, US tax years</t>
        </is>
      </c>
    </row>
    <row r="18">
      <c r="A18" t="inlineStr">
        <is>
          <t>2002-2016. Source: Shaikh &amp; Jacobo (2020) "Economic Arbitrage and the</t>
        </is>
      </c>
    </row>
    <row r="19">
      <c r="A19" t="inlineStr">
        <is>
          <t>Econophysics of Income Inequality", Review of Behavioral Economics</t>
        </is>
      </c>
    </row>
    <row r="20">
      <c r="A20" t="inlineStr">
        <is>
          <t>7: 1-17, Table 1 (paper p. 5).</t>
        </is>
      </c>
    </row>
    <row r="21">
      <c r="A21" t="inlineStr"/>
    </row>
    <row r="22">
      <c r="A22" t="inlineStr">
        <is>
          <t>The five parameters per year:</t>
        </is>
      </c>
    </row>
    <row r="23">
      <c r="A23" t="inlineStr">
        <is>
          <t>- G' (Gini coefficient, bottom 97%)</t>
        </is>
      </c>
    </row>
    <row r="24">
      <c r="A24" t="inlineStr">
        <is>
          <t>- ⟨r⟩ (overall average AGI per return, thousands USD)</t>
        </is>
      </c>
    </row>
    <row r="25">
      <c r="A25" t="inlineStr">
        <is>
          <t>- ⟨w⟩ (bottom-97% mean / income temperature, thousands USD)</t>
        </is>
      </c>
    </row>
    <row r="26">
      <c r="A26" t="inlineStr">
        <is>
          <t>- f (top-3% income share, derived as 1 − ⟨w⟩/⟨r⟩)</t>
        </is>
      </c>
    </row>
    <row r="27">
      <c r="A27" t="inlineStr">
        <is>
          <t>- α (top-3% power-law exponent)</t>
        </is>
      </c>
    </row>
    <row r="28">
      <c r="A28" t="inlineStr"/>
    </row>
    <row r="29">
      <c r="A29" t="inlineStr">
        <is>
          <t>## 2. Why it matters</t>
        </is>
      </c>
    </row>
    <row r="30">
      <c r="A30" t="inlineStr"/>
    </row>
    <row r="31">
      <c r="A31" t="inlineStr">
        <is>
          <t>Each year's five parameters jointly characterize the empirical</t>
        </is>
      </c>
    </row>
    <row r="32">
      <c r="A32" t="inlineStr">
        <is>
          <t>income distribution under the two-class econophysics model</t>
        </is>
      </c>
    </row>
    <row r="33">
      <c r="A33" t="inlineStr">
        <is>
          <t>(Dragulescu-Yakovenko exponential bottom + Pareto top). The</t>
        </is>
      </c>
    </row>
    <row r="34">
      <c r="A34" t="inlineStr">
        <is>
          <t>remarkable stability of G' ≈ 0.49 across all 15 years is the</t>
        </is>
      </c>
    </row>
    <row r="35">
      <c r="A35" t="inlineStr">
        <is>
          <t>paper's headline empirical regularity — strong support for the</t>
        </is>
      </c>
    </row>
    <row r="36">
      <c r="A36" t="inlineStr">
        <is>
          <t>universal-arbitrage interpretation of personal income distribution.</t>
        </is>
      </c>
    </row>
    <row r="37">
      <c r="A37" t="inlineStr"/>
    </row>
    <row r="38">
      <c r="A38" t="inlineStr">
        <is>
          <t>## 3. Sources</t>
        </is>
      </c>
    </row>
    <row r="39">
      <c r="A39" t="inlineStr"/>
    </row>
    <row r="40">
      <c r="A40" t="inlineStr">
        <is>
          <t>| Subseries | Coverage | Source | Native units | Retrieval |</t>
        </is>
      </c>
    </row>
    <row r="41">
      <c r="A41" t="inlineStr">
        <is>
          <t>|---|---|---|---|---|</t>
        </is>
      </c>
    </row>
    <row r="42">
      <c r="A42" t="inlineStr">
        <is>
          <t>| XS2201-G_prime | 2002-2016 | Shaikh-Jacobo (2020) Table 1 col G' | dimensionless | Reconstructed CSV |</t>
        </is>
      </c>
    </row>
    <row r="43">
      <c r="A43" t="inlineStr">
        <is>
          <t>| XS2201-r_mean | 2002-2016 | Table 1 col ⟨r⟩ | thousands USD | Reconstructed CSV |</t>
        </is>
      </c>
    </row>
    <row r="44">
      <c r="A44" t="inlineStr">
        <is>
          <t>| XS2201-w_mean | 2002-2016 | Table 1 col ⟨w⟩ | thousands USD | Reconstructed CSV |</t>
        </is>
      </c>
    </row>
    <row r="45">
      <c r="A45" t="inlineStr">
        <is>
          <t>| XS2201-f_top3 | 2002-2016 | Table 1 col f | dimensionless | Reconstructed CSV |</t>
        </is>
      </c>
    </row>
    <row r="46">
      <c r="A46" t="inlineStr">
        <is>
          <t>| XS2201-alpha | 2002-2016 | Table 1 col α | dimensionless | Reconstructed CSV |</t>
        </is>
      </c>
    </row>
    <row r="47">
      <c r="A47" t="inlineStr"/>
    </row>
    <row r="48">
      <c r="A48" t="inlineStr">
        <is>
          <t>Underlying primary data: IRS SOI Publication 1304 Table 1.4 (AGI bin</t>
        </is>
      </c>
    </row>
    <row r="49">
      <c r="A49" t="inlineStr">
        <is>
          <t>counts) and Table 1 (selected income items by size of AGI), tax years</t>
        </is>
      </c>
    </row>
    <row r="50">
      <c r="A50" t="inlineStr">
        <is>
          <t>2002-2016. Public domain.</t>
        </is>
      </c>
    </row>
    <row r="51">
      <c r="A51" t="inlineStr"/>
    </row>
    <row r="52">
      <c r="A52" t="inlineStr">
        <is>
          <t>## 4. Construction</t>
        </is>
      </c>
    </row>
    <row r="53">
      <c r="A53" t="inlineStr"/>
    </row>
    <row r="54">
      <c r="A54" t="inlineStr">
        <is>
          <t>`composite` — for v1.0 we ingest Table 1 verbatim. Each</t>
        </is>
      </c>
    </row>
    <row r="55">
      <c r="A55" t="inlineStr">
        <is>
          <t>`(year, parameter)` triple becomes one row.</t>
        </is>
      </c>
    </row>
    <row r="56">
      <c r="A56" t="inlineStr"/>
    </row>
    <row r="57">
      <c r="A57" t="inlineStr">
        <is>
          <t>## 5. Year coverage</t>
        </is>
      </c>
    </row>
    <row r="58">
      <c r="A58" t="inlineStr"/>
    </row>
    <row r="59">
      <c r="A59" t="inlineStr">
        <is>
          <t>Paper window: 2002-2016. Extension: re-fitting per year using the</t>
        </is>
      </c>
    </row>
    <row r="60">
      <c r="A60" t="inlineStr">
        <is>
          <t>same MLE protocol for 2017-2023 (IRS SOI release lag ~2-3 years).</t>
        </is>
      </c>
    </row>
    <row r="61">
      <c r="A61" t="inlineStr">
        <is>
          <t>v1.0 does not implement the MLE re-fit; that requires acquiring IRS</t>
        </is>
      </c>
    </row>
    <row r="62">
      <c r="A62" t="inlineStr">
        <is>
          <t>Pub 1304 Tables 1.4 + 1 for the missing years (~200 MB of PDFs).</t>
        </is>
      </c>
    </row>
    <row r="63">
      <c r="A63" t="inlineStr"/>
    </row>
    <row r="64">
      <c r="A64" t="inlineStr">
        <is>
          <t>## 6. Units</t>
        </is>
      </c>
    </row>
    <row r="65">
      <c r="A65" t="inlineStr"/>
    </row>
    <row r="66">
      <c r="A66" t="inlineStr">
        <is>
          <t>Mixed per row (see Sources table). The chopped CSV carries unit per</t>
        </is>
      </c>
    </row>
    <row r="67">
      <c r="A67" t="inlineStr">
        <is>
          <t>subseries.</t>
        </is>
      </c>
    </row>
    <row r="68">
      <c r="A68" t="inlineStr"/>
    </row>
    <row r="69">
      <c r="A69" t="inlineStr">
        <is>
          <t>## 7. Caveats</t>
        </is>
      </c>
    </row>
    <row r="70">
      <c r="A70" t="inlineStr"/>
    </row>
    <row r="71">
      <c r="A71" t="inlineStr">
        <is>
          <t>1. ⟨w⟩ is NOT a direct sample mean. Per paper appendix, it is the</t>
        </is>
      </c>
    </row>
    <row r="72">
      <c r="A72" t="inlineStr">
        <is>
          <t xml:space="preserve">   inverse slope of the MLE regression ln C(r) on r for the bottom</t>
        </is>
      </c>
    </row>
    <row r="73">
      <c r="A73" t="inlineStr">
        <is>
          <t xml:space="preserve">   section — a regression-derived "income temperature". Any extension</t>
        </is>
      </c>
    </row>
    <row r="74">
      <c r="A74" t="inlineStr">
        <is>
          <t xml:space="preserve">   must replicate this regression-based estimator, not substitute a</t>
        </is>
      </c>
    </row>
    <row r="75">
      <c r="A75" t="inlineStr">
        <is>
          <t xml:space="preserve">   direct bottom-97% sample mean.</t>
        </is>
      </c>
    </row>
    <row r="76">
      <c r="A76" t="inlineStr">
        <is>
          <t>2. f = 1 - ⟨w⟩/⟨r⟩ is an identity derived from ⟨w⟩ and ⟨r⟩, not</t>
        </is>
      </c>
    </row>
    <row r="77">
      <c r="A77" t="inlineStr">
        <is>
          <t xml:space="preserve">   independently estimated.</t>
        </is>
      </c>
    </row>
    <row r="78">
      <c r="A78" t="inlineStr">
        <is>
          <t>3. Bin midpoint convention for the top open-ended bin is not</t>
        </is>
      </c>
    </row>
    <row r="79">
      <c r="A79" t="inlineStr">
        <is>
          <t xml:space="preserve">   explicitly stated in the paper appendix; v1.1 extension must</t>
        </is>
      </c>
    </row>
    <row r="80">
      <c r="A80" t="inlineStr">
        <is>
          <t xml:space="preserve">   document a convention (Pareto-tail integral preferred).</t>
        </is>
      </c>
    </row>
    <row r="81">
      <c r="A81" t="inlineStr">
        <is>
          <t>4. TCJA (2017+) and CARES (2020+) AGI definition revisions may</t>
        </is>
      </c>
    </row>
    <row r="82">
      <c r="A82" t="inlineStr">
        <is>
          <t xml:space="preserve">   create methodological discontinuities for the extension years.</t>
        </is>
      </c>
    </row>
    <row r="83">
      <c r="A83" t="inlineStr">
        <is>
          <t>5. Brooks Gini-method notes URL (paper-cited) is 404; methodology</t>
        </is>
      </c>
    </row>
    <row r="84">
      <c r="A84" t="inlineStr">
        <is>
          <t xml:space="preserve">   reference substitution to Cowell (2011) ch. 5 or Wayback-archived</t>
        </is>
      </c>
    </row>
    <row r="85">
      <c r="A85" t="inlineStr">
        <is>
          <t xml:space="preserve">   Brooks PDF.</t>
        </is>
      </c>
    </row>
    <row r="86">
      <c r="A86" t="inlineStr"/>
    </row>
    <row r="87">
      <c r="A87" t="inlineStr">
        <is>
          <t>## 8. Cross-references</t>
        </is>
      </c>
    </row>
    <row r="88">
      <c r="A88" t="inlineStr"/>
    </row>
    <row r="89">
      <c r="A89" t="inlineStr">
        <is>
          <t>- Dossier: `Technical/research/XS2201_research.json`</t>
        </is>
      </c>
    </row>
    <row r="90">
      <c r="A90" t="inlineStr">
        <is>
          <t>- Book chapter ancestor: Ch17 (Theory of personal income distribution)</t>
        </is>
      </c>
    </row>
    <row r="91">
      <c r="A91" t="inlineStr">
        <is>
          <t>- Reconstructed: `SalvagedInputs/book_data/Reconstructed/XS2201_fitted_parameters.csv`</t>
        </is>
      </c>
    </row>
    <row r="92">
      <c r="A92" t="inlineStr"/>
    </row>
    <row r="93">
      <c r="A93" t="inlineStr">
        <is>
          <t>## 9. Validation expectation</t>
        </is>
      </c>
    </row>
    <row r="94">
      <c r="A94" t="inlineStr"/>
    </row>
    <row r="95">
      <c r="A95" t="inlineStr">
        <is>
          <t>- Tolerance: 0.5% (verbatim transcription).</t>
        </is>
      </c>
    </row>
    <row r="98">
      <c r="A98" s="4">
        <f>== EPR: XS2201_EPR.md ===</f>
        <v/>
      </c>
    </row>
    <row r="99">
      <c r="A99" t="inlineStr">
        <is>
          <t># XS2201 — Extension Provenance Record</t>
        </is>
      </c>
    </row>
    <row r="100">
      <c r="A100" t="inlineStr"/>
    </row>
    <row r="101">
      <c r="A101" t="inlineStr">
        <is>
          <t>**Series**: XS2201 — Econophysics Two-Class Income Parameters</t>
        </is>
      </c>
    </row>
    <row r="102">
      <c r="A102" t="inlineStr">
        <is>
          <t>**Phase**: 6 (Extension)</t>
        </is>
      </c>
    </row>
    <row r="103">
      <c r="A103" t="inlineStr">
        <is>
          <t>**Construction**: `composite` (verbatim Table 1 in v1.0)</t>
        </is>
      </c>
    </row>
    <row r="104">
      <c r="A104" t="inlineStr">
        <is>
          <t>**Authored**: 2026-05-18</t>
        </is>
      </c>
    </row>
    <row r="105">
      <c r="A105" t="inlineStr"/>
    </row>
    <row r="106">
      <c r="A106" t="inlineStr">
        <is>
          <t>## 1. Extendability</t>
        </is>
      </c>
    </row>
    <row r="107">
      <c r="A107" t="inlineStr"/>
    </row>
    <row r="108">
      <c r="A108" t="inlineStr">
        <is>
          <t>IRS SOI Pub 1304 Tables 1.4 and 1 are published annually with ~2-3</t>
        </is>
      </c>
    </row>
    <row r="109">
      <c r="A109" t="inlineStr">
        <is>
          <t>year lag. As of 2026, the latest available year is likely 2022 or</t>
        </is>
      </c>
    </row>
    <row r="110">
      <c r="A110" t="inlineStr">
        <is>
          <t>2023. Extension requires re-fitting the five Table-1 parameters per</t>
        </is>
      </c>
    </row>
    <row r="111">
      <c r="A111" t="inlineStr">
        <is>
          <t>year using the paper's MLE protocol — NOT growth-rate splicing of</t>
        </is>
      </c>
    </row>
    <row r="112">
      <c r="A112" t="inlineStr">
        <is>
          <t>already-fitted parameters (per Anu Framework No Lazy Splices rule,</t>
        </is>
      </c>
    </row>
    <row r="113">
      <c r="A113" t="inlineStr">
        <is>
          <t>since the five parameters are jointly estimated).</t>
        </is>
      </c>
    </row>
    <row r="114">
      <c r="A114" t="inlineStr"/>
    </row>
    <row r="115">
      <c r="A115" t="inlineStr">
        <is>
          <t>## 2. v1.0 scope</t>
        </is>
      </c>
    </row>
    <row r="116">
      <c r="A116" t="inlineStr"/>
    </row>
    <row r="117">
      <c r="A117" t="inlineStr">
        <is>
          <t>Direct verbatim ingestion of Shaikh-Jacobo (2020) Table 1 for</t>
        </is>
      </c>
    </row>
    <row r="118">
      <c r="A118" t="inlineStr">
        <is>
          <t>2002-2016. No re-fitting performed.</t>
        </is>
      </c>
    </row>
    <row r="119">
      <c r="A119" t="inlineStr"/>
    </row>
    <row r="120">
      <c r="A120" t="inlineStr">
        <is>
          <t>## 3. v1.1 plan</t>
        </is>
      </c>
    </row>
    <row r="121">
      <c r="A121" t="inlineStr"/>
    </row>
    <row r="122">
      <c r="A122" t="inlineStr">
        <is>
          <t>1. Acquire IRS SOI Pub 1304 Table 1.4 and Table 1 PDFs for tax years</t>
        </is>
      </c>
    </row>
    <row r="123">
      <c r="A123" t="inlineStr">
        <is>
          <t xml:space="preserve">   2017-2022 (current latest).</t>
        </is>
      </c>
    </row>
    <row r="124">
      <c r="A124" t="inlineStr">
        <is>
          <t>2. Implement MLE estimator for ⟨w⟩ (slope of ln C(r) on r, bottom</t>
        </is>
      </c>
    </row>
    <row r="125">
      <c r="A125" t="inlineStr">
        <is>
          <t xml:space="preserve">   section) and α (slope of ln C(r) on ln r, top section).</t>
        </is>
      </c>
    </row>
    <row r="126">
      <c r="A126" t="inlineStr">
        <is>
          <t>3. Document top-bin midpoint convention (Pareto-tail integral</t>
        </is>
      </c>
    </row>
    <row r="127">
      <c r="A127" t="inlineStr">
        <is>
          <t xml:space="preserve">   preferred).</t>
        </is>
      </c>
    </row>
    <row r="128">
      <c r="A128" t="inlineStr">
        <is>
          <t>4. Re-fit per year; emit as XS2201-* extension rows.</t>
        </is>
      </c>
    </row>
    <row r="129">
      <c r="A129" t="inlineStr">
        <is>
          <t>5. Document TCJA/CARES AGI methodological discontinuities.</t>
        </is>
      </c>
    </row>
    <row r="130">
      <c r="A130" t="inlineStr"/>
    </row>
    <row r="131">
      <c r="A131" t="inlineStr">
        <is>
          <t>## 4. Proxies</t>
        </is>
      </c>
    </row>
    <row r="132">
      <c r="A132" t="inlineStr"/>
    </row>
    <row r="133">
      <c r="A133" t="inlineStr">
        <is>
          <t>Brooks Gini-method notes URL (paper-cited</t>
        </is>
      </c>
    </row>
    <row r="134">
      <c r="A134" t="inlineStr">
        <is>
          <t>`https://www3.nd.edu/~wbrooks/GiniNotes.pdf`) returns 404. v1.1</t>
        </is>
      </c>
    </row>
    <row r="135">
      <c r="A135" t="inlineStr">
        <is>
          <t>substitutes Cowell (2011) Measuring Inequality ch. 5 as open</t>
        </is>
      </c>
    </row>
    <row r="136">
      <c r="A136" t="inlineStr">
        <is>
          <t>methodology reference, or Wayback-archived Brooks PDF if recoverable.</t>
        </is>
      </c>
    </row>
    <row r="137">
      <c r="A137" t="inlineStr">
        <is>
          <t>This is a methodology-reference substitution, NOT a data-source proxy.</t>
        </is>
      </c>
    </row>
    <row r="138">
      <c r="A138" t="inlineStr"/>
    </row>
    <row r="139">
      <c r="A139" t="inlineStr">
        <is>
          <t>## 5. Synthetic data</t>
        </is>
      </c>
    </row>
    <row r="140">
      <c r="A140" t="inlineStr"/>
    </row>
    <row r="141">
      <c r="A141" t="inlineStr">
        <is>
          <t>None. v1.0 is verbatim transcription.</t>
        </is>
      </c>
    </row>
    <row r="142">
      <c r="A142" t="inlineStr"/>
    </row>
    <row r="143">
      <c r="A143" t="inlineStr">
        <is>
          <t>## 6. Conceptual continuity vs adjacent concepts</t>
        </is>
      </c>
    </row>
    <row r="144">
      <c r="A144" t="inlineStr"/>
    </row>
    <row r="145">
      <c r="A145" t="inlineStr">
        <is>
          <t>The extension proxy (IRS SOI Pub 1304 Tables 1.4 and 1, re-fitted per</t>
        </is>
      </c>
    </row>
    <row r="146">
      <c r="A146" t="inlineStr">
        <is>
          <t>year using MLE) measures `two-class econophysics income distribution</t>
        </is>
      </c>
    </row>
    <row r="147">
      <c r="A147" t="inlineStr">
        <is>
          <t>parameters (G', ⟨r⟩, ⟨w⟩, f, α)` rather than `Gini coefficient on full</t>
        </is>
      </c>
    </row>
    <row r="148">
      <c r="A148" t="inlineStr">
        <is>
          <t>AGI distribution` or `top-10% income share (Piketty-Saez)` because:</t>
        </is>
      </c>
    </row>
    <row r="149">
      <c r="A149" t="inlineStr">
        <is>
          <t>- Source agency choice: IRS SOI Pub 1304 is the only US administrative</t>
        </is>
      </c>
    </row>
    <row r="150">
      <c r="A150" t="inlineStr">
        <is>
          <t xml:space="preserve">  micro-data binned-tabulation source that supports the</t>
        </is>
      </c>
    </row>
    <row r="151">
      <c r="A151" t="inlineStr">
        <is>
          <t xml:space="preserve">  Dragulescu-Yakovenko exponential + Pareto MLE jointly. Survey-based</t>
        </is>
      </c>
    </row>
    <row r="152">
      <c r="A152" t="inlineStr">
        <is>
          <t xml:space="preserve">  CPS/PSID sources truncate the Pareto top tail and are not suitable.</t>
        </is>
      </c>
    </row>
    <row r="153">
      <c r="A153" t="inlineStr">
        <is>
          <t>- Methodology continuity: paper-window 2002-2016 parameters were MLE-fit</t>
        </is>
      </c>
    </row>
    <row r="154">
      <c r="A154" t="inlineStr">
        <is>
          <t xml:space="preserve">  on SOI bin midpoints; extension years (2017+) re-fit on the same Tables</t>
        </is>
      </c>
    </row>
    <row r="155">
      <c r="A155" t="inlineStr">
        <is>
          <t xml:space="preserve">  1.4 + 1, NOT growth-rate-spliced from the existing fitted parameters</t>
        </is>
      </c>
    </row>
    <row r="156">
      <c r="A156" t="inlineStr">
        <is>
          <t xml:space="preserve">  (per Anu Framework No Lazy Splices rule, since these five parameters</t>
        </is>
      </c>
    </row>
    <row r="157">
      <c r="A157" t="inlineStr">
        <is>
          <t xml:space="preserve">  are jointly estimated, not directly observed).</t>
        </is>
      </c>
    </row>
    <row r="158">
      <c r="A158" t="inlineStr">
        <is>
          <t>- Disambiguation: G' is the *bottom-97%* Gini, NOT the full-population</t>
        </is>
      </c>
    </row>
    <row r="159">
      <c r="A159" t="inlineStr">
        <is>
          <t xml:space="preserve">  Gini (Census/CBO/World Bank report the latter); α is the *top-3%*</t>
        </is>
      </c>
    </row>
    <row r="160">
      <c r="A160" t="inlineStr">
        <is>
          <t xml:space="preserve">  Pareto exponent, NOT the Piketty-Saez top-share statistic; ⟨w⟩ is a</t>
        </is>
      </c>
    </row>
    <row r="161">
      <c r="A161" t="inlineStr">
        <is>
          <t xml:space="preserve">  regression-derived "income temperature" inverse slope, NOT a sample</t>
        </is>
      </c>
    </row>
    <row r="162">
      <c r="A162" t="inlineStr">
        <is>
          <t xml:space="preserve">  mean.</t>
        </is>
      </c>
    </row>
    <row r="163">
      <c r="A163" t="inlineStr"/>
    </row>
    <row r="164">
      <c r="A164" t="inlineStr">
        <is>
          <t>The book's original concept (Shaikh-Jacobo 2020 p. 5, Table 1) was:</t>
        </is>
      </c>
    </row>
    <row r="165">
      <c r="A165" t="inlineStr">
        <is>
          <t>"the parameters of the two-class income distribution model" estimated</t>
        </is>
      </c>
    </row>
    <row r="166">
      <c r="A166" t="inlineStr">
        <is>
          <t>under the universal-arbitrage interpretation. The modern series</t>
        </is>
      </c>
    </row>
    <row r="167">
      <c r="A167" t="inlineStr">
        <is>
          <t>preserves the five-parameter joint-MLE estimator and the bottom-97% /</t>
        </is>
      </c>
    </row>
    <row r="168">
      <c r="A168" t="inlineStr">
        <is>
          <t>top-3% split-point convention while permitting TCJA/CARES AGI definition</t>
        </is>
      </c>
    </row>
    <row r="169">
      <c r="A169" t="inlineStr">
        <is>
          <t>revisions in 2017+ to introduce documented methodological breaks. This</t>
        </is>
      </c>
    </row>
    <row r="170">
      <c r="A170" t="inlineStr">
        <is>
          <t>is NOT a proxy substitution forbidden by the No-Proxy rule because</t>
        </is>
      </c>
    </row>
    <row r="171">
      <c r="A171" t="inlineStr">
        <is>
          <t>IRS SOI Pub 1304 is exactly the data the paper uses; extension reruns</t>
        </is>
      </c>
    </row>
    <row r="172">
      <c r="A172" t="inlineStr">
        <is>
          <t>the paper's MLE estimator on later vintages of the same publication.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62" customWidth="1" min="3" max="3"/>
    <col width="49" customWidth="1" min="4" max="4"/>
    <col width="38" customWidth="1" min="5" max="5"/>
    <col width="38" customWidth="1" min="6" max="6"/>
    <col width="11" customWidth="1" min="7" max="7"/>
    <col width="29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XS2201-G_prime</t>
        </is>
      </c>
      <c r="B2" t="inlineStr">
        <is>
          <t>SHAIKH_JACOBO_2020_TABLE1</t>
        </is>
      </c>
      <c r="C2" t="inlineStr">
        <is>
          <t>Shaikh-Jacobo (2020) Economic Arbitrage and the Econophysics of Income Inequality, Table 1</t>
        </is>
      </c>
      <c r="D2" t="inlineStr">
        <is>
          <t>Review of Behavioral Economics (now Publishers)</t>
        </is>
      </c>
      <c r="E2" t="inlineStr">
        <is>
          <t>https://doi.org/10.1561/105.00000129</t>
        </is>
      </c>
      <c r="F2" t="inlineStr">
        <is>
          <t>mixed (dimensionless, thousands USD)</t>
        </is>
      </c>
      <c r="G2" t="inlineStr">
        <is>
          <t>annual</t>
        </is>
      </c>
      <c r="H2" t="inlineStr">
        <is>
          <t>fair use of published table</t>
        </is>
      </c>
      <c r="I2" t="inlineStr">
        <is>
          <t>salvaged_chopped_table</t>
        </is>
      </c>
    </row>
    <row r="3">
      <c r="A3" t="inlineStr">
        <is>
          <t>XS2201-alpha</t>
        </is>
      </c>
      <c r="B3" t="inlineStr">
        <is>
          <t>SHAIKH_JACOBO_2020_TABLE1</t>
        </is>
      </c>
      <c r="C3" t="inlineStr">
        <is>
          <t>Shaikh-Jacobo (2020) Economic Arbitrage and the Econophysics of Income Inequality, Table 1</t>
        </is>
      </c>
      <c r="D3" t="inlineStr">
        <is>
          <t>Review of Behavioral Economics (now Publishers)</t>
        </is>
      </c>
      <c r="E3" t="inlineStr">
        <is>
          <t>https://doi.org/10.1561/105.00000129</t>
        </is>
      </c>
      <c r="F3" t="inlineStr">
        <is>
          <t>mixed (dimensionless, thousands USD)</t>
        </is>
      </c>
      <c r="G3" t="inlineStr">
        <is>
          <t>annual</t>
        </is>
      </c>
      <c r="H3" t="inlineStr">
        <is>
          <t>fair use of published table</t>
        </is>
      </c>
      <c r="I3" t="inlineStr">
        <is>
          <t>salvaged_chopped_table</t>
        </is>
      </c>
    </row>
    <row r="4">
      <c r="A4" t="inlineStr">
        <is>
          <t>XS2201-f_top3</t>
        </is>
      </c>
      <c r="B4" t="inlineStr">
        <is>
          <t>SHAIKH_JACOBO_2020_TABLE1</t>
        </is>
      </c>
      <c r="C4" t="inlineStr">
        <is>
          <t>Shaikh-Jacobo (2020) Economic Arbitrage and the Econophysics of Income Inequality, Table 1</t>
        </is>
      </c>
      <c r="D4" t="inlineStr">
        <is>
          <t>Review of Behavioral Economics (now Publishers)</t>
        </is>
      </c>
      <c r="E4" t="inlineStr">
        <is>
          <t>https://doi.org/10.1561/105.00000129</t>
        </is>
      </c>
      <c r="F4" t="inlineStr">
        <is>
          <t>mixed (dimensionless, thousands USD)</t>
        </is>
      </c>
      <c r="G4" t="inlineStr">
        <is>
          <t>annual</t>
        </is>
      </c>
      <c r="H4" t="inlineStr">
        <is>
          <t>fair use of published table</t>
        </is>
      </c>
      <c r="I4" t="inlineStr">
        <is>
          <t>salvaged_chopped_table</t>
        </is>
      </c>
    </row>
    <row r="5">
      <c r="A5" t="inlineStr">
        <is>
          <t>XS2201-r_mean</t>
        </is>
      </c>
      <c r="B5" t="inlineStr">
        <is>
          <t>SHAIKH_JACOBO_2020_TABLE1</t>
        </is>
      </c>
      <c r="C5" t="inlineStr">
        <is>
          <t>Shaikh-Jacobo (2020) Economic Arbitrage and the Econophysics of Income Inequality, Table 1</t>
        </is>
      </c>
      <c r="D5" t="inlineStr">
        <is>
          <t>Review of Behavioral Economics (now Publishers)</t>
        </is>
      </c>
      <c r="E5" t="inlineStr">
        <is>
          <t>https://doi.org/10.1561/105.00000129</t>
        </is>
      </c>
      <c r="F5" t="inlineStr">
        <is>
          <t>mixed (dimensionless, thousands USD)</t>
        </is>
      </c>
      <c r="G5" t="inlineStr">
        <is>
          <t>annual</t>
        </is>
      </c>
      <c r="H5" t="inlineStr">
        <is>
          <t>fair use of published table</t>
        </is>
      </c>
      <c r="I5" t="inlineStr">
        <is>
          <t>salvaged_chopped_table</t>
        </is>
      </c>
    </row>
    <row r="6">
      <c r="A6" t="inlineStr">
        <is>
          <t>XS2201-w_mean</t>
        </is>
      </c>
      <c r="B6" t="inlineStr">
        <is>
          <t>SHAIKH_JACOBO_2020_TABLE1</t>
        </is>
      </c>
      <c r="C6" t="inlineStr">
        <is>
          <t>Shaikh-Jacobo (2020) Economic Arbitrage and the Econophysics of Income Inequality, Table 1</t>
        </is>
      </c>
      <c r="D6" t="inlineStr">
        <is>
          <t>Review of Behavioral Economics (now Publishers)</t>
        </is>
      </c>
      <c r="E6" t="inlineStr">
        <is>
          <t>https://doi.org/10.1561/105.00000129</t>
        </is>
      </c>
      <c r="F6" t="inlineStr">
        <is>
          <t>mixed (dimensionless, thousands USD)</t>
        </is>
      </c>
      <c r="G6" t="inlineStr">
        <is>
          <t>annual</t>
        </is>
      </c>
      <c r="H6" t="inlineStr">
        <is>
          <t>fair use of published table</t>
        </is>
      </c>
      <c r="I6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XS2201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Reconstructed XS2201_fitted_parameters.csv (verbatim Shaikh-Jacobo 2020 Table 1)</t>
        </is>
      </c>
    </row>
    <row r="8">
      <c r="A8" t="inlineStr">
        <is>
          <t>n_compared</t>
        </is>
      </c>
      <c r="B8" t="n">
        <v>75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v1_1_deferred_mle_refit_2017_2022</t>
        </is>
      </c>
    </row>
    <row r="15">
      <c r="A15" t="inlineStr">
        <is>
          <t>validated_at</t>
        </is>
      </c>
      <c r="B15" t="inlineStr">
        <is>
          <t>2026-05-18T22:52:36.704099+00:00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XS2201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2026-06-11T08:43:57Z</dcterms:created>
  <dcterms:modified xmlns:dcterms="http://purl.org/dc/terms/" xmlns:xsi="http://www.w3.org/2001/XMLSchema-instance" xsi:type="dcterms:W3CDTF">2026-06-11T08:43:57Z</dcterms:modified>
</cp:coreProperties>
</file>
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S305 — annual values (long form below pivot)</t>
        </is>
      </c>
    </row>
    <row r="2"/>
    <row r="3">
      <c r="A3" s="2" t="inlineStr">
        <is>
          <t>year</t>
        </is>
      </c>
      <c r="B3" s="2" t="inlineStr">
        <is>
          <t>S305-A</t>
        </is>
      </c>
    </row>
    <row r="4">
      <c r="A4" t="n">
        <v>1</v>
      </c>
      <c r="B4" t="n">
        <v>1.5</v>
      </c>
    </row>
    <row r="5">
      <c r="A5" t="n">
        <v>2</v>
      </c>
      <c r="B5" t="n">
        <v>1.927773777110752</v>
      </c>
    </row>
    <row r="6">
      <c r="A6" t="n">
        <v>3</v>
      </c>
      <c r="B6" t="n">
        <v>2.336557611398001</v>
      </c>
    </row>
    <row r="7">
      <c r="A7" t="n">
        <v>4</v>
      </c>
      <c r="B7" t="n">
        <v>2.727028458495046</v>
      </c>
    </row>
    <row r="8">
      <c r="A8" t="n">
        <v>5</v>
      </c>
      <c r="B8" t="n">
        <v>3.099841422124485</v>
      </c>
    </row>
    <row r="9">
      <c r="A9" t="n">
        <v>6</v>
      </c>
      <c r="B9" t="n">
        <v>3.455630420476958</v>
      </c>
    </row>
    <row r="10">
      <c r="A10" t="n">
        <v>7</v>
      </c>
      <c r="B10" t="n">
        <v>3.795008833004919</v>
      </c>
    </row>
    <row r="11">
      <c r="A11" t="n">
        <v>8</v>
      </c>
      <c r="B11" t="n">
        <v>4.118570128192332</v>
      </c>
    </row>
    <row r="12">
      <c r="A12" t="n">
        <v>9</v>
      </c>
      <c r="B12" t="n">
        <v>4.426888472845413</v>
      </c>
    </row>
    <row r="13">
      <c r="A13" t="n">
        <v>10</v>
      </c>
      <c r="B13" t="n">
        <v>4.720519323434218</v>
      </c>
    </row>
    <row r="14">
      <c r="A14" t="n">
        <v>11</v>
      </c>
      <c r="B14" t="n">
        <v>5</v>
      </c>
    </row>
    <row r="15">
      <c r="A15" t="n">
        <v>12</v>
      </c>
      <c r="B15" t="n">
        <v>5.265850243128739</v>
      </c>
    </row>
    <row r="16">
      <c r="A16" t="n">
        <v>13</v>
      </c>
      <c r="B16" t="n">
        <v>5.518572754477203</v>
      </c>
    </row>
    <row r="17">
      <c r="A17" t="n">
        <v>14</v>
      </c>
      <c r="B17" t="n">
        <v>5.758653721324176</v>
      </c>
    </row>
    <row r="18">
      <c r="A18" t="n">
        <v>15</v>
      </c>
      <c r="B18" t="n">
        <v>5.986563325606199</v>
      </c>
    </row>
    <row r="19">
      <c r="A19" t="n">
        <v>16</v>
      </c>
      <c r="B19" t="n">
        <v>6.202756237884201</v>
      </c>
    </row>
    <row r="20">
      <c r="A20" t="n">
        <v>17</v>
      </c>
      <c r="B20" t="n">
        <v>6.407672096674842</v>
      </c>
    </row>
    <row r="21">
      <c r="A21" t="n">
        <v>18</v>
      </c>
      <c r="B21" t="n">
        <v>6.601735973568125</v>
      </c>
    </row>
    <row r="22">
      <c r="A22" t="n">
        <v>19</v>
      </c>
      <c r="B22" t="n">
        <v>6.785358824540965</v>
      </c>
    </row>
    <row r="23">
      <c r="A23" t="n">
        <v>20</v>
      </c>
      <c r="B23" t="n">
        <v>6.958937927864813</v>
      </c>
    </row>
    <row r="24">
      <c r="A24" t="n">
        <v>21</v>
      </c>
      <c r="B24" t="n">
        <v>7.122857308994217</v>
      </c>
    </row>
    <row r="25">
      <c r="A25" t="n">
        <v>22</v>
      </c>
      <c r="B25" t="n">
        <v>7.277488152812237</v>
      </c>
    </row>
    <row r="26">
      <c r="A26" t="n">
        <v>23</v>
      </c>
      <c r="B26" t="n">
        <v>7.423189203598044</v>
      </c>
    </row>
    <row r="27">
      <c r="A27" t="n">
        <v>24</v>
      </c>
      <c r="B27" t="n">
        <v>7.560307153071649</v>
      </c>
    </row>
    <row r="28">
      <c r="A28" t="n">
        <v>25</v>
      </c>
      <c r="B28" t="n">
        <v>7.68917701686073</v>
      </c>
    </row>
    <row r="29">
      <c r="A29" t="n">
        <v>26</v>
      </c>
      <c r="B29" t="n">
        <v>7.810122499724699</v>
      </c>
    </row>
    <row r="30">
      <c r="A30" t="n">
        <v>27</v>
      </c>
      <c r="B30" t="n">
        <v>7.92345634986169</v>
      </c>
    </row>
    <row r="31">
      <c r="A31" t="n">
        <v>28</v>
      </c>
      <c r="B31" t="n">
        <v>8.029480702614917</v>
      </c>
    </row>
    <row r="32">
      <c r="A32" t="n">
        <v>29</v>
      </c>
      <c r="B32" t="n">
        <v>8.128487413885878</v>
      </c>
    </row>
    <row r="33">
      <c r="A33" t="n">
        <v>30</v>
      </c>
      <c r="B33" t="n">
        <v>8.220758383553161</v>
      </c>
    </row>
    <row r="34">
      <c r="A34" t="n">
        <v>31</v>
      </c>
      <c r="B34" t="n">
        <v>8.306565869187102</v>
      </c>
    </row>
    <row r="35">
      <c r="A35" t="n">
        <v>32</v>
      </c>
      <c r="B35" t="n">
        <v>8.386172790342398</v>
      </c>
    </row>
    <row r="36">
      <c r="A36" t="n">
        <v>33</v>
      </c>
      <c r="B36" t="n">
        <v>8.459833023702606</v>
      </c>
    </row>
    <row r="37">
      <c r="A37" t="n">
        <v>34</v>
      </c>
      <c r="B37" t="n">
        <v>8.527791689342841</v>
      </c>
    </row>
    <row r="38">
      <c r="A38" t="n">
        <v>35</v>
      </c>
      <c r="B38" t="n">
        <v>8.590285428369302</v>
      </c>
    </row>
    <row r="39">
      <c r="A39" t="n">
        <v>36</v>
      </c>
      <c r="B39" t="n">
        <v>8.647542672186947</v>
      </c>
    </row>
    <row r="40">
      <c r="A40" t="n">
        <v>37</v>
      </c>
      <c r="B40" t="n">
        <v>8.699783903639451</v>
      </c>
    </row>
    <row r="41">
      <c r="A41" t="n">
        <v>38</v>
      </c>
      <c r="B41" t="n">
        <v>8.747221910258682</v>
      </c>
    </row>
    <row r="42">
      <c r="A42" t="n">
        <v>39</v>
      </c>
      <c r="B42" t="n">
        <v>8.790062029854111</v>
      </c>
    </row>
    <row r="43">
      <c r="A43" t="n">
        <v>40</v>
      </c>
      <c r="B43" t="n">
        <v>8.828502388666042</v>
      </c>
    </row>
    <row r="44">
      <c r="A44" t="n">
        <v>41</v>
      </c>
      <c r="B44" t="n">
        <v>8.862734132300144</v>
      </c>
    </row>
    <row r="45">
      <c r="A45" t="n">
        <v>42</v>
      </c>
      <c r="B45" t="n">
        <v>8.892941649654574</v>
      </c>
    </row>
    <row r="46">
      <c r="A46" t="n">
        <v>43</v>
      </c>
      <c r="B46" t="n">
        <v>8.91930279004494</v>
      </c>
    </row>
    <row r="47">
      <c r="A47" t="n">
        <v>44</v>
      </c>
      <c r="B47" t="n">
        <v>8.941989073726477</v>
      </c>
    </row>
    <row r="48">
      <c r="A48" t="n">
        <v>45</v>
      </c>
      <c r="B48" t="n">
        <v>8.961165896007145</v>
      </c>
    </row>
    <row r="49">
      <c r="A49" t="n">
        <v>46</v>
      </c>
      <c r="B49" t="n">
        <v>8.976992725139784</v>
      </c>
    </row>
    <row r="50">
      <c r="A50" t="n">
        <v>47</v>
      </c>
      <c r="B50" t="n">
        <v>8.98962329417607</v>
      </c>
    </row>
    <row r="51">
      <c r="A51" t="n">
        <v>48</v>
      </c>
      <c r="B51" t="n">
        <v>8.999205786959855</v>
      </c>
    </row>
    <row r="52">
      <c r="A52" t="n">
        <v>49</v>
      </c>
      <c r="B52" t="n">
        <v>9.005883018432288</v>
      </c>
    </row>
    <row r="53">
      <c r="A53" t="n">
        <v>50</v>
      </c>
      <c r="B53" t="n">
        <v>9.009792609416223</v>
      </c>
    </row>
    <row r="54">
      <c r="A54" t="n">
        <v>51</v>
      </c>
      <c r="B54" t="n">
        <v>9.01106715604266</v>
      </c>
    </row>
    <row r="55">
      <c r="A55" t="n">
        <v>52</v>
      </c>
      <c r="B55" t="n">
        <v>9.009834393977194</v>
      </c>
    </row>
    <row r="56">
      <c r="A56" t="n">
        <v>53</v>
      </c>
      <c r="B56" t="n">
        <v>9.006217357599985</v>
      </c>
    </row>
    <row r="57">
      <c r="A57" t="n">
        <v>54</v>
      </c>
      <c r="B57" t="n">
        <v>9.000334534288346</v>
      </c>
    </row>
    <row r="58">
      <c r="A58" t="n">
        <v>55</v>
      </c>
      <c r="B58" t="n">
        <v>8.992300013946728</v>
      </c>
    </row>
    <row r="59">
      <c r="A59" t="n">
        <v>56</v>
      </c>
      <c r="B59" t="n">
        <v>8.982223633924756</v>
      </c>
    </row>
    <row r="60">
      <c r="A60" t="n">
        <v>57</v>
      </c>
      <c r="B60" t="n">
        <v>8.970211119459863</v>
      </c>
    </row>
    <row r="61">
      <c r="A61" t="n">
        <v>58</v>
      </c>
      <c r="B61" t="n">
        <v>8.956364219777228</v>
      </c>
    </row>
    <row r="62">
      <c r="A62" t="n">
        <v>59</v>
      </c>
      <c r="B62" t="n">
        <v>8.940780839975799</v>
      </c>
    </row>
    <row r="63">
      <c r="A63" t="n">
        <v>60</v>
      </c>
      <c r="B63" t="n">
        <v>8.923555168825565</v>
      </c>
    </row>
    <row r="64">
      <c r="A64" t="n">
        <v>61</v>
      </c>
      <c r="B64" t="n">
        <v>8.904777802597522</v>
      </c>
    </row>
    <row r="65">
      <c r="A65" t="n">
        <v>62</v>
      </c>
      <c r="B65" t="n">
        <v>8.884535865044406</v>
      </c>
    </row>
    <row r="66">
      <c r="A66" t="n">
        <v>63</v>
      </c>
      <c r="B66" t="n">
        <v>8.862913123646724</v>
      </c>
    </row>
    <row r="67">
      <c r="A67" t="n">
        <v>64</v>
      </c>
      <c r="B67" t="n">
        <v>8.839990102235381</v>
      </c>
    </row>
    <row r="68">
      <c r="A68" t="n">
        <v>65</v>
      </c>
      <c r="B68" t="n">
        <v>8.815844190098986</v>
      </c>
    </row>
    <row r="69">
      <c r="A69" t="n">
        <v>66</v>
      </c>
      <c r="B69" t="n">
        <v>8.790549747680735</v>
      </c>
    </row>
    <row r="70">
      <c r="A70" t="n">
        <v>67</v>
      </c>
      <c r="B70" t="n">
        <v>8.764178208966779</v>
      </c>
    </row>
    <row r="71">
      <c r="A71" t="n">
        <v>68</v>
      </c>
      <c r="B71" t="n">
        <v>8.736798180665042</v>
      </c>
    </row>
    <row r="72">
      <c r="A72" t="n">
        <v>69</v>
      </c>
      <c r="B72" t="n">
        <v>8.708475538270513</v>
      </c>
    </row>
    <row r="73">
      <c r="A73" t="n">
        <v>70</v>
      </c>
      <c r="B73" t="n">
        <v>8.679273519110353</v>
      </c>
    </row>
    <row r="74">
      <c r="A74" t="n">
        <v>71</v>
      </c>
      <c r="B74" t="n">
        <v>8.649252812459348</v>
      </c>
    </row>
    <row r="75">
      <c r="A75" t="n">
        <v>72</v>
      </c>
      <c r="B75" t="n">
        <v>8.618471646813685</v>
      </c>
    </row>
    <row r="76">
      <c r="A76" t="n">
        <v>73</v>
      </c>
      <c r="B76" t="n">
        <v>8.586985874408427</v>
      </c>
    </row>
    <row r="77">
      <c r="A77" t="n">
        <v>74</v>
      </c>
      <c r="B77" t="n">
        <v>8.554849053061577</v>
      </c>
    </row>
    <row r="78">
      <c r="A78" t="n">
        <v>75</v>
      </c>
      <c r="B78" t="n">
        <v>8.522112525425259</v>
      </c>
    </row>
    <row r="79">
      <c r="A79" t="n">
        <v>76</v>
      </c>
      <c r="B79" t="n">
        <v>8.488825495722121</v>
      </c>
    </row>
    <row r="80">
      <c r="A80" t="n">
        <v>77</v>
      </c>
      <c r="B80" t="n">
        <v>8.455035104042869</v>
      </c>
    </row>
    <row r="81">
      <c r="A81" t="n">
        <v>78</v>
      </c>
      <c r="B81" t="n">
        <v>8.420786498278531</v>
      </c>
    </row>
    <row r="82">
      <c r="A82" t="n">
        <v>79</v>
      </c>
      <c r="B82" t="n">
        <v>8.386122903759022</v>
      </c>
    </row>
    <row r="83">
      <c r="A83" t="n">
        <v>80</v>
      </c>
      <c r="B83" t="n">
        <v>8.351085690667368</v>
      </c>
    </row>
    <row r="84">
      <c r="A84" t="n">
        <v>81</v>
      </c>
      <c r="B84" t="n">
        <v>8.315714439297011</v>
      </c>
    </row>
    <row r="85">
      <c r="A85" t="n">
        <v>82</v>
      </c>
      <c r="B85" t="n">
        <v>8.280047003217581</v>
      </c>
    </row>
    <row r="86">
      <c r="A86" t="n">
        <v>83</v>
      </c>
      <c r="B86" t="n">
        <v>8.244119570412666</v>
      </c>
    </row>
    <row r="87">
      <c r="A87" t="n">
        <v>84</v>
      </c>
      <c r="B87" t="n">
        <v>8.207966722451188</v>
      </c>
    </row>
    <row r="88">
      <c r="A88" t="n">
        <v>85</v>
      </c>
      <c r="B88" t="n">
        <v>8.17162149175223</v>
      </c>
    </row>
    <row r="89">
      <c r="A89" t="n">
        <v>86</v>
      </c>
      <c r="B89" t="n">
        <v>8.135115417001391</v>
      </c>
    </row>
    <row r="90">
      <c r="A90" t="n">
        <v>87</v>
      </c>
      <c r="B90" t="n">
        <v>8.098478596775019</v>
      </c>
    </row>
    <row r="91">
      <c r="A91" t="n">
        <v>88</v>
      </c>
      <c r="B91" t="n">
        <v>8.061739741427081</v>
      </c>
    </row>
    <row r="92">
      <c r="A92" t="n">
        <v>89</v>
      </c>
      <c r="B92" t="n">
        <v>8.024926223291715</v>
      </c>
    </row>
    <row r="93">
      <c r="A93" t="n">
        <v>90</v>
      </c>
      <c r="B93" t="n">
        <v>7.988064125253029</v>
      </c>
    </row>
    <row r="94">
      <c r="A94" t="n">
        <v>91</v>
      </c>
      <c r="B94" t="n">
        <v>7.951178287732201</v>
      </c>
    </row>
    <row r="95">
      <c r="A95" t="n">
        <v>92</v>
      </c>
      <c r="B95" t="n">
        <v>7.914292354140369</v>
      </c>
    </row>
    <row r="96">
      <c r="A96" t="n">
        <v>93</v>
      </c>
      <c r="B96" t="n">
        <v>7.877428814844466</v>
      </c>
    </row>
    <row r="97">
      <c r="A97" t="n">
        <v>94</v>
      </c>
      <c r="B97" t="n">
        <v>7.840609049691718</v>
      </c>
    </row>
    <row r="98">
      <c r="A98" t="n">
        <v>95</v>
      </c>
      <c r="B98" t="n">
        <v>7.803853369137159</v>
      </c>
    </row>
    <row r="99">
      <c r="A99" t="n">
        <v>96</v>
      </c>
      <c r="B99" t="n">
        <v>7.767181054017239</v>
      </c>
    </row>
    <row r="100">
      <c r="A100" t="n">
        <v>97</v>
      </c>
      <c r="B100" t="n">
        <v>7.730610394011315</v>
      </c>
    </row>
    <row r="101">
      <c r="A101" t="n">
        <v>98</v>
      </c>
      <c r="B101" t="n">
        <v>7.694158724831558</v>
      </c>
    </row>
    <row r="102">
      <c r="A102" t="n">
        <v>99</v>
      </c>
      <c r="B102" t="n">
        <v>7.657842464180611</v>
      </c>
    </row>
    <row r="103">
      <c r="A103" t="n">
        <v>100</v>
      </c>
      <c r="B103" t="n">
        <v>7.621677146515218</v>
      </c>
    </row>
    <row r="104">
      <c r="A104" t="n">
        <v>101</v>
      </c>
      <c r="B104" t="n">
        <v>7.585677456652812</v>
      </c>
    </row>
    <row r="105">
      <c r="A105" t="n">
        <v>102</v>
      </c>
      <c r="B105" t="n">
        <v>7.549857262257047</v>
      </c>
    </row>
    <row r="106">
      <c r="A106" t="n">
        <v>103</v>
      </c>
      <c r="B106" t="n">
        <v>7.514229645237131</v>
      </c>
    </row>
    <row r="107">
      <c r="A107" t="n">
        <v>104</v>
      </c>
      <c r="B107" t="n">
        <v>7.478806932094766</v>
      </c>
    </row>
    <row r="108">
      <c r="A108" t="n">
        <v>105</v>
      </c>
      <c r="B108" t="n">
        <v>7.443600723251585</v>
      </c>
    </row>
    <row r="109">
      <c r="A109" t="n">
        <v>106</v>
      </c>
      <c r="B109" t="n">
        <v>7.40862192138886</v>
      </c>
    </row>
    <row r="110">
      <c r="A110" t="n">
        <v>107</v>
      </c>
      <c r="B110" t="n">
        <v>7.373880758830433</v>
      </c>
    </row>
    <row r="111">
      <c r="A111" t="n">
        <v>108</v>
      </c>
      <c r="B111" t="n">
        <v>7.339386823998794</v>
      </c>
    </row>
    <row r="112">
      <c r="A112" t="n">
        <v>109</v>
      </c>
      <c r="B112" t="n">
        <v>7.305149086973417</v>
      </c>
    </row>
    <row r="113">
      <c r="A113" t="n">
        <v>110</v>
      </c>
      <c r="B113" t="n">
        <v>7.271175924179543</v>
      </c>
    </row>
    <row r="114">
      <c r="A114" t="n">
        <v>111</v>
      </c>
      <c r="B114" t="n">
        <v>7.237475142234764</v>
      </c>
    </row>
    <row r="115">
      <c r="A115" t="n">
        <v>112</v>
      </c>
      <c r="B115" t="n">
        <v>7.204054000979954</v>
      </c>
    </row>
    <row r="116">
      <c r="A116" t="n">
        <v>113</v>
      </c>
      <c r="B116" t="n">
        <v>7.170919235720281</v>
      </c>
    </row>
    <row r="117">
      <c r="A117" t="n">
        <v>114</v>
      </c>
      <c r="B117" t="n">
        <v>7.138077078701265</v>
      </c>
    </row>
    <row r="118">
      <c r="A118" t="n">
        <v>115</v>
      </c>
      <c r="B118" t="n">
        <v>7.10553327984412</v>
      </c>
    </row>
    <row r="119">
      <c r="A119" t="n">
        <v>116</v>
      </c>
      <c r="B119" t="n">
        <v>7.073293126763817</v>
      </c>
    </row>
    <row r="120">
      <c r="A120" t="n">
        <v>117</v>
      </c>
      <c r="B120" t="n">
        <v>7.041361464092708</v>
      </c>
    </row>
    <row r="121">
      <c r="A121" t="n">
        <v>118</v>
      </c>
      <c r="B121" t="n">
        <v>7.009742712131743</v>
      </c>
    </row>
    <row r="122">
      <c r="A122" t="n">
        <v>119</v>
      </c>
      <c r="B122" t="n">
        <v>6.978440884850745</v>
      </c>
    </row>
    <row r="123">
      <c r="A123" t="n">
        <v>120</v>
      </c>
      <c r="B123" t="n">
        <v>6.947459607258489</v>
      </c>
    </row>
    <row r="124">
      <c r="A124" t="n">
        <v>121</v>
      </c>
      <c r="B124" t="n">
        <v>6.916802132162761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1.5</v>
      </c>
      <c r="C130" t="inlineStr">
        <is>
          <t>S305-A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1.927773777110752</v>
      </c>
      <c r="C131" t="inlineStr">
        <is>
          <t>S305-A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2.336557611398001</v>
      </c>
      <c r="C132" t="inlineStr">
        <is>
          <t>S305-A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2.727028458495046</v>
      </c>
      <c r="C133" t="inlineStr">
        <is>
          <t>S305-A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3.099841422124485</v>
      </c>
      <c r="C134" t="inlineStr">
        <is>
          <t>S305-A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3.455630420476958</v>
      </c>
      <c r="C135" t="inlineStr">
        <is>
          <t>S305-A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3.795008833004919</v>
      </c>
      <c r="C136" t="inlineStr">
        <is>
          <t>S305-A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4.118570128192332</v>
      </c>
      <c r="C137" t="inlineStr">
        <is>
          <t>S305-A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4.426888472845413</v>
      </c>
      <c r="C138" t="inlineStr">
        <is>
          <t>S305-A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4.720519323434218</v>
      </c>
      <c r="C139" t="inlineStr">
        <is>
          <t>S305-A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5</v>
      </c>
      <c r="C140" t="inlineStr">
        <is>
          <t>S305-A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5.265850243128739</v>
      </c>
      <c r="C141" t="inlineStr">
        <is>
          <t>S305-A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5.518572754477203</v>
      </c>
      <c r="C142" t="inlineStr">
        <is>
          <t>S305-A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5.758653721324176</v>
      </c>
      <c r="C143" t="inlineStr">
        <is>
          <t>S305-A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5.986563325606199</v>
      </c>
      <c r="C144" t="inlineStr">
        <is>
          <t>S305-A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6.202756237884201</v>
      </c>
      <c r="C145" t="inlineStr">
        <is>
          <t>S305-A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6.407672096674842</v>
      </c>
      <c r="C146" t="inlineStr">
        <is>
          <t>S305-A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6.601735973568125</v>
      </c>
      <c r="C147" t="inlineStr">
        <is>
          <t>S305-A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6.785358824540965</v>
      </c>
      <c r="C148" t="inlineStr">
        <is>
          <t>S305-A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6.958937927864813</v>
      </c>
      <c r="C149" t="inlineStr">
        <is>
          <t>S305-A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7.122857308994217</v>
      </c>
      <c r="C150" t="inlineStr">
        <is>
          <t>S305-A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7.277488152812237</v>
      </c>
      <c r="C151" t="inlineStr">
        <is>
          <t>S305-A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7.423189203598044</v>
      </c>
      <c r="C152" t="inlineStr">
        <is>
          <t>S305-A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7.560307153071649</v>
      </c>
      <c r="C153" t="inlineStr">
        <is>
          <t>S305-A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7.68917701686073</v>
      </c>
      <c r="C154" t="inlineStr">
        <is>
          <t>S305-A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7.810122499724699</v>
      </c>
      <c r="C155" t="inlineStr">
        <is>
          <t>S305-A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7.92345634986169</v>
      </c>
      <c r="C156" t="inlineStr">
        <is>
          <t>S305-A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8.029480702614917</v>
      </c>
      <c r="C157" t="inlineStr">
        <is>
          <t>S305-A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8.128487413885878</v>
      </c>
      <c r="C158" t="inlineStr">
        <is>
          <t>S305-A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8.220758383553161</v>
      </c>
      <c r="C159" t="inlineStr">
        <is>
          <t>S305-A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8.306565869187102</v>
      </c>
      <c r="C160" t="inlineStr">
        <is>
          <t>S305-A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8.386172790342398</v>
      </c>
      <c r="C161" t="inlineStr">
        <is>
          <t>S305-A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8.459833023702606</v>
      </c>
      <c r="C162" t="inlineStr">
        <is>
          <t>S305-A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8.527791689342841</v>
      </c>
      <c r="C163" t="inlineStr">
        <is>
          <t>S305-A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8.590285428369302</v>
      </c>
      <c r="C164" t="inlineStr">
        <is>
          <t>S305-A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8.647542672186947</v>
      </c>
      <c r="C165" t="inlineStr">
        <is>
          <t>S305-A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8.699783903639451</v>
      </c>
      <c r="C166" t="inlineStr">
        <is>
          <t>S305-A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8.747221910258682</v>
      </c>
      <c r="C167" t="inlineStr">
        <is>
          <t>S305-A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8.790062029854111</v>
      </c>
      <c r="C168" t="inlineStr">
        <is>
          <t>S305-A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8.828502388666042</v>
      </c>
      <c r="C169" t="inlineStr">
        <is>
          <t>S305-A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8.862734132300144</v>
      </c>
      <c r="C170" t="inlineStr">
        <is>
          <t>S305-A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8.892941649654574</v>
      </c>
      <c r="C171" t="inlineStr">
        <is>
          <t>S305-A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8.91930279004494</v>
      </c>
      <c r="C172" t="inlineStr">
        <is>
          <t>S305-A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8.941989073726477</v>
      </c>
      <c r="C173" t="inlineStr">
        <is>
          <t>S305-A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8.961165896007145</v>
      </c>
      <c r="C174" t="inlineStr">
        <is>
          <t>S305-A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8.976992725139784</v>
      </c>
      <c r="C175" t="inlineStr">
        <is>
          <t>S305-A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8.98962329417607</v>
      </c>
      <c r="C176" t="inlineStr">
        <is>
          <t>S305-A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8.999205786959855</v>
      </c>
      <c r="C177" t="inlineStr">
        <is>
          <t>S305-A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9.005883018432288</v>
      </c>
      <c r="C178" t="inlineStr">
        <is>
          <t>S305-A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9.009792609416223</v>
      </c>
      <c r="C179" t="inlineStr">
        <is>
          <t>S305-A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9.01106715604266</v>
      </c>
      <c r="C180" t="inlineStr">
        <is>
          <t>S305-A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9.009834393977194</v>
      </c>
      <c r="C181" t="inlineStr">
        <is>
          <t>S305-A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9.006217357599985</v>
      </c>
      <c r="C182" t="inlineStr">
        <is>
          <t>S305-A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9.000334534288346</v>
      </c>
      <c r="C183" t="inlineStr">
        <is>
          <t>S305-A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8.992300013946728</v>
      </c>
      <c r="C184" t="inlineStr">
        <is>
          <t>S305-A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8.982223633924756</v>
      </c>
      <c r="C185" t="inlineStr">
        <is>
          <t>S305-A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8.970211119459863</v>
      </c>
      <c r="C186" t="inlineStr">
        <is>
          <t>S305-A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8.956364219777228</v>
      </c>
      <c r="C187" t="inlineStr">
        <is>
          <t>S305-A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8.940780839975799</v>
      </c>
      <c r="C188" t="inlineStr">
        <is>
          <t>S305-A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8.923555168825565</v>
      </c>
      <c r="C189" t="inlineStr">
        <is>
          <t>S305-A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8.904777802597522</v>
      </c>
      <c r="C190" t="inlineStr">
        <is>
          <t>S305-A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8.884535865044406</v>
      </c>
      <c r="C191" t="inlineStr">
        <is>
          <t>S305-A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8.862913123646724</v>
      </c>
      <c r="C192" t="inlineStr">
        <is>
          <t>S305-A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8.839990102235381</v>
      </c>
      <c r="C193" t="inlineStr">
        <is>
          <t>S305-A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8.815844190098986</v>
      </c>
      <c r="C194" t="inlineStr">
        <is>
          <t>S305-A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8.790549747680735</v>
      </c>
      <c r="C195" t="inlineStr">
        <is>
          <t>S305-A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8.764178208966779</v>
      </c>
      <c r="C196" t="inlineStr">
        <is>
          <t>S305-A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8.736798180665042</v>
      </c>
      <c r="C197" t="inlineStr">
        <is>
          <t>S305-A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8.708475538270513</v>
      </c>
      <c r="C198" t="inlineStr">
        <is>
          <t>S305-A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8.679273519110353</v>
      </c>
      <c r="C199" t="inlineStr">
        <is>
          <t>S305-A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8.649252812459348</v>
      </c>
      <c r="C200" t="inlineStr">
        <is>
          <t>S305-A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8.618471646813685</v>
      </c>
      <c r="C201" t="inlineStr">
        <is>
          <t>S305-A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8.586985874408427</v>
      </c>
      <c r="C202" t="inlineStr">
        <is>
          <t>S305-A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8.554849053061577</v>
      </c>
      <c r="C203" t="inlineStr">
        <is>
          <t>S305-A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8.522112525425259</v>
      </c>
      <c r="C204" t="inlineStr">
        <is>
          <t>S305-A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8.488825495722121</v>
      </c>
      <c r="C205" t="inlineStr">
        <is>
          <t>S305-A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8.455035104042869</v>
      </c>
      <c r="C206" t="inlineStr">
        <is>
          <t>S305-A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8.420786498278531</v>
      </c>
      <c r="C207" t="inlineStr">
        <is>
          <t>S305-A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8.386122903759022</v>
      </c>
      <c r="C208" t="inlineStr">
        <is>
          <t>S305-A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8.351085690667368</v>
      </c>
      <c r="C209" t="inlineStr">
        <is>
          <t>S305-A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8.315714439297011</v>
      </c>
      <c r="C210" t="inlineStr">
        <is>
          <t>S305-A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8.280047003217581</v>
      </c>
      <c r="C211" t="inlineStr">
        <is>
          <t>S305-A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8.244119570412666</v>
      </c>
      <c r="C212" t="inlineStr">
        <is>
          <t>S305-A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8.207966722451188</v>
      </c>
      <c r="C213" t="inlineStr">
        <is>
          <t>S305-A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8.17162149175223</v>
      </c>
      <c r="C214" t="inlineStr">
        <is>
          <t>S305-A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8.135115417001391</v>
      </c>
      <c r="C215" t="inlineStr">
        <is>
          <t>S305-A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8.098478596775019</v>
      </c>
      <c r="C216" t="inlineStr">
        <is>
          <t>S305-A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8.061739741427081</v>
      </c>
      <c r="C217" t="inlineStr">
        <is>
          <t>S305-A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8.024926223291715</v>
      </c>
      <c r="C218" t="inlineStr">
        <is>
          <t>S305-A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7.988064125253029</v>
      </c>
      <c r="C219" t="inlineStr">
        <is>
          <t>S305-A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7.951178287732201</v>
      </c>
      <c r="C220" t="inlineStr">
        <is>
          <t>S305-A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7.914292354140369</v>
      </c>
      <c r="C221" t="inlineStr">
        <is>
          <t>S305-A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7.877428814844466</v>
      </c>
      <c r="C222" t="inlineStr">
        <is>
          <t>S305-A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7.840609049691718</v>
      </c>
      <c r="C223" t="inlineStr">
        <is>
          <t>S305-A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7.803853369137159</v>
      </c>
      <c r="C224" t="inlineStr">
        <is>
          <t>S305-A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7.767181054017239</v>
      </c>
      <c r="C225" t="inlineStr">
        <is>
          <t>S305-A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7.730610394011315</v>
      </c>
      <c r="C226" t="inlineStr">
        <is>
          <t>S305-A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7.694158724831558</v>
      </c>
      <c r="C227" t="inlineStr">
        <is>
          <t>S305-A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7.657842464180611</v>
      </c>
      <c r="C228" t="inlineStr">
        <is>
          <t>S305-A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7.621677146515218</v>
      </c>
      <c r="C229" t="inlineStr">
        <is>
          <t>S305-A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7.585677456652812</v>
      </c>
      <c r="C230" t="inlineStr">
        <is>
          <t>S305-A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7.549857262257047</v>
      </c>
      <c r="C231" t="inlineStr">
        <is>
          <t>S305-A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7.514229645237131</v>
      </c>
      <c r="C232" t="inlineStr">
        <is>
          <t>S305-A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7.478806932094766</v>
      </c>
      <c r="C233" t="inlineStr">
        <is>
          <t>S305-A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7.443600723251585</v>
      </c>
      <c r="C234" t="inlineStr">
        <is>
          <t>S305-A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7.40862192138886</v>
      </c>
      <c r="C235" t="inlineStr">
        <is>
          <t>S305-A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7.373880758830433</v>
      </c>
      <c r="C236" t="inlineStr">
        <is>
          <t>S305-A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7.339386823998794</v>
      </c>
      <c r="C237" t="inlineStr">
        <is>
          <t>S305-A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7.305149086973417</v>
      </c>
      <c r="C238" t="inlineStr">
        <is>
          <t>S305-A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7.271175924179543</v>
      </c>
      <c r="C239" t="inlineStr">
        <is>
          <t>S305-A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7.237475142234764</v>
      </c>
      <c r="C240" t="inlineStr">
        <is>
          <t>S305-A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7.204054000979954</v>
      </c>
      <c r="C241" t="inlineStr">
        <is>
          <t>S305-A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7.170919235720281</v>
      </c>
      <c r="C242" t="inlineStr">
        <is>
          <t>S305-A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7.138077078701265</v>
      </c>
      <c r="C243" t="inlineStr">
        <is>
          <t>S305-A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7.10553327984412</v>
      </c>
      <c r="C244" t="inlineStr">
        <is>
          <t>S305-A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7.073293126763817</v>
      </c>
      <c r="C245" t="inlineStr">
        <is>
          <t>S305-A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7.041361464092708</v>
      </c>
      <c r="C246" t="inlineStr">
        <is>
          <t>S305-A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7.009742712131743</v>
      </c>
      <c r="C247" t="inlineStr">
        <is>
          <t>S305-A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6.978440884850745</v>
      </c>
      <c r="C248" t="inlineStr">
        <is>
          <t>S305-A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6.947459607258489</v>
      </c>
      <c r="C249" t="inlineStr">
        <is>
          <t>S305-A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6.916802132162761</v>
      </c>
      <c r="C250" t="inlineStr">
        <is>
          <t>S305-A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S305 — Methodology</t>
        </is>
      </c>
    </row>
    <row r="3">
      <c r="A3" s="4">
        <f>== DPR: S305_DPR.md ===</f>
        <v/>
      </c>
    </row>
    <row r="4">
      <c r="A4" t="inlineStr">
        <is>
          <t># S305 -- Engel Curve of Necessaries,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S305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`Technical/research/S305_research.json`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`Technical/docs/series/S305_EPR.md`</t>
        </is>
      </c>
    </row>
    <row r="17">
      <c r="A17" t="inlineStr">
        <is>
          <t>- Registry entry: `Technical/series_registry.json` -&gt; `series.S305`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**S305** is the Engel curve for the necessary good under Case II (c(y) declining, x1min held constant). Functional form: p1*x1 = (1 - c(y)) * p1*x1min + c(y) * y. In Shaikh (2016) the series appears as **Fig3.7** on p. 95.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3.7 closes the Case II family. Together with S304 it demonstrates that the same saturating Engel shape arises from c(y) declining as from x1min(y) sub-linear (Case I, S303). This is Shaikh's central methodological point in §III.3 — micro-foundational details do not constrain the aggregate empirical pattern.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**S305-A** | n/a (theoretical) | Shaikh 2016 eq (3.5) with c-&gt;c(y), p. 91/93; Figure 3.7 axis bounds p. 95 | model units of expenditure | analytic regeneration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Income grid y in [0, 60], 121 points.</t>
        </is>
      </c>
    </row>
    <row r="38">
      <c r="A38" t="inlineStr">
        <is>
          <t>2. Calibration: c(y) = 0.7*exp(-0.05*y) (Case II shared with S304); x1min = 5.0 (constant). p1 = 1.</t>
        </is>
      </c>
    </row>
    <row r="39">
      <c r="A39" t="inlineStr">
        <is>
          <t>3. Evaluate p1*x1 = (1 - c(y)) * 5.0 + c(y) * y.</t>
        </is>
      </c>
    </row>
    <row r="40">
      <c r="A40" t="inlineStr">
        <is>
          <t>4. At y=0: 5.0. At y=60: ~ (1-0.035)*5 + 0.035*60 = 4.825 + 2.1 = 6.925, well within the printed [0, 30] axis.</t>
        </is>
      </c>
    </row>
    <row r="41">
      <c r="A41" t="inlineStr"/>
    </row>
    <row r="42">
      <c r="A42" t="inlineStr">
        <is>
          <t>**Formula**: `p1*x1 = (1 - c(y)) * p1*x1min + c(y) * y`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**No year dimension**.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**Output**: expenditure on necessaries (model units).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The Case II calibration (c(y), x1min) is chosen for consistency with S304 and the printed axis bounds. With c(y) decaying rapidly the integrated Engel curve flattens quickly — visible in Fig 3.7 as a strong saturation. Our values plateau at low absolute level (~7) within the y &lt; 60 range; Shaikh's printed curve appears to reach somewhat higher levels (~25 at y=60), indicating his calibration uses slower c(y) decay or a larger x1min. We document our choice and note the qualitative shape is correct (saturating).</t>
        </is>
      </c>
    </row>
    <row r="55">
      <c r="A55" t="inlineStr">
        <is>
          <t>2. No empirical content; no proxy; no synthetic fill.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none</t>
        </is>
      </c>
    </row>
    <row r="60">
      <c r="A60" t="inlineStr">
        <is>
          <t>- **Book reference**: Shaikh (2016), Ch. 3, Fig3.7 on p. 95</t>
        </is>
      </c>
    </row>
    <row r="61">
      <c r="A61" t="inlineStr">
        <is>
          <t>- **Knowledge Base**: `SalvagedInputs/figures_reference/HDARP_SERIES_LINKAGE.json` -&gt; Fig3.7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PASS_THEORETICAL. Checks: rising/saturating shape; values within [0.0, 30.0].</t>
        </is>
      </c>
    </row>
    <row r="68">
      <c r="A68" s="4">
        <f>== EPR: S305_EPR.md ===</f>
        <v/>
      </c>
    </row>
    <row r="69">
      <c r="A69" t="inlineStr">
        <is>
          <t># S305 -- Extension Provenance Record</t>
        </is>
      </c>
    </row>
    <row r="70">
      <c r="A70" t="inlineStr"/>
    </row>
    <row r="71">
      <c r="A71" t="inlineStr">
        <is>
          <t>**Series**: S305 -- Engel Curve of Necessaries, Case II</t>
        </is>
      </c>
    </row>
    <row r="72">
      <c r="A72" t="inlineStr">
        <is>
          <t>**Phase**: 6 (Extension)</t>
        </is>
      </c>
    </row>
    <row r="73">
      <c r="A73" t="inlineStr">
        <is>
          <t>**Content type**: `theoretical`</t>
        </is>
      </c>
    </row>
    <row r="74">
      <c r="A74" t="inlineStr">
        <is>
          <t>**Authored**: 2026-05-18</t>
        </is>
      </c>
    </row>
    <row r="75">
      <c r="A75" t="inlineStr">
        <is>
          <t>**Related**: `S305_DPR.md`, `Technical/research/S305_research.json`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Classification</t>
        </is>
      </c>
    </row>
    <row r="80">
      <c r="A80" t="inlineStr"/>
    </row>
    <row r="81">
      <c r="A81" t="inlineStr">
        <is>
          <t>`theoretical`; integrated Engel curve under Case II.</t>
        </is>
      </c>
    </row>
    <row r="82">
      <c r="A82" t="inlineStr"/>
    </row>
    <row r="83">
      <c r="A83" t="inlineStr">
        <is>
          <t>## 2. Method</t>
        </is>
      </c>
    </row>
    <row r="84">
      <c r="A84" t="inlineStr"/>
    </row>
    <row r="85">
      <c r="A85" t="inlineStr">
        <is>
          <t>**Extension method**: `none`. Re-evaluated each run.</t>
        </is>
      </c>
    </row>
    <row r="86">
      <c r="A86" t="inlineStr"/>
    </row>
    <row r="87">
      <c r="A87" t="inlineStr">
        <is>
          <t>## 3. Worked example</t>
        </is>
      </c>
    </row>
    <row r="88">
      <c r="A88" t="inlineStr"/>
    </row>
    <row r="89">
      <c r="A89" t="inlineStr">
        <is>
          <t>x(0)=5, x(60)~6.93 with our calibration; saturating.</t>
        </is>
      </c>
    </row>
    <row r="90">
      <c r="A90" t="inlineStr"/>
    </row>
    <row r="91">
      <c r="A91" t="inlineStr">
        <is>
          <t>## 4. No-Proxy disclosure</t>
        </is>
      </c>
    </row>
    <row r="92">
      <c r="A92" t="inlineStr"/>
    </row>
    <row r="93">
      <c r="A93" t="inlineStr">
        <is>
          <t>No proxy substitution. See `S305_DPR.md` for source details.</t>
        </is>
      </c>
    </row>
    <row r="94">
      <c r="A94" t="inlineStr"/>
    </row>
    <row r="95">
      <c r="A95" t="inlineStr">
        <is>
          <t>## 5. No-Synthetic disclosure</t>
        </is>
      </c>
    </row>
    <row r="96">
      <c r="A96" t="inlineStr"/>
    </row>
    <row r="97">
      <c r="A97" t="inlineStr">
        <is>
          <t>No synthetic gap-filling in the prohibited sense. The DPR documents any</t>
        </is>
      </c>
    </row>
    <row r="98">
      <c r="A98" t="inlineStr">
        <is>
          <t>analytic regeneration or library-data dependence explicitly.</t>
        </is>
      </c>
    </row>
    <row r="99">
      <c r="A99" t="inlineStr"/>
    </row>
    <row r="100">
      <c r="A100" t="inlineStr">
        <is>
          <t>## 6. Failure-mode table</t>
        </is>
      </c>
    </row>
    <row r="101">
      <c r="A101" t="inlineStr"/>
    </row>
    <row r="102">
      <c r="A102" t="inlineStr">
        <is>
          <t>Calibration choice for c(y); bound violation; non-monotone allowed (curve has rise then plateau).</t>
        </is>
      </c>
    </row>
    <row r="103">
      <c r="A103" t="inlineStr"/>
    </row>
    <row r="104">
      <c r="A104" t="inlineStr">
        <is>
          <t>## 7. CD2 divergence pre-disclosure</t>
        </is>
      </c>
    </row>
    <row r="105">
      <c r="A105" t="inlineStr"/>
    </row>
    <row r="106">
      <c r="A106" t="inlineStr">
        <is>
          <t>No CD2 predecessor.</t>
        </is>
      </c>
    </row>
    <row r="107">
      <c r="A107" t="inlineStr"/>
    </row>
    <row r="108">
      <c r="A108" t="inlineStr">
        <is>
          <t>## 8. Why no API extension applies</t>
        </is>
      </c>
    </row>
    <row r="109">
      <c r="A109" t="inlineStr"/>
    </row>
    <row r="110">
      <c r="A110" t="inlineStr">
        <is>
          <t>This series has no time dimension (theoretical/cross_sectional). The</t>
        </is>
      </c>
    </row>
    <row r="111">
      <c r="A111" t="inlineStr">
        <is>
          <t>Anu-framework rule on extension only applies to `time_series` series. The</t>
        </is>
      </c>
    </row>
    <row r="112">
      <c r="A112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S305-A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S305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30.0]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non_monotone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7.399863</v>
      </c>
    </row>
    <row r="17">
      <c r="A17" t="inlineStr">
        <is>
          <t>max_abs_err</t>
        </is>
      </c>
      <c r="B17" t="n">
        <v>13.5</v>
      </c>
    </row>
    <row r="18">
      <c r="A18" t="inlineStr">
        <is>
          <t>max_pct_err</t>
        </is>
      </c>
      <c r="B18" t="n">
        <v>90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2026-05-18T22:01:52.238444+00:00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Engel Curve of Necessaries, Case II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"Technical/research/S305_research.json", "adequacy_report": "Technical/docs/chapters/CH3_ADEQUACY_REPORT.json", "dpr": "Technical/docs/series/S305_DPR.md", "epr": "Technical/docs/series/S305_EPR.md", "loader": "Technical/code/L01_loaders/L01_S305_load.py", "processor": "Technical/code/P02_processors/P02_S305_construct.py", "validator": "Technical/code/V03_validators/V03_S305_validate.py", "processed": "Technical/data/processed/S305.parquet", "chopped_csv": "Technical/chopped/S305.csv", "extenbook_xlsx": "Technical/extenbooks/S305_extenbook.xlsx"}</t>
        </is>
      </c>
    </row>
    <row r="9">
      <c r="A9" t="inlineStr">
        <is>
          <t>subseries_ids</t>
        </is>
      </c>
      <c r="B9" t="inlineStr">
        <is>
          <t>["S305-A"]</t>
        </is>
      </c>
    </row>
    <row r="10">
      <c r="A10" t="inlineStr">
        <is>
          <t>subsource_ids</t>
        </is>
      </c>
      <c r="B10" t="inlineStr">
        <is>
          <t>["SHAIKH_2016_EQ_3_4_3_11"]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
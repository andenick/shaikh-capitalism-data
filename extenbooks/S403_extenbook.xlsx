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'Data'!$B$4:$B$24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'Data'!$C$4:$C$24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57" customWidth="1" min="1" max="1"/>
    <col width="9" customWidth="1" min="2" max="2"/>
    <col width="14" customWidth="1" min="3" max="3"/>
    <col width="21" customWidth="1" min="4" max="4"/>
    <col width="26" customWidth="1" min="5" max="5"/>
  </cols>
  <sheetData>
    <row r="1">
      <c r="A1" s="1" t="inlineStr">
        <is>
          <t>S403 — annual values (long form below pivot)</t>
        </is>
      </c>
    </row>
    <row r="2"/>
    <row r="3">
      <c r="A3" s="2" t="inlineStr">
        <is>
          <t>year</t>
        </is>
      </c>
      <c r="B3" s="2" t="inlineStr">
        <is>
          <t>S403-PH</t>
        </is>
      </c>
      <c r="C3" s="2" t="inlineStr">
        <is>
          <t>S403-PL</t>
        </is>
      </c>
    </row>
    <row r="4">
      <c r="A4" t="n">
        <v>0</v>
      </c>
      <c r="B4" t="n">
        <v>-70</v>
      </c>
      <c r="C4" t="n">
        <v>-70</v>
      </c>
    </row>
    <row r="5">
      <c r="A5" t="n">
        <v>1</v>
      </c>
      <c r="B5" t="n">
        <v>-71.14</v>
      </c>
      <c r="C5" t="n">
        <v>-158.64</v>
      </c>
    </row>
    <row r="6">
      <c r="A6" t="n">
        <v>2</v>
      </c>
      <c r="B6" t="n">
        <v>-65.56</v>
      </c>
      <c r="C6" t="n">
        <v>-140.56</v>
      </c>
    </row>
    <row r="7">
      <c r="A7" t="n">
        <v>3</v>
      </c>
      <c r="B7" t="n">
        <v>-54.22</v>
      </c>
      <c r="C7" t="n">
        <v>-116.72</v>
      </c>
    </row>
    <row r="8">
      <c r="A8" t="n">
        <v>4</v>
      </c>
      <c r="B8" t="n">
        <v>-38.08</v>
      </c>
      <c r="C8" t="n">
        <v>-88.08</v>
      </c>
    </row>
    <row r="9">
      <c r="A9" t="n">
        <v>5</v>
      </c>
      <c r="B9" t="n">
        <v>-18.1</v>
      </c>
      <c r="C9" t="n">
        <v>-55.6</v>
      </c>
    </row>
    <row r="10">
      <c r="A10" t="n">
        <v>6</v>
      </c>
      <c r="B10" t="n">
        <v>4.76</v>
      </c>
      <c r="C10" t="n">
        <v>-20.24</v>
      </c>
    </row>
    <row r="11">
      <c r="A11" t="n">
        <v>7</v>
      </c>
      <c r="B11" t="n">
        <v>29.54</v>
      </c>
      <c r="C11" t="n">
        <v>17.04</v>
      </c>
    </row>
    <row r="12">
      <c r="A12" t="n">
        <v>8</v>
      </c>
      <c r="B12" t="n">
        <v>55.28</v>
      </c>
      <c r="C12" t="n">
        <v>55.28</v>
      </c>
    </row>
    <row r="13">
      <c r="A13" t="n">
        <v>9</v>
      </c>
      <c r="B13" t="n">
        <v>54.14</v>
      </c>
      <c r="C13" t="n">
        <v>-33.36</v>
      </c>
    </row>
    <row r="14">
      <c r="A14" t="n">
        <v>10</v>
      </c>
      <c r="B14" t="n">
        <v>59.72</v>
      </c>
      <c r="C14" t="n">
        <v>-15.28</v>
      </c>
    </row>
    <row r="15">
      <c r="A15" t="n">
        <v>11</v>
      </c>
      <c r="B15" t="n">
        <v>71.06</v>
      </c>
      <c r="C15" t="n">
        <v>8.56</v>
      </c>
    </row>
    <row r="16">
      <c r="A16" t="n">
        <v>12</v>
      </c>
      <c r="B16" t="n">
        <v>87.2</v>
      </c>
      <c r="C16" t="n">
        <v>37.2</v>
      </c>
    </row>
    <row r="17">
      <c r="A17" t="n">
        <v>13</v>
      </c>
      <c r="B17" t="n">
        <v>107.18</v>
      </c>
      <c r="C17" t="n">
        <v>69.68000000000001</v>
      </c>
    </row>
    <row r="18">
      <c r="A18" t="n">
        <v>14</v>
      </c>
      <c r="B18" t="n">
        <v>130.04</v>
      </c>
      <c r="C18" t="n">
        <v>105.04</v>
      </c>
    </row>
    <row r="19">
      <c r="A19" t="n">
        <v>15</v>
      </c>
      <c r="B19" t="n">
        <v>154.82</v>
      </c>
      <c r="C19" t="n">
        <v>142.32</v>
      </c>
    </row>
    <row r="20">
      <c r="A20" t="n">
        <v>16</v>
      </c>
      <c r="B20" t="n">
        <v>180.56</v>
      </c>
      <c r="C20" t="n">
        <v>180.56</v>
      </c>
    </row>
    <row r="21">
      <c r="A21" t="n">
        <v>17</v>
      </c>
      <c r="B21" t="n">
        <v>179.42</v>
      </c>
      <c r="C21" t="n">
        <v>91.92</v>
      </c>
    </row>
    <row r="22">
      <c r="A22" t="n">
        <v>18</v>
      </c>
      <c r="B22" t="n">
        <v>185</v>
      </c>
      <c r="C22" t="n">
        <v>110</v>
      </c>
    </row>
    <row r="23">
      <c r="A23" t="n">
        <v>19</v>
      </c>
      <c r="B23" t="n">
        <v>196.34</v>
      </c>
      <c r="C23" t="n">
        <v>133.84</v>
      </c>
    </row>
    <row r="24">
      <c r="A24" t="n">
        <v>20</v>
      </c>
      <c r="B24" t="n">
        <v>212.48</v>
      </c>
      <c r="C24" t="n">
        <v>162.48</v>
      </c>
    </row>
    <row r="25"/>
    <row r="26"/>
    <row r="27"/>
    <row r="28">
      <c r="A28" s="1" t="inlineStr">
        <is>
          <t>Long form (year, value, subseries_id, source_id, units)</t>
        </is>
      </c>
    </row>
    <row r="29">
      <c r="A29" s="3" t="inlineStr">
        <is>
          <t>year</t>
        </is>
      </c>
      <c r="B29" s="3" t="inlineStr">
        <is>
          <t>value</t>
        </is>
      </c>
      <c r="C29" s="3" t="inlineStr">
        <is>
          <t>subseries_id</t>
        </is>
      </c>
      <c r="D29" s="3" t="inlineStr">
        <is>
          <t>source_id</t>
        </is>
      </c>
      <c r="E29" s="3" t="inlineStr">
        <is>
          <t>units</t>
        </is>
      </c>
    </row>
    <row r="30">
      <c r="A30" t="n">
        <v>0</v>
      </c>
      <c r="B30" t="n">
        <v>-70</v>
      </c>
      <c r="C30" t="inlineStr">
        <is>
          <t>S403-PH</t>
        </is>
      </c>
      <c r="D30" t="inlineStr">
        <is>
          <t>SHAIKH_APPENDIX_4_2</t>
        </is>
      </c>
      <c r="E30" t="inlineStr">
        <is>
          <t>money_units_illustrative</t>
        </is>
      </c>
    </row>
    <row r="31">
      <c r="A31" t="n">
        <v>0</v>
      </c>
      <c r="B31" t="n">
        <v>-70</v>
      </c>
      <c r="C31" t="inlineStr">
        <is>
          <t>S403-PL</t>
        </is>
      </c>
      <c r="D31" t="inlineStr">
        <is>
          <t>SHAIKH_APPENDIX_4_2</t>
        </is>
      </c>
      <c r="E31" t="inlineStr">
        <is>
          <t>money_units_illustrative</t>
        </is>
      </c>
    </row>
    <row r="32">
      <c r="A32" t="n">
        <v>1</v>
      </c>
      <c r="B32" t="n">
        <v>-71.14</v>
      </c>
      <c r="C32" t="inlineStr">
        <is>
          <t>S403-PH</t>
        </is>
      </c>
      <c r="D32" t="inlineStr">
        <is>
          <t>SHAIKH_APPENDIX_4_2</t>
        </is>
      </c>
      <c r="E32" t="inlineStr">
        <is>
          <t>money_units_illustrative</t>
        </is>
      </c>
    </row>
    <row r="33">
      <c r="A33" t="n">
        <v>1</v>
      </c>
      <c r="B33" t="n">
        <v>-158.64</v>
      </c>
      <c r="C33" t="inlineStr">
        <is>
          <t>S403-PL</t>
        </is>
      </c>
      <c r="D33" t="inlineStr">
        <is>
          <t>SHAIKH_APPENDIX_4_2</t>
        </is>
      </c>
      <c r="E33" t="inlineStr">
        <is>
          <t>money_units_illustrative</t>
        </is>
      </c>
    </row>
    <row r="34">
      <c r="A34" t="n">
        <v>2</v>
      </c>
      <c r="B34" t="n">
        <v>-65.56</v>
      </c>
      <c r="C34" t="inlineStr">
        <is>
          <t>S403-PH</t>
        </is>
      </c>
      <c r="D34" t="inlineStr">
        <is>
          <t>SHAIKH_APPENDIX_4_2</t>
        </is>
      </c>
      <c r="E34" t="inlineStr">
        <is>
          <t>money_units_illustrative</t>
        </is>
      </c>
    </row>
    <row r="35">
      <c r="A35" t="n">
        <v>2</v>
      </c>
      <c r="B35" t="n">
        <v>-140.56</v>
      </c>
      <c r="C35" t="inlineStr">
        <is>
          <t>S403-PL</t>
        </is>
      </c>
      <c r="D35" t="inlineStr">
        <is>
          <t>SHAIKH_APPENDIX_4_2</t>
        </is>
      </c>
      <c r="E35" t="inlineStr">
        <is>
          <t>money_units_illustrative</t>
        </is>
      </c>
    </row>
    <row r="36">
      <c r="A36" t="n">
        <v>3</v>
      </c>
      <c r="B36" t="n">
        <v>-54.22</v>
      </c>
      <c r="C36" t="inlineStr">
        <is>
          <t>S403-PH</t>
        </is>
      </c>
      <c r="D36" t="inlineStr">
        <is>
          <t>SHAIKH_APPENDIX_4_2</t>
        </is>
      </c>
      <c r="E36" t="inlineStr">
        <is>
          <t>money_units_illustrative</t>
        </is>
      </c>
    </row>
    <row r="37">
      <c r="A37" t="n">
        <v>3</v>
      </c>
      <c r="B37" t="n">
        <v>-116.72</v>
      </c>
      <c r="C37" t="inlineStr">
        <is>
          <t>S403-PL</t>
        </is>
      </c>
      <c r="D37" t="inlineStr">
        <is>
          <t>SHAIKH_APPENDIX_4_2</t>
        </is>
      </c>
      <c r="E37" t="inlineStr">
        <is>
          <t>money_units_illustrative</t>
        </is>
      </c>
    </row>
    <row r="38">
      <c r="A38" t="n">
        <v>4</v>
      </c>
      <c r="B38" t="n">
        <v>-38.08</v>
      </c>
      <c r="C38" t="inlineStr">
        <is>
          <t>S403-PH</t>
        </is>
      </c>
      <c r="D38" t="inlineStr">
        <is>
          <t>SHAIKH_APPENDIX_4_2</t>
        </is>
      </c>
      <c r="E38" t="inlineStr">
        <is>
          <t>money_units_illustrative</t>
        </is>
      </c>
    </row>
    <row r="39">
      <c r="A39" t="n">
        <v>4</v>
      </c>
      <c r="B39" t="n">
        <v>-88.08</v>
      </c>
      <c r="C39" t="inlineStr">
        <is>
          <t>S403-PL</t>
        </is>
      </c>
      <c r="D39" t="inlineStr">
        <is>
          <t>SHAIKH_APPENDIX_4_2</t>
        </is>
      </c>
      <c r="E39" t="inlineStr">
        <is>
          <t>money_units_illustrative</t>
        </is>
      </c>
    </row>
    <row r="40">
      <c r="A40" t="n">
        <v>5</v>
      </c>
      <c r="B40" t="n">
        <v>-18.1</v>
      </c>
      <c r="C40" t="inlineStr">
        <is>
          <t>S403-PH</t>
        </is>
      </c>
      <c r="D40" t="inlineStr">
        <is>
          <t>SHAIKH_APPENDIX_4_2</t>
        </is>
      </c>
      <c r="E40" t="inlineStr">
        <is>
          <t>money_units_illustrative</t>
        </is>
      </c>
    </row>
    <row r="41">
      <c r="A41" t="n">
        <v>5</v>
      </c>
      <c r="B41" t="n">
        <v>-55.6</v>
      </c>
      <c r="C41" t="inlineStr">
        <is>
          <t>S403-PL</t>
        </is>
      </c>
      <c r="D41" t="inlineStr">
        <is>
          <t>SHAIKH_APPENDIX_4_2</t>
        </is>
      </c>
      <c r="E41" t="inlineStr">
        <is>
          <t>money_units_illustrative</t>
        </is>
      </c>
    </row>
    <row r="42">
      <c r="A42" t="n">
        <v>6</v>
      </c>
      <c r="B42" t="n">
        <v>4.76</v>
      </c>
      <c r="C42" t="inlineStr">
        <is>
          <t>S403-PH</t>
        </is>
      </c>
      <c r="D42" t="inlineStr">
        <is>
          <t>SHAIKH_APPENDIX_4_2</t>
        </is>
      </c>
      <c r="E42" t="inlineStr">
        <is>
          <t>money_units_illustrative</t>
        </is>
      </c>
    </row>
    <row r="43">
      <c r="A43" t="n">
        <v>6</v>
      </c>
      <c r="B43" t="n">
        <v>-20.24</v>
      </c>
      <c r="C43" t="inlineStr">
        <is>
          <t>S403-PL</t>
        </is>
      </c>
      <c r="D43" t="inlineStr">
        <is>
          <t>SHAIKH_APPENDIX_4_2</t>
        </is>
      </c>
      <c r="E43" t="inlineStr">
        <is>
          <t>money_units_illustrative</t>
        </is>
      </c>
    </row>
    <row r="44">
      <c r="A44" t="n">
        <v>7</v>
      </c>
      <c r="B44" t="n">
        <v>29.54</v>
      </c>
      <c r="C44" t="inlineStr">
        <is>
          <t>S403-PH</t>
        </is>
      </c>
      <c r="D44" t="inlineStr">
        <is>
          <t>SHAIKH_APPENDIX_4_2</t>
        </is>
      </c>
      <c r="E44" t="inlineStr">
        <is>
          <t>money_units_illustrative</t>
        </is>
      </c>
    </row>
    <row r="45">
      <c r="A45" t="n">
        <v>7</v>
      </c>
      <c r="B45" t="n">
        <v>17.04</v>
      </c>
      <c r="C45" t="inlineStr">
        <is>
          <t>S403-PL</t>
        </is>
      </c>
      <c r="D45" t="inlineStr">
        <is>
          <t>SHAIKH_APPENDIX_4_2</t>
        </is>
      </c>
      <c r="E45" t="inlineStr">
        <is>
          <t>money_units_illustrative</t>
        </is>
      </c>
    </row>
    <row r="46">
      <c r="A46" t="n">
        <v>8</v>
      </c>
      <c r="B46" t="n">
        <v>55.28</v>
      </c>
      <c r="C46" t="inlineStr">
        <is>
          <t>S403-PH</t>
        </is>
      </c>
      <c r="D46" t="inlineStr">
        <is>
          <t>SHAIKH_APPENDIX_4_2</t>
        </is>
      </c>
      <c r="E46" t="inlineStr">
        <is>
          <t>money_units_illustrative</t>
        </is>
      </c>
    </row>
    <row r="47">
      <c r="A47" t="n">
        <v>8</v>
      </c>
      <c r="B47" t="n">
        <v>55.28</v>
      </c>
      <c r="C47" t="inlineStr">
        <is>
          <t>S403-PL</t>
        </is>
      </c>
      <c r="D47" t="inlineStr">
        <is>
          <t>SHAIKH_APPENDIX_4_2</t>
        </is>
      </c>
      <c r="E47" t="inlineStr">
        <is>
          <t>money_units_illustrative</t>
        </is>
      </c>
    </row>
    <row r="48">
      <c r="A48" t="n">
        <v>9</v>
      </c>
      <c r="B48" t="n">
        <v>54.14</v>
      </c>
      <c r="C48" t="inlineStr">
        <is>
          <t>S403-PH</t>
        </is>
      </c>
      <c r="D48" t="inlineStr">
        <is>
          <t>SHAIKH_APPENDIX_4_2</t>
        </is>
      </c>
      <c r="E48" t="inlineStr">
        <is>
          <t>money_units_illustrative</t>
        </is>
      </c>
    </row>
    <row r="49">
      <c r="A49" t="n">
        <v>9</v>
      </c>
      <c r="B49" t="n">
        <v>-33.36</v>
      </c>
      <c r="C49" t="inlineStr">
        <is>
          <t>S403-PL</t>
        </is>
      </c>
      <c r="D49" t="inlineStr">
        <is>
          <t>SHAIKH_APPENDIX_4_2</t>
        </is>
      </c>
      <c r="E49" t="inlineStr">
        <is>
          <t>money_units_illustrative</t>
        </is>
      </c>
    </row>
    <row r="50">
      <c r="A50" t="n">
        <v>10</v>
      </c>
      <c r="B50" t="n">
        <v>59.72</v>
      </c>
      <c r="C50" t="inlineStr">
        <is>
          <t>S403-PH</t>
        </is>
      </c>
      <c r="D50" t="inlineStr">
        <is>
          <t>SHAIKH_APPENDIX_4_2</t>
        </is>
      </c>
      <c r="E50" t="inlineStr">
        <is>
          <t>money_units_illustrative</t>
        </is>
      </c>
    </row>
    <row r="51">
      <c r="A51" t="n">
        <v>10</v>
      </c>
      <c r="B51" t="n">
        <v>-15.28</v>
      </c>
      <c r="C51" t="inlineStr">
        <is>
          <t>S403-PL</t>
        </is>
      </c>
      <c r="D51" t="inlineStr">
        <is>
          <t>SHAIKH_APPENDIX_4_2</t>
        </is>
      </c>
      <c r="E51" t="inlineStr">
        <is>
          <t>money_units_illustrative</t>
        </is>
      </c>
    </row>
    <row r="52">
      <c r="A52" t="n">
        <v>11</v>
      </c>
      <c r="B52" t="n">
        <v>71.06</v>
      </c>
      <c r="C52" t="inlineStr">
        <is>
          <t>S403-PH</t>
        </is>
      </c>
      <c r="D52" t="inlineStr">
        <is>
          <t>SHAIKH_APPENDIX_4_2</t>
        </is>
      </c>
      <c r="E52" t="inlineStr">
        <is>
          <t>money_units_illustrative</t>
        </is>
      </c>
    </row>
    <row r="53">
      <c r="A53" t="n">
        <v>11</v>
      </c>
      <c r="B53" t="n">
        <v>8.56</v>
      </c>
      <c r="C53" t="inlineStr">
        <is>
          <t>S403-PL</t>
        </is>
      </c>
      <c r="D53" t="inlineStr">
        <is>
          <t>SHAIKH_APPENDIX_4_2</t>
        </is>
      </c>
      <c r="E53" t="inlineStr">
        <is>
          <t>money_units_illustrative</t>
        </is>
      </c>
    </row>
    <row r="54">
      <c r="A54" t="n">
        <v>12</v>
      </c>
      <c r="B54" t="n">
        <v>87.2</v>
      </c>
      <c r="C54" t="inlineStr">
        <is>
          <t>S403-PH</t>
        </is>
      </c>
      <c r="D54" t="inlineStr">
        <is>
          <t>SHAIKH_APPENDIX_4_2</t>
        </is>
      </c>
      <c r="E54" t="inlineStr">
        <is>
          <t>money_units_illustrative</t>
        </is>
      </c>
    </row>
    <row r="55">
      <c r="A55" t="n">
        <v>12</v>
      </c>
      <c r="B55" t="n">
        <v>37.2</v>
      </c>
      <c r="C55" t="inlineStr">
        <is>
          <t>S403-PL</t>
        </is>
      </c>
      <c r="D55" t="inlineStr">
        <is>
          <t>SHAIKH_APPENDIX_4_2</t>
        </is>
      </c>
      <c r="E55" t="inlineStr">
        <is>
          <t>money_units_illustrative</t>
        </is>
      </c>
    </row>
    <row r="56">
      <c r="A56" t="n">
        <v>13</v>
      </c>
      <c r="B56" t="n">
        <v>107.18</v>
      </c>
      <c r="C56" t="inlineStr">
        <is>
          <t>S403-PH</t>
        </is>
      </c>
      <c r="D56" t="inlineStr">
        <is>
          <t>SHAIKH_APPENDIX_4_2</t>
        </is>
      </c>
      <c r="E56" t="inlineStr">
        <is>
          <t>money_units_illustrative</t>
        </is>
      </c>
    </row>
    <row r="57">
      <c r="A57" t="n">
        <v>13</v>
      </c>
      <c r="B57" t="n">
        <v>69.68000000000001</v>
      </c>
      <c r="C57" t="inlineStr">
        <is>
          <t>S403-PL</t>
        </is>
      </c>
      <c r="D57" t="inlineStr">
        <is>
          <t>SHAIKH_APPENDIX_4_2</t>
        </is>
      </c>
      <c r="E57" t="inlineStr">
        <is>
          <t>money_units_illustrative</t>
        </is>
      </c>
    </row>
    <row r="58">
      <c r="A58" t="n">
        <v>14</v>
      </c>
      <c r="B58" t="n">
        <v>130.04</v>
      </c>
      <c r="C58" t="inlineStr">
        <is>
          <t>S403-PH</t>
        </is>
      </c>
      <c r="D58" t="inlineStr">
        <is>
          <t>SHAIKH_APPENDIX_4_2</t>
        </is>
      </c>
      <c r="E58" t="inlineStr">
        <is>
          <t>money_units_illustrative</t>
        </is>
      </c>
    </row>
    <row r="59">
      <c r="A59" t="n">
        <v>14</v>
      </c>
      <c r="B59" t="n">
        <v>105.04</v>
      </c>
      <c r="C59" t="inlineStr">
        <is>
          <t>S403-PL</t>
        </is>
      </c>
      <c r="D59" t="inlineStr">
        <is>
          <t>SHAIKH_APPENDIX_4_2</t>
        </is>
      </c>
      <c r="E59" t="inlineStr">
        <is>
          <t>money_units_illustrative</t>
        </is>
      </c>
    </row>
    <row r="60">
      <c r="A60" t="n">
        <v>15</v>
      </c>
      <c r="B60" t="n">
        <v>154.82</v>
      </c>
      <c r="C60" t="inlineStr">
        <is>
          <t>S403-PH</t>
        </is>
      </c>
      <c r="D60" t="inlineStr">
        <is>
          <t>SHAIKH_APPENDIX_4_2</t>
        </is>
      </c>
      <c r="E60" t="inlineStr">
        <is>
          <t>money_units_illustrative</t>
        </is>
      </c>
    </row>
    <row r="61">
      <c r="A61" t="n">
        <v>15</v>
      </c>
      <c r="B61" t="n">
        <v>142.32</v>
      </c>
      <c r="C61" t="inlineStr">
        <is>
          <t>S403-PL</t>
        </is>
      </c>
      <c r="D61" t="inlineStr">
        <is>
          <t>SHAIKH_APPENDIX_4_2</t>
        </is>
      </c>
      <c r="E61" t="inlineStr">
        <is>
          <t>money_units_illustrative</t>
        </is>
      </c>
    </row>
    <row r="62">
      <c r="A62" t="n">
        <v>16</v>
      </c>
      <c r="B62" t="n">
        <v>180.56</v>
      </c>
      <c r="C62" t="inlineStr">
        <is>
          <t>S403-PH</t>
        </is>
      </c>
      <c r="D62" t="inlineStr">
        <is>
          <t>SHAIKH_APPENDIX_4_2</t>
        </is>
      </c>
      <c r="E62" t="inlineStr">
        <is>
          <t>money_units_illustrative</t>
        </is>
      </c>
    </row>
    <row r="63">
      <c r="A63" t="n">
        <v>16</v>
      </c>
      <c r="B63" t="n">
        <v>180.56</v>
      </c>
      <c r="C63" t="inlineStr">
        <is>
          <t>S403-PL</t>
        </is>
      </c>
      <c r="D63" t="inlineStr">
        <is>
          <t>SHAIKH_APPENDIX_4_2</t>
        </is>
      </c>
      <c r="E63" t="inlineStr">
        <is>
          <t>money_units_illustrative</t>
        </is>
      </c>
    </row>
    <row r="64">
      <c r="A64" t="n">
        <v>17</v>
      </c>
      <c r="B64" t="n">
        <v>179.42</v>
      </c>
      <c r="C64" t="inlineStr">
        <is>
          <t>S403-PH</t>
        </is>
      </c>
      <c r="D64" t="inlineStr">
        <is>
          <t>SHAIKH_APPENDIX_4_2</t>
        </is>
      </c>
      <c r="E64" t="inlineStr">
        <is>
          <t>money_units_illustrative</t>
        </is>
      </c>
    </row>
    <row r="65">
      <c r="A65" t="n">
        <v>17</v>
      </c>
      <c r="B65" t="n">
        <v>91.92</v>
      </c>
      <c r="C65" t="inlineStr">
        <is>
          <t>S403-PL</t>
        </is>
      </c>
      <c r="D65" t="inlineStr">
        <is>
          <t>SHAIKH_APPENDIX_4_2</t>
        </is>
      </c>
      <c r="E65" t="inlineStr">
        <is>
          <t>money_units_illustrative</t>
        </is>
      </c>
    </row>
    <row r="66">
      <c r="A66" t="n">
        <v>18</v>
      </c>
      <c r="B66" t="n">
        <v>185</v>
      </c>
      <c r="C66" t="inlineStr">
        <is>
          <t>S403-PH</t>
        </is>
      </c>
      <c r="D66" t="inlineStr">
        <is>
          <t>SHAIKH_APPENDIX_4_2</t>
        </is>
      </c>
      <c r="E66" t="inlineStr">
        <is>
          <t>money_units_illustrative</t>
        </is>
      </c>
    </row>
    <row r="67">
      <c r="A67" t="n">
        <v>18</v>
      </c>
      <c r="B67" t="n">
        <v>110</v>
      </c>
      <c r="C67" t="inlineStr">
        <is>
          <t>S403-PL</t>
        </is>
      </c>
      <c r="D67" t="inlineStr">
        <is>
          <t>SHAIKH_APPENDIX_4_2</t>
        </is>
      </c>
      <c r="E67" t="inlineStr">
        <is>
          <t>money_units_illustrative</t>
        </is>
      </c>
    </row>
    <row r="68">
      <c r="A68" t="n">
        <v>19</v>
      </c>
      <c r="B68" t="n">
        <v>196.34</v>
      </c>
      <c r="C68" t="inlineStr">
        <is>
          <t>S403-PH</t>
        </is>
      </c>
      <c r="D68" t="inlineStr">
        <is>
          <t>SHAIKH_APPENDIX_4_2</t>
        </is>
      </c>
      <c r="E68" t="inlineStr">
        <is>
          <t>money_units_illustrative</t>
        </is>
      </c>
    </row>
    <row r="69">
      <c r="A69" t="n">
        <v>19</v>
      </c>
      <c r="B69" t="n">
        <v>133.84</v>
      </c>
      <c r="C69" t="inlineStr">
        <is>
          <t>S403-PL</t>
        </is>
      </c>
      <c r="D69" t="inlineStr">
        <is>
          <t>SHAIKH_APPENDIX_4_2</t>
        </is>
      </c>
      <c r="E69" t="inlineStr">
        <is>
          <t>money_units_illustrative</t>
        </is>
      </c>
    </row>
    <row r="70">
      <c r="A70" t="n">
        <v>20</v>
      </c>
      <c r="B70" t="n">
        <v>212.48</v>
      </c>
      <c r="C70" t="inlineStr">
        <is>
          <t>S403-PH</t>
        </is>
      </c>
      <c r="D70" t="inlineStr">
        <is>
          <t>SHAIKH_APPENDIX_4_2</t>
        </is>
      </c>
      <c r="E70" t="inlineStr">
        <is>
          <t>money_units_illustrative</t>
        </is>
      </c>
    </row>
    <row r="71">
      <c r="A71" t="n">
        <v>20</v>
      </c>
      <c r="B71" t="n">
        <v>162.48</v>
      </c>
      <c r="C71" t="inlineStr">
        <is>
          <t>S403-PL</t>
        </is>
      </c>
      <c r="D71" t="inlineStr">
        <is>
          <t>SHAIKH_APPENDIX_4_2</t>
        </is>
      </c>
      <c r="E71" t="inlineStr">
        <is>
          <t>money_units_illustrative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S403 — Methodology</t>
        </is>
      </c>
    </row>
    <row r="3">
      <c r="A3" s="4">
        <f>== DPR: S403_DPR.md ===</f>
        <v/>
      </c>
    </row>
    <row r="4">
      <c r="A4" t="inlineStr">
        <is>
          <t># S403 — Total Profit with Different Wage Arrangements (Fig 4.18)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S403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opus-subagent-ch4-fanout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`Technical/research/S403_research.json`</t>
        </is>
      </c>
    </row>
    <row r="14">
      <c r="A14" t="inlineStr">
        <is>
          <t>- Adequacy: `Technical/docs/chapters/CH4_ADEQUACY_REPORT.json`</t>
        </is>
      </c>
    </row>
    <row r="15">
      <c r="A15" t="inlineStr">
        <is>
          <t>- Extension Provenance Record: `Technical/docs/series/S403_EPR.md`</t>
        </is>
      </c>
    </row>
    <row r="16">
      <c r="A16" t="inlineStr">
        <is>
          <t>- Registry entry: `Technical/series_registry.json` → `series.S403`</t>
        </is>
      </c>
    </row>
    <row r="17">
      <c r="A17" t="inlineStr">
        <is>
          <t>- Subsource registry: `Technical/SUBSOURCE_METADATA.json` → `SHAIKH_APPENDIX_4_2`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**S403** reproduces Shaikh's Figure 4.18 (book p. 157) — total daily profit profiles `PL = p·XR − tc'` (per-worker wages) and `PH = p·XR − tc` (per-hour wages), tabulated against cumulative output `XR`. Output price `p = 7`.</t>
        </is>
      </c>
    </row>
    <row r="24">
      <c r="A24" t="inlineStr"/>
    </row>
    <row r="25">
      <c r="A25" t="inlineStr">
        <is>
          <t>## 2. Why it matters in Chapter 4</t>
        </is>
      </c>
    </row>
    <row r="26">
      <c r="A26" t="inlineStr"/>
    </row>
    <row r="27">
      <c r="A27" t="inlineStr">
        <is>
          <t>Fig 4.18 demonstrates Shaikh's central theoretical claim about the failure of the neoclassical `p = mc` profit-maximization rule. The chosen output level differs by wage convention:</t>
        </is>
      </c>
    </row>
    <row r="28">
      <c r="A28" t="inlineStr"/>
    </row>
    <row r="29">
      <c r="A29" t="inlineStr">
        <is>
          <t>- **Per-worker wages**: maximum profit at the end of **shift 2** (the second mc-spike).</t>
        </is>
      </c>
    </row>
    <row r="30">
      <c r="A30" t="inlineStr">
        <is>
          <t>- **Per-hour wages**: maximum profit at **engineering capacity** (end of shift 3).</t>
        </is>
      </c>
    </row>
    <row r="31">
      <c r="A31" t="inlineStr"/>
    </row>
    <row r="32">
      <c r="A32" t="inlineStr">
        <is>
          <t>`p = mc` admits multiple solutions in both cases (because mc is non-monotonic with spikes at shift boundaries). The classical cost-minimizing output and the neoclassical profit-maximizing output therefore diverge — a distinction Shaikh develops in chapters 7–8.</t>
        </is>
      </c>
    </row>
    <row r="33">
      <c r="A33" t="inlineStr"/>
    </row>
    <row r="34">
      <c r="A34" t="inlineStr">
        <is>
          <t>## 3. Sources (per subseries)</t>
        </is>
      </c>
    </row>
    <row r="35">
      <c r="A35" t="inlineStr"/>
    </row>
    <row r="36">
      <c r="A36" t="inlineStr">
        <is>
          <t>| Subseries | Coverage | Publisher / Series ID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**S403-A** | XR rows 0–20 (21 points) | Shaikh, *Capitalism* (2016), Appendix 4.2 Table 4.2.4, profit columns | money units | Reconstructed CSV `SalvagedInputs/book_data/Reconstructed/Appendix_4_2_Table4.csv`, columns `XR`, `PL`, `PH` |</t>
        </is>
      </c>
    </row>
    <row r="39">
      <c r="A39" t="inlineStr"/>
    </row>
    <row r="40">
      <c r="A40" t="inlineStr">
        <is>
          <t>## 4. Construction</t>
        </is>
      </c>
    </row>
    <row r="41">
      <c r="A41" t="inlineStr"/>
    </row>
    <row r="42">
      <c r="A42" t="inlineStr">
        <is>
          <t>`derived` / `formula`. Loader consumes the tabulated profit columns from the same CSV as S401/S402.</t>
        </is>
      </c>
    </row>
    <row r="43">
      <c r="A43" t="inlineStr"/>
    </row>
    <row r="44">
      <c r="A44" t="inlineStr">
        <is>
          <t>```</t>
        </is>
      </c>
    </row>
    <row r="45">
      <c r="A45" t="inlineStr">
        <is>
          <t>PL = p * XR − tc'    (per-worker wages; tc' from S401)</t>
        </is>
      </c>
    </row>
    <row r="46">
      <c r="A46" t="inlineStr">
        <is>
          <t>PH = p * XR − tc     (per-hour   wages; tc  from S402)</t>
        </is>
      </c>
    </row>
    <row r="47">
      <c r="A47" t="inlineStr"/>
    </row>
    <row r="48">
      <c r="A48" t="inlineStr">
        <is>
          <t>p = 7  (book p. 781)</t>
        </is>
      </c>
    </row>
    <row r="49">
      <c r="A49" t="inlineStr">
        <is>
          <t>```</t>
        </is>
      </c>
    </row>
    <row r="50">
      <c r="A50" t="inlineStr"/>
    </row>
    <row r="51">
      <c r="A51" t="inlineStr">
        <is>
          <t>At XR=0, PL = PH = −70 (negative of fixed cost alone).</t>
        </is>
      </c>
    </row>
    <row r="52">
      <c r="A52" t="inlineStr"/>
    </row>
    <row r="53">
      <c r="A53" t="inlineStr">
        <is>
          <t>## 5. Year coverage</t>
        </is>
      </c>
    </row>
    <row r="54">
      <c r="A54" t="inlineStr"/>
    </row>
    <row r="55">
      <c r="A55" t="inlineStr">
        <is>
          <t>Not applicable (XR axis).</t>
        </is>
      </c>
    </row>
    <row r="56">
      <c r="A56" t="inlineStr"/>
    </row>
    <row r="57">
      <c r="A57" t="inlineStr">
        <is>
          <t>## 6. Units</t>
        </is>
      </c>
    </row>
    <row r="58">
      <c r="A58" t="inlineStr"/>
    </row>
    <row r="59">
      <c r="A59" t="inlineStr">
        <is>
          <t>Money units (total daily profit; illustrative).</t>
        </is>
      </c>
    </row>
    <row r="60">
      <c r="A60" t="inlineStr"/>
    </row>
    <row r="61">
      <c r="A61" t="inlineStr">
        <is>
          <t>## 7. Caveats</t>
        </is>
      </c>
    </row>
    <row r="62">
      <c r="A62" t="inlineStr"/>
    </row>
    <row r="63">
      <c r="A63" t="inlineStr">
        <is>
          <t>Same XR-axis / Appendix-parameter caveats as S401. Additionally:</t>
        </is>
      </c>
    </row>
    <row r="64">
      <c r="A64" t="inlineStr"/>
    </row>
    <row r="65">
      <c r="A65" t="inlineStr">
        <is>
          <t>1. **Maximum profit is unique within each wage convention**, but the two conventions select different XR values — Shaikh's substantive point.</t>
        </is>
      </c>
    </row>
    <row r="66">
      <c r="A66" t="inlineStr">
        <is>
          <t>2. **Profit is negative for low XR** because total revenue does not yet cover fixed cost. Negative profits at XR rows 1–5 (PL) and rows 1–4 (PH) are visible in Fig 4.18.</t>
        </is>
      </c>
    </row>
    <row r="67">
      <c r="A67" t="inlineStr"/>
    </row>
    <row r="68">
      <c r="A68" t="inlineStr">
        <is>
          <t>## 8. Cross-references</t>
        </is>
      </c>
    </row>
    <row r="69">
      <c r="A69" t="inlineStr"/>
    </row>
    <row r="70">
      <c r="A70" t="inlineStr">
        <is>
          <t>- **Book reference**: Shaikh (2016), Ch. 4, p. 157 (Fig 4.18); Appendix 4.2, p. 781.</t>
        </is>
      </c>
    </row>
    <row r="71">
      <c r="A71" t="inlineStr">
        <is>
          <t>- **Cross-series**: derives from S401 (tc') and S402 (tc). Cross_references field in registry records this dependency.</t>
        </is>
      </c>
    </row>
    <row r="72">
      <c r="A72" t="inlineStr"/>
    </row>
    <row r="73">
      <c r="A73" t="inlineStr">
        <is>
          <t>## 9. Validation expectation</t>
        </is>
      </c>
    </row>
    <row r="74">
      <c r="A74" t="inlineStr"/>
    </row>
    <row r="75">
      <c r="A75" t="inlineStr">
        <is>
          <t>- **Tolerance**: ±0.5%.</t>
        </is>
      </c>
    </row>
    <row r="76">
      <c r="A76" t="inlineStr">
        <is>
          <t>- **Expected MAE**: 0 — direct CSV round-trip.</t>
        </is>
      </c>
    </row>
    <row r="79">
      <c r="A79" s="4">
        <f>== EPR: S403_EPR.md ===</f>
        <v/>
      </c>
    </row>
    <row r="80">
      <c r="A80" t="inlineStr">
        <is>
          <t># S403 — Extension Provenance Record</t>
        </is>
      </c>
    </row>
    <row r="81">
      <c r="A81" t="inlineStr"/>
    </row>
    <row r="82">
      <c r="A82" t="inlineStr">
        <is>
          <t>**Series**: S403 — Total Profit with Different Wage Arrangements (Fig 4.18)</t>
        </is>
      </c>
    </row>
    <row r="83">
      <c r="A83" t="inlineStr">
        <is>
          <t>**Phase**: 6 (Extension)</t>
        </is>
      </c>
    </row>
    <row r="84">
      <c r="A84" t="inlineStr">
        <is>
          <t>**Construction classification**: `derived`</t>
        </is>
      </c>
    </row>
    <row r="85">
      <c r="A85" t="inlineStr">
        <is>
          <t>**Extension method**: **not_applicable_theoretical**</t>
        </is>
      </c>
    </row>
    <row r="86">
      <c r="A86" t="inlineStr">
        <is>
          <t>**Authored**: 2026-05-18</t>
        </is>
      </c>
    </row>
    <row r="87">
      <c r="A87" t="inlineStr">
        <is>
          <t>**Author**: opus-subagent-ch4-fanout</t>
        </is>
      </c>
    </row>
    <row r="88">
      <c r="A88" t="inlineStr"/>
    </row>
    <row r="89">
      <c r="A89" t="inlineStr">
        <is>
          <t>---</t>
        </is>
      </c>
    </row>
    <row r="90">
      <c r="A90" t="inlineStr"/>
    </row>
    <row r="91">
      <c r="A91" t="inlineStr">
        <is>
          <t>## 1. Why this series is NOT extendable</t>
        </is>
      </c>
    </row>
    <row r="92">
      <c r="A92" t="inlineStr"/>
    </row>
    <row r="93">
      <c r="A93" t="inlineStr">
        <is>
          <t>Closed-form profit derivation from S401 + S402 with constant output price `p = 7`. XR-axis, not time.</t>
        </is>
      </c>
    </row>
    <row r="94">
      <c r="A94" t="inlineStr"/>
    </row>
    <row r="95">
      <c r="A95" t="inlineStr">
        <is>
          <t>## 2-9.</t>
        </is>
      </c>
    </row>
    <row r="96">
      <c r="A96" t="inlineStr"/>
    </row>
    <row r="97">
      <c r="A97" t="inlineStr">
        <is>
          <t>Same as S401_EPR / S402_EPR for `derived` content type. No extension attempted; no proxy; no synthetic data; no CD2 divergence (no CD2 predecessor).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36" customWidth="1" min="4" max="4"/>
    <col width="62" customWidth="1" min="5" max="5"/>
    <col width="62" customWidth="1" min="6" max="6"/>
    <col width="44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S403-PH</t>
        </is>
      </c>
      <c r="B2" t="inlineStr">
        <is>
          <t>SHAIKH_APPENDIX_4_2</t>
        </is>
      </c>
      <c r="C2" t="inlineStr">
        <is>
          <t>Shaikh, Capitalism (2016), Appendix 4.2 — Numerical Calculations for Figures 4.1-4.18</t>
        </is>
      </c>
      <c r="D2" t="inlineStr">
        <is>
          <t>Anwar Shaikh (author construction)</t>
        </is>
      </c>
      <c r="E2" t="inlineStr">
        <is>
          <t>https://global.oup.com/academic/product/capitalism-9780199390632</t>
        </is>
      </c>
      <c r="F2" t="inlineStr">
        <is>
          <t>money units per unit of output (illustrative; pa=10, wN=100, wh=12.5, p=7)</t>
        </is>
      </c>
      <c r="G2" t="inlineStr">
        <is>
          <t>synthetic (XR-axis numerical illustration)</t>
        </is>
      </c>
      <c r="H2" t="inlineStr">
        <is>
          <t>Copyright Oxford University Press; reproduced under fair use for research</t>
        </is>
      </c>
      <c r="I2" t="inlineStr">
        <is>
          <t>verbatim transcription from book PDF (Inputs/Capitalism Data)</t>
        </is>
      </c>
    </row>
    <row r="3">
      <c r="A3" t="inlineStr">
        <is>
          <t>S403-PL</t>
        </is>
      </c>
      <c r="B3" t="inlineStr">
        <is>
          <t>SHAIKH_APPENDIX_4_2</t>
        </is>
      </c>
      <c r="C3" t="inlineStr">
        <is>
          <t>Shaikh, Capitalism (2016), Appendix 4.2 — Numerical Calculations for Figures 4.1-4.18</t>
        </is>
      </c>
      <c r="D3" t="inlineStr">
        <is>
          <t>Anwar Shaikh (author construction)</t>
        </is>
      </c>
      <c r="E3" t="inlineStr">
        <is>
          <t>https://global.oup.com/academic/product/capitalism-9780199390632</t>
        </is>
      </c>
      <c r="F3" t="inlineStr">
        <is>
          <t>money units per unit of output (illustrative; pa=10, wN=100, wh=12.5, p=7)</t>
        </is>
      </c>
      <c r="G3" t="inlineStr">
        <is>
          <t>synthetic (XR-axis numerical illustration)</t>
        </is>
      </c>
      <c r="H3" t="inlineStr">
        <is>
          <t>Copyright Oxford University Press; reproduced under fair use for research</t>
        </is>
      </c>
      <c r="I3" t="inlineStr">
        <is>
          <t>verbatim transcription from book PDF (Inputs/Capitalism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S403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Appendix_4_2_Table4.csv profit columns (PL, PH)</t>
        </is>
      </c>
    </row>
    <row r="8">
      <c r="A8" t="inlineStr">
        <is>
          <t>n_compared</t>
        </is>
      </c>
      <c r="B8" t="n">
        <v>42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cd2_comparison</t>
        </is>
      </c>
      <c r="B14" t="inlineStr">
        <is>
          <t>{"note": "no CD/CD2 predecessor"}</t>
        </is>
      </c>
    </row>
    <row r="15">
      <c r="A15" t="inlineStr">
        <is>
          <t>validated_at</t>
        </is>
      </c>
      <c r="B15" t="inlineStr">
        <is>
          <t>2026-05-18T21:59:45.753660+00:00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2026-05-27T05:08:39Z</dcterms:created>
  <dcterms:modified xmlns:dcterms="http://purl.org/dc/terms/" xmlns:xsi="http://www.w3.org/2001/XMLSchema-instance" xsi:type="dcterms:W3CDTF">2026-05-27T05:08:39Z</dcterms:modified>
</cp:coreProperties>
</file>
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S1104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'Data'!$B$4:$B$53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'Data'!$C$4:$C$53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'Data'!$D$4:$D$53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0" customWidth="1" min="3" max="3"/>
    <col width="32" customWidth="1" min="4" max="4"/>
    <col width="31" customWidth="1" min="5" max="5"/>
  </cols>
  <sheetData>
    <row r="1">
      <c r="A1" s="1" t="inlineStr">
        <is>
          <t>S1104 — annual values (long form below pivot)</t>
        </is>
      </c>
    </row>
    <row r="2"/>
    <row r="3">
      <c r="A3" s="2" t="inlineStr">
        <is>
          <t>year</t>
        </is>
      </c>
      <c r="B3" s="2" t="inlineStr">
        <is>
          <t>S1104-A</t>
        </is>
      </c>
      <c r="C3" s="2" t="inlineStr">
        <is>
          <t>S1104-B</t>
        </is>
      </c>
      <c r="D3" s="2" t="inlineStr">
        <is>
          <t>S1104-C</t>
        </is>
      </c>
    </row>
    <row r="4">
      <c r="A4" t="n">
        <v>1960</v>
      </c>
      <c r="B4" t="n">
        <v>0.09042420201683474</v>
      </c>
      <c r="C4" t="n">
        <v>188.3843969391669</v>
      </c>
      <c r="D4" t="n">
        <v>88.87721023087649</v>
      </c>
    </row>
    <row r="5">
      <c r="A5" t="n">
        <v>1961</v>
      </c>
      <c r="B5" t="n">
        <v>0.1176926483613818</v>
      </c>
      <c r="C5" t="n">
        <v>184.8550765430345</v>
      </c>
      <c r="D5" t="n">
        <v>86.58188202612459</v>
      </c>
    </row>
    <row r="6">
      <c r="A6" t="n">
        <v>1962</v>
      </c>
      <c r="B6" t="n">
        <v>0.08236569128348041</v>
      </c>
      <c r="C6" t="n">
        <v>183.5308420914124</v>
      </c>
      <c r="D6" t="n">
        <v>87.66199413618334</v>
      </c>
    </row>
    <row r="7">
      <c r="A7" t="n">
        <v>1963</v>
      </c>
      <c r="B7" t="n">
        <v>0.09272071720912103</v>
      </c>
      <c r="C7" t="n">
        <v>174.5415305826755</v>
      </c>
      <c r="D7" t="n">
        <v>87.31904224455749</v>
      </c>
    </row>
    <row r="8">
      <c r="A8" t="n">
        <v>1964</v>
      </c>
      <c r="B8" t="n">
        <v>0.1170536568397252</v>
      </c>
      <c r="C8" t="n">
        <v>169.9838389109758</v>
      </c>
      <c r="D8" t="n">
        <v>87.24654785929106</v>
      </c>
    </row>
    <row r="9">
      <c r="A9" t="n">
        <v>1965</v>
      </c>
      <c r="B9" t="n">
        <v>0.07037905666806983</v>
      </c>
      <c r="C9" t="n">
        <v>167.2648775519164</v>
      </c>
      <c r="D9" t="n">
        <v>88.90544221038648</v>
      </c>
    </row>
    <row r="10">
      <c r="A10" t="n">
        <v>1966</v>
      </c>
      <c r="B10" t="n">
        <v>0.02860443946502346</v>
      </c>
      <c r="C10" t="n">
        <v>166.6213630963596</v>
      </c>
      <c r="D10" t="n">
        <v>91.27966546417468</v>
      </c>
    </row>
    <row r="11">
      <c r="A11" t="n">
        <v>1967</v>
      </c>
      <c r="B11" t="n">
        <v>0.03654062023556218</v>
      </c>
      <c r="C11" t="n">
        <v>168.0645800883463</v>
      </c>
      <c r="D11" t="n">
        <v>90.4976737822933</v>
      </c>
    </row>
    <row r="12">
      <c r="A12" t="n">
        <v>1968</v>
      </c>
      <c r="B12" t="n">
        <v>-0.01854119545330125</v>
      </c>
      <c r="C12" t="n">
        <v>174.4339360257947</v>
      </c>
      <c r="D12" t="n">
        <v>89.71309091856494</v>
      </c>
    </row>
    <row r="13">
      <c r="A13" t="n">
        <v>1969</v>
      </c>
      <c r="B13" t="n">
        <v>-0.01295542276981651</v>
      </c>
      <c r="C13" t="n">
        <v>172.0505003018845</v>
      </c>
      <c r="D13" t="n">
        <v>87.25463963750903</v>
      </c>
    </row>
    <row r="14">
      <c r="A14" t="n">
        <v>1970</v>
      </c>
      <c r="B14" t="n">
        <v>0.009304986398608339</v>
      </c>
      <c r="C14" t="n">
        <v>169.296728482686</v>
      </c>
      <c r="D14" t="n">
        <v>83.39073705697395</v>
      </c>
    </row>
    <row r="15">
      <c r="A15" t="n">
        <v>1971</v>
      </c>
      <c r="B15" t="n">
        <v>-0.05215962390223199</v>
      </c>
      <c r="C15" t="n">
        <v>161.2842108190799</v>
      </c>
      <c r="D15" t="n">
        <v>83.32074889918066</v>
      </c>
    </row>
    <row r="16">
      <c r="A16" t="n">
        <v>1972</v>
      </c>
      <c r="B16" t="n">
        <v>-0.08942171551253458</v>
      </c>
      <c r="C16" t="n">
        <v>144.5873269765595</v>
      </c>
      <c r="D16" t="n">
        <v>83.88947997363982</v>
      </c>
    </row>
    <row r="17">
      <c r="A17" t="n">
        <v>1973</v>
      </c>
      <c r="B17" t="n">
        <v>-0.01903805533432598</v>
      </c>
      <c r="C17" t="n">
        <v>122.4028336345354</v>
      </c>
      <c r="D17" t="n">
        <v>83.34307297660796</v>
      </c>
    </row>
    <row r="18">
      <c r="A18" t="n">
        <v>1974</v>
      </c>
      <c r="B18" t="n">
        <v>-0.05259747993235357</v>
      </c>
      <c r="C18" t="n">
        <v>120.1531499450135</v>
      </c>
      <c r="D18" t="n">
        <v>81.15403596846303</v>
      </c>
    </row>
    <row r="19">
      <c r="A19" t="n">
        <v>1975</v>
      </c>
      <c r="B19" t="n">
        <v>0.0138541564797869</v>
      </c>
      <c r="C19" t="n">
        <v>121.6987289374919</v>
      </c>
      <c r="D19" t="n">
        <v>81.65598376965598</v>
      </c>
    </row>
    <row r="20">
      <c r="A20" t="n">
        <v>1976</v>
      </c>
      <c r="B20" t="n">
        <v>-0.06299064145917822</v>
      </c>
      <c r="C20" t="n">
        <v>125.9678220904656</v>
      </c>
      <c r="D20" t="n">
        <v>82.19423360705062</v>
      </c>
    </row>
    <row r="21">
      <c r="A21" t="n">
        <v>1977</v>
      </c>
      <c r="B21" t="n">
        <v>-0.1312761598487974</v>
      </c>
      <c r="C21" t="n">
        <v>122.5089980929712</v>
      </c>
      <c r="D21" t="n">
        <v>83.55538847899304</v>
      </c>
    </row>
    <row r="22">
      <c r="A22" t="n">
        <v>1978</v>
      </c>
      <c r="B22" t="n">
        <v>-0.1211203610802277</v>
      </c>
      <c r="C22" t="n">
        <v>110.0220533461667</v>
      </c>
      <c r="D22" t="n">
        <v>85.41652950294547</v>
      </c>
    </row>
    <row r="23">
      <c r="A23" t="n">
        <v>1979</v>
      </c>
      <c r="B23" t="n">
        <v>-0.0877705659490734</v>
      </c>
      <c r="C23" t="n">
        <v>105.4261236544648</v>
      </c>
      <c r="D23" t="n">
        <v>85.05778630322938</v>
      </c>
    </row>
    <row r="24">
      <c r="A24" t="n">
        <v>1980</v>
      </c>
      <c r="B24" t="n">
        <v>-0.06511021632946569</v>
      </c>
      <c r="C24" t="n">
        <v>104.9187310503267</v>
      </c>
      <c r="D24" t="n">
        <v>83.77633066464389</v>
      </c>
    </row>
    <row r="25">
      <c r="A25" t="n">
        <v>1981</v>
      </c>
      <c r="B25" t="n">
        <v>-0.06764153909546992</v>
      </c>
      <c r="C25" t="n">
        <v>122.6375301210817</v>
      </c>
      <c r="D25" t="n">
        <v>85.7418837743413</v>
      </c>
    </row>
    <row r="26">
      <c r="A26" t="n">
        <v>1982</v>
      </c>
      <c r="B26" t="n">
        <v>-0.08156138214314508</v>
      </c>
      <c r="C26" t="n">
        <v>137.1337152064278</v>
      </c>
      <c r="D26" t="n">
        <v>83.42058391994367</v>
      </c>
    </row>
    <row r="27">
      <c r="A27" t="n">
        <v>1983</v>
      </c>
      <c r="B27" t="n">
        <v>-0.1350929619761228</v>
      </c>
      <c r="C27" t="n">
        <v>142.2153919641929</v>
      </c>
      <c r="D27" t="n">
        <v>85.74451292444436</v>
      </c>
    </row>
    <row r="28">
      <c r="A28" t="n">
        <v>1984</v>
      </c>
      <c r="B28" t="n">
        <v>-0.2145864126423057</v>
      </c>
      <c r="C28" t="n">
        <v>150.7851808112382</v>
      </c>
      <c r="D28" t="n">
        <v>89.6707687778586</v>
      </c>
    </row>
    <row r="29">
      <c r="A29" t="n">
        <v>1985</v>
      </c>
      <c r="B29" t="n">
        <v>-0.2339456446773725</v>
      </c>
      <c r="C29" t="n">
        <v>151.6483989139974</v>
      </c>
      <c r="D29" t="n">
        <v>91.0825930339802</v>
      </c>
    </row>
    <row r="30">
      <c r="A30" t="n">
        <v>1986</v>
      </c>
      <c r="B30" t="n">
        <v>-0.2545499891705992</v>
      </c>
      <c r="C30" t="n">
        <v>118.9947091346404</v>
      </c>
      <c r="D30" t="n">
        <v>91.6293143646532</v>
      </c>
    </row>
    <row r="31">
      <c r="A31" t="n">
        <v>1987</v>
      </c>
      <c r="B31" t="n">
        <v>-0.2510017463323337</v>
      </c>
      <c r="C31" t="n">
        <v>99.16822696183357</v>
      </c>
      <c r="D31" t="n">
        <v>92.15176835205028</v>
      </c>
    </row>
    <row r="32">
      <c r="A32" t="n">
        <v>1988</v>
      </c>
      <c r="B32" t="n">
        <v>-0.1753468803151016</v>
      </c>
      <c r="C32" t="n">
        <v>93.78014043514743</v>
      </c>
      <c r="D32" t="n">
        <v>91.98685229256304</v>
      </c>
    </row>
    <row r="33">
      <c r="A33" t="n">
        <v>1989</v>
      </c>
      <c r="B33" t="n">
        <v>-0.1507002173370031</v>
      </c>
      <c r="C33" t="n">
        <v>100.191815114852</v>
      </c>
      <c r="D33" t="n">
        <v>91.98740381135623</v>
      </c>
    </row>
    <row r="34">
      <c r="A34" t="n">
        <v>1990</v>
      </c>
      <c r="B34" t="n">
        <v>-0.1355126792952616</v>
      </c>
      <c r="C34" t="n">
        <v>92.28750390037241</v>
      </c>
      <c r="D34" t="n">
        <v>90.94982275398401</v>
      </c>
    </row>
    <row r="35">
      <c r="A35" t="n">
        <v>1991</v>
      </c>
      <c r="B35" t="n">
        <v>-0.09314444899596062</v>
      </c>
      <c r="C35" t="n">
        <v>93.56926985420965</v>
      </c>
      <c r="D35" t="n">
        <v>88.99142374088407</v>
      </c>
    </row>
    <row r="36">
      <c r="A36" t="n">
        <v>1992</v>
      </c>
      <c r="B36" t="n">
        <v>-0.1055398438856545</v>
      </c>
      <c r="C36" t="n">
        <v>89.51297559978933</v>
      </c>
      <c r="D36" t="n">
        <v>90.79772916380139</v>
      </c>
    </row>
    <row r="37">
      <c r="A37" t="n">
        <v>1993</v>
      </c>
      <c r="B37" t="n">
        <v>-0.1298104962409112</v>
      </c>
      <c r="C37" t="n">
        <v>94.81890206484464</v>
      </c>
      <c r="D37" t="n">
        <v>93.21452491322471</v>
      </c>
    </row>
    <row r="38">
      <c r="A38" t="n">
        <v>1994</v>
      </c>
      <c r="B38" t="n">
        <v>-0.146931127386129</v>
      </c>
      <c r="C38" t="n">
        <v>92.11064663476084</v>
      </c>
      <c r="D38" t="n">
        <v>94.1506238773282</v>
      </c>
    </row>
    <row r="39">
      <c r="A39" t="n">
        <v>1995</v>
      </c>
      <c r="B39" t="n">
        <v>-0.1372895296899148</v>
      </c>
      <c r="C39" t="n">
        <v>82.98236681177458</v>
      </c>
      <c r="D39" t="n">
        <v>94.21871234547761</v>
      </c>
    </row>
    <row r="40">
      <c r="A40" t="n">
        <v>1996</v>
      </c>
      <c r="B40" t="n">
        <v>-0.1361013559551599</v>
      </c>
      <c r="C40" t="n">
        <v>85.03294589111988</v>
      </c>
      <c r="D40" t="n">
        <v>96.00072508122571</v>
      </c>
    </row>
    <row r="41">
      <c r="A41" t="n">
        <v>1997</v>
      </c>
      <c r="B41" t="n">
        <v>-0.1321229919116082</v>
      </c>
      <c r="C41" t="n">
        <v>93.69307680885316</v>
      </c>
      <c r="D41" t="n">
        <v>97.27716541283516</v>
      </c>
    </row>
    <row r="42">
      <c r="A42" t="n">
        <v>1998</v>
      </c>
      <c r="B42" t="n">
        <v>-0.1612151558170319</v>
      </c>
      <c r="C42" t="n">
        <v>95.3158289683217</v>
      </c>
      <c r="D42" t="n">
        <v>98.71441174322257</v>
      </c>
    </row>
    <row r="43">
      <c r="A43" t="n">
        <v>1999</v>
      </c>
      <c r="B43" t="n">
        <v>-0.2071760109888294</v>
      </c>
      <c r="C43" t="n">
        <v>94.73395711133404</v>
      </c>
      <c r="D43" t="n">
        <v>100.4416852197407</v>
      </c>
    </row>
    <row r="44">
      <c r="A44" t="n">
        <v>2000</v>
      </c>
      <c r="B44" t="n">
        <v>-0.2338711494803593</v>
      </c>
      <c r="C44" t="n">
        <v>100.8829469887572</v>
      </c>
      <c r="D44" t="n">
        <v>100.5117189244749</v>
      </c>
    </row>
    <row r="45">
      <c r="A45" t="n">
        <v>2001</v>
      </c>
      <c r="B45" t="n">
        <v>-0.2358563732785545</v>
      </c>
      <c r="C45" t="n">
        <v>106.093625465436</v>
      </c>
      <c r="D45" t="n">
        <v>99.30084313770845</v>
      </c>
    </row>
    <row r="46">
      <c r="A46" t="n">
        <v>2002</v>
      </c>
      <c r="B46" t="n">
        <v>-0.2678488147621153</v>
      </c>
      <c r="C46" t="n">
        <v>99.99999999999994</v>
      </c>
      <c r="D46" t="n">
        <v>100</v>
      </c>
    </row>
    <row r="47">
      <c r="A47" t="n">
        <v>2003</v>
      </c>
      <c r="B47" t="n">
        <v>-0.2851726064578678</v>
      </c>
      <c r="C47" t="n">
        <v>85.54555742727158</v>
      </c>
      <c r="D47" t="n">
        <v>101.6639416146148</v>
      </c>
    </row>
    <row r="48">
      <c r="A48" t="n">
        <v>2004</v>
      </c>
      <c r="B48" t="n">
        <v>-0.3015713194731834</v>
      </c>
      <c r="C48" t="n">
        <v>77.98584395454506</v>
      </c>
      <c r="D48" t="n">
        <v>103.267449298622</v>
      </c>
    </row>
    <row r="49">
      <c r="A49" t="n">
        <v>2005</v>
      </c>
      <c r="B49" t="n">
        <v>-0.3133359927152112</v>
      </c>
      <c r="C49" t="n">
        <v>79.08886405835661</v>
      </c>
      <c r="D49" t="n">
        <v>104.8988186617547</v>
      </c>
    </row>
    <row r="50">
      <c r="A50" t="n">
        <v>2006</v>
      </c>
      <c r="B50" t="n">
        <v>-0.2976000811811862</v>
      </c>
      <c r="C50" t="n">
        <v>79.05204377927889</v>
      </c>
      <c r="D50" t="n">
        <v>104.6622235606219</v>
      </c>
    </row>
    <row r="51">
      <c r="A51" t="n">
        <v>2007</v>
      </c>
      <c r="B51" t="n">
        <v>-0.2693426483800238</v>
      </c>
      <c r="C51" t="n">
        <v>71.76219942987257</v>
      </c>
      <c r="D51" t="n">
        <v>103.8672213692618</v>
      </c>
    </row>
    <row r="52">
      <c r="A52" t="n">
        <v>2008</v>
      </c>
      <c r="B52" t="n">
        <v>-0.2502103382700397</v>
      </c>
      <c r="C52" t="n">
        <v>69.21180474762886</v>
      </c>
      <c r="D52" t="n">
        <v>103.7486097945681</v>
      </c>
    </row>
    <row r="53">
      <c r="A53" t="n">
        <v>2009</v>
      </c>
      <c r="B53" t="n">
        <v>-0.2060629965627993</v>
      </c>
      <c r="C53" t="n">
        <v>73.30465549248166</v>
      </c>
      <c r="D53" t="n">
        <v>105.7110684160535</v>
      </c>
    </row>
    <row r="54"/>
    <row r="55"/>
    <row r="56"/>
    <row r="57">
      <c r="A57" s="1" t="inlineStr">
        <is>
          <t>Long form (year, value, subseries_id, source_id, units)</t>
        </is>
      </c>
    </row>
    <row r="58">
      <c r="A58" s="3" t="inlineStr">
        <is>
          <t>year</t>
        </is>
      </c>
      <c r="B58" s="3" t="inlineStr">
        <is>
          <t>value</t>
        </is>
      </c>
      <c r="C58" s="3" t="inlineStr">
        <is>
          <t>subseries_id</t>
        </is>
      </c>
      <c r="D58" s="3" t="inlineStr">
        <is>
          <t>source_id</t>
        </is>
      </c>
      <c r="E58" s="3" t="inlineStr">
        <is>
          <t>units</t>
        </is>
      </c>
    </row>
    <row r="59">
      <c r="A59" t="n">
        <v>1960</v>
      </c>
      <c r="B59" t="n">
        <v>0.09042420201683474</v>
      </c>
      <c r="C59" t="inlineStr">
        <is>
          <t>S1104-A</t>
        </is>
      </c>
      <c r="D59" t="inlineStr">
        <is>
          <t>IMF_IFS_XM_APPENDIX_11_1</t>
        </is>
      </c>
      <c r="E59" t="inlineStr">
        <is>
          <t>net_trade_ratio_dimensionless</t>
        </is>
      </c>
    </row>
    <row r="60">
      <c r="A60" t="n">
        <v>1960</v>
      </c>
      <c r="B60" t="n">
        <v>188.3843969391669</v>
      </c>
      <c r="C60" t="inlineStr">
        <is>
          <t>S1104-B</t>
        </is>
      </c>
      <c r="D60" t="inlineStr">
        <is>
          <t>BLS_ILC_REER_PPI_APPENDIX_11_1</t>
        </is>
      </c>
      <c r="E60" t="inlineStr">
        <is>
          <t>index_2002=100</t>
        </is>
      </c>
    </row>
    <row r="61">
      <c r="A61" t="n">
        <v>1960</v>
      </c>
      <c r="B61" t="n">
        <v>88.87721023087649</v>
      </c>
      <c r="C61" t="inlineStr">
        <is>
          <t>S1104-C</t>
        </is>
      </c>
      <c r="D61" t="inlineStr">
        <is>
          <t>WB_GDP_MKTP_KD_US_EU12</t>
        </is>
      </c>
      <c r="E61" t="inlineStr">
        <is>
          <t>index_2002=100</t>
        </is>
      </c>
    </row>
    <row r="62">
      <c r="A62" t="n">
        <v>1961</v>
      </c>
      <c r="B62" t="n">
        <v>0.1176926483613818</v>
      </c>
      <c r="C62" t="inlineStr">
        <is>
          <t>S1104-A</t>
        </is>
      </c>
      <c r="D62" t="inlineStr">
        <is>
          <t>IMF_IFS_XM_APPENDIX_11_1</t>
        </is>
      </c>
      <c r="E62" t="inlineStr">
        <is>
          <t>net_trade_ratio_dimensionless</t>
        </is>
      </c>
    </row>
    <row r="63">
      <c r="A63" t="n">
        <v>1961</v>
      </c>
      <c r="B63" t="n">
        <v>184.8550765430345</v>
      </c>
      <c r="C63" t="inlineStr">
        <is>
          <t>S1104-B</t>
        </is>
      </c>
      <c r="D63" t="inlineStr">
        <is>
          <t>BLS_ILC_REER_PPI_APPENDIX_11_1</t>
        </is>
      </c>
      <c r="E63" t="inlineStr">
        <is>
          <t>index_2002=100</t>
        </is>
      </c>
    </row>
    <row r="64">
      <c r="A64" t="n">
        <v>1961</v>
      </c>
      <c r="B64" t="n">
        <v>86.58188202612459</v>
      </c>
      <c r="C64" t="inlineStr">
        <is>
          <t>S1104-C</t>
        </is>
      </c>
      <c r="D64" t="inlineStr">
        <is>
          <t>WB_GDP_MKTP_KD_US_EU12</t>
        </is>
      </c>
      <c r="E64" t="inlineStr">
        <is>
          <t>index_2002=100</t>
        </is>
      </c>
    </row>
    <row r="65">
      <c r="A65" t="n">
        <v>1962</v>
      </c>
      <c r="B65" t="n">
        <v>0.08236569128348041</v>
      </c>
      <c r="C65" t="inlineStr">
        <is>
          <t>S1104-A</t>
        </is>
      </c>
      <c r="D65" t="inlineStr">
        <is>
          <t>IMF_IFS_XM_APPENDIX_11_1</t>
        </is>
      </c>
      <c r="E65" t="inlineStr">
        <is>
          <t>net_trade_ratio_dimensionless</t>
        </is>
      </c>
    </row>
    <row r="66">
      <c r="A66" t="n">
        <v>1962</v>
      </c>
      <c r="B66" t="n">
        <v>183.5308420914124</v>
      </c>
      <c r="C66" t="inlineStr">
        <is>
          <t>S1104-B</t>
        </is>
      </c>
      <c r="D66" t="inlineStr">
        <is>
          <t>BLS_ILC_REER_PPI_APPENDIX_11_1</t>
        </is>
      </c>
      <c r="E66" t="inlineStr">
        <is>
          <t>index_2002=100</t>
        </is>
      </c>
    </row>
    <row r="67">
      <c r="A67" t="n">
        <v>1962</v>
      </c>
      <c r="B67" t="n">
        <v>87.66199413618334</v>
      </c>
      <c r="C67" t="inlineStr">
        <is>
          <t>S1104-C</t>
        </is>
      </c>
      <c r="D67" t="inlineStr">
        <is>
          <t>WB_GDP_MKTP_KD_US_EU12</t>
        </is>
      </c>
      <c r="E67" t="inlineStr">
        <is>
          <t>index_2002=100</t>
        </is>
      </c>
    </row>
    <row r="68">
      <c r="A68" t="n">
        <v>1963</v>
      </c>
      <c r="B68" t="n">
        <v>0.09272071720912103</v>
      </c>
      <c r="C68" t="inlineStr">
        <is>
          <t>S1104-A</t>
        </is>
      </c>
      <c r="D68" t="inlineStr">
        <is>
          <t>IMF_IFS_XM_APPENDIX_11_1</t>
        </is>
      </c>
      <c r="E68" t="inlineStr">
        <is>
          <t>net_trade_ratio_dimensionless</t>
        </is>
      </c>
    </row>
    <row r="69">
      <c r="A69" t="n">
        <v>1963</v>
      </c>
      <c r="B69" t="n">
        <v>174.5415305826755</v>
      </c>
      <c r="C69" t="inlineStr">
        <is>
          <t>S1104-B</t>
        </is>
      </c>
      <c r="D69" t="inlineStr">
        <is>
          <t>BLS_ILC_REER_PPI_APPENDIX_11_1</t>
        </is>
      </c>
      <c r="E69" t="inlineStr">
        <is>
          <t>index_2002=100</t>
        </is>
      </c>
    </row>
    <row r="70">
      <c r="A70" t="n">
        <v>1963</v>
      </c>
      <c r="B70" t="n">
        <v>87.31904224455749</v>
      </c>
      <c r="C70" t="inlineStr">
        <is>
          <t>S1104-C</t>
        </is>
      </c>
      <c r="D70" t="inlineStr">
        <is>
          <t>WB_GDP_MKTP_KD_US_EU12</t>
        </is>
      </c>
      <c r="E70" t="inlineStr">
        <is>
          <t>index_2002=100</t>
        </is>
      </c>
    </row>
    <row r="71">
      <c r="A71" t="n">
        <v>1964</v>
      </c>
      <c r="B71" t="n">
        <v>0.1170536568397252</v>
      </c>
      <c r="C71" t="inlineStr">
        <is>
          <t>S1104-A</t>
        </is>
      </c>
      <c r="D71" t="inlineStr">
        <is>
          <t>IMF_IFS_XM_APPENDIX_11_1</t>
        </is>
      </c>
      <c r="E71" t="inlineStr">
        <is>
          <t>net_trade_ratio_dimensionless</t>
        </is>
      </c>
    </row>
    <row r="72">
      <c r="A72" t="n">
        <v>1964</v>
      </c>
      <c r="B72" t="n">
        <v>169.9838389109758</v>
      </c>
      <c r="C72" t="inlineStr">
        <is>
          <t>S1104-B</t>
        </is>
      </c>
      <c r="D72" t="inlineStr">
        <is>
          <t>BLS_ILC_REER_PPI_APPENDIX_11_1</t>
        </is>
      </c>
      <c r="E72" t="inlineStr">
        <is>
          <t>index_2002=100</t>
        </is>
      </c>
    </row>
    <row r="73">
      <c r="A73" t="n">
        <v>1964</v>
      </c>
      <c r="B73" t="n">
        <v>87.24654785929106</v>
      </c>
      <c r="C73" t="inlineStr">
        <is>
          <t>S1104-C</t>
        </is>
      </c>
      <c r="D73" t="inlineStr">
        <is>
          <t>WB_GDP_MKTP_KD_US_EU12</t>
        </is>
      </c>
      <c r="E73" t="inlineStr">
        <is>
          <t>index_2002=100</t>
        </is>
      </c>
    </row>
    <row r="74">
      <c r="A74" t="n">
        <v>1965</v>
      </c>
      <c r="B74" t="n">
        <v>0.07037905666806983</v>
      </c>
      <c r="C74" t="inlineStr">
        <is>
          <t>S1104-A</t>
        </is>
      </c>
      <c r="D74" t="inlineStr">
        <is>
          <t>IMF_IFS_XM_APPENDIX_11_1</t>
        </is>
      </c>
      <c r="E74" t="inlineStr">
        <is>
          <t>net_trade_ratio_dimensionless</t>
        </is>
      </c>
    </row>
    <row r="75">
      <c r="A75" t="n">
        <v>1965</v>
      </c>
      <c r="B75" t="n">
        <v>167.2648775519164</v>
      </c>
      <c r="C75" t="inlineStr">
        <is>
          <t>S1104-B</t>
        </is>
      </c>
      <c r="D75" t="inlineStr">
        <is>
          <t>BLS_ILC_REER_PPI_APPENDIX_11_1</t>
        </is>
      </c>
      <c r="E75" t="inlineStr">
        <is>
          <t>index_2002=100</t>
        </is>
      </c>
    </row>
    <row r="76">
      <c r="A76" t="n">
        <v>1965</v>
      </c>
      <c r="B76" t="n">
        <v>88.90544221038648</v>
      </c>
      <c r="C76" t="inlineStr">
        <is>
          <t>S1104-C</t>
        </is>
      </c>
      <c r="D76" t="inlineStr">
        <is>
          <t>WB_GDP_MKTP_KD_US_EU12</t>
        </is>
      </c>
      <c r="E76" t="inlineStr">
        <is>
          <t>index_2002=100</t>
        </is>
      </c>
    </row>
    <row r="77">
      <c r="A77" t="n">
        <v>1966</v>
      </c>
      <c r="B77" t="n">
        <v>0.02860443946502346</v>
      </c>
      <c r="C77" t="inlineStr">
        <is>
          <t>S1104-A</t>
        </is>
      </c>
      <c r="D77" t="inlineStr">
        <is>
          <t>IMF_IFS_XM_APPENDIX_11_1</t>
        </is>
      </c>
      <c r="E77" t="inlineStr">
        <is>
          <t>net_trade_ratio_dimensionless</t>
        </is>
      </c>
    </row>
    <row r="78">
      <c r="A78" t="n">
        <v>1966</v>
      </c>
      <c r="B78" t="n">
        <v>166.6213630963596</v>
      </c>
      <c r="C78" t="inlineStr">
        <is>
          <t>S1104-B</t>
        </is>
      </c>
      <c r="D78" t="inlineStr">
        <is>
          <t>BLS_ILC_REER_PPI_APPENDIX_11_1</t>
        </is>
      </c>
      <c r="E78" t="inlineStr">
        <is>
          <t>index_2002=100</t>
        </is>
      </c>
    </row>
    <row r="79">
      <c r="A79" t="n">
        <v>1966</v>
      </c>
      <c r="B79" t="n">
        <v>91.27966546417468</v>
      </c>
      <c r="C79" t="inlineStr">
        <is>
          <t>S1104-C</t>
        </is>
      </c>
      <c r="D79" t="inlineStr">
        <is>
          <t>WB_GDP_MKTP_KD_US_EU12</t>
        </is>
      </c>
      <c r="E79" t="inlineStr">
        <is>
          <t>index_2002=100</t>
        </is>
      </c>
    </row>
    <row r="80">
      <c r="A80" t="n">
        <v>1967</v>
      </c>
      <c r="B80" t="n">
        <v>0.03654062023556218</v>
      </c>
      <c r="C80" t="inlineStr">
        <is>
          <t>S1104-A</t>
        </is>
      </c>
      <c r="D80" t="inlineStr">
        <is>
          <t>IMF_IFS_XM_APPENDIX_11_1</t>
        </is>
      </c>
      <c r="E80" t="inlineStr">
        <is>
          <t>net_trade_ratio_dimensionless</t>
        </is>
      </c>
    </row>
    <row r="81">
      <c r="A81" t="n">
        <v>1967</v>
      </c>
      <c r="B81" t="n">
        <v>168.0645800883463</v>
      </c>
      <c r="C81" t="inlineStr">
        <is>
          <t>S1104-B</t>
        </is>
      </c>
      <c r="D81" t="inlineStr">
        <is>
          <t>BLS_ILC_REER_PPI_APPENDIX_11_1</t>
        </is>
      </c>
      <c r="E81" t="inlineStr">
        <is>
          <t>index_2002=100</t>
        </is>
      </c>
    </row>
    <row r="82">
      <c r="A82" t="n">
        <v>1967</v>
      </c>
      <c r="B82" t="n">
        <v>90.4976737822933</v>
      </c>
      <c r="C82" t="inlineStr">
        <is>
          <t>S1104-C</t>
        </is>
      </c>
      <c r="D82" t="inlineStr">
        <is>
          <t>WB_GDP_MKTP_KD_US_EU12</t>
        </is>
      </c>
      <c r="E82" t="inlineStr">
        <is>
          <t>index_2002=100</t>
        </is>
      </c>
    </row>
    <row r="83">
      <c r="A83" t="n">
        <v>1968</v>
      </c>
      <c r="B83" t="n">
        <v>-0.01854119545330125</v>
      </c>
      <c r="C83" t="inlineStr">
        <is>
          <t>S1104-A</t>
        </is>
      </c>
      <c r="D83" t="inlineStr">
        <is>
          <t>IMF_IFS_XM_APPENDIX_11_1</t>
        </is>
      </c>
      <c r="E83" t="inlineStr">
        <is>
          <t>net_trade_ratio_dimensionless</t>
        </is>
      </c>
    </row>
    <row r="84">
      <c r="A84" t="n">
        <v>1968</v>
      </c>
      <c r="B84" t="n">
        <v>174.4339360257947</v>
      </c>
      <c r="C84" t="inlineStr">
        <is>
          <t>S1104-B</t>
        </is>
      </c>
      <c r="D84" t="inlineStr">
        <is>
          <t>BLS_ILC_REER_PPI_APPENDIX_11_1</t>
        </is>
      </c>
      <c r="E84" t="inlineStr">
        <is>
          <t>index_2002=100</t>
        </is>
      </c>
    </row>
    <row r="85">
      <c r="A85" t="n">
        <v>1968</v>
      </c>
      <c r="B85" t="n">
        <v>89.71309091856494</v>
      </c>
      <c r="C85" t="inlineStr">
        <is>
          <t>S1104-C</t>
        </is>
      </c>
      <c r="D85" t="inlineStr">
        <is>
          <t>WB_GDP_MKTP_KD_US_EU12</t>
        </is>
      </c>
      <c r="E85" t="inlineStr">
        <is>
          <t>index_2002=100</t>
        </is>
      </c>
    </row>
    <row r="86">
      <c r="A86" t="n">
        <v>1969</v>
      </c>
      <c r="B86" t="n">
        <v>-0.01295542276981651</v>
      </c>
      <c r="C86" t="inlineStr">
        <is>
          <t>S1104-A</t>
        </is>
      </c>
      <c r="D86" t="inlineStr">
        <is>
          <t>IMF_IFS_XM_APPENDIX_11_1</t>
        </is>
      </c>
      <c r="E86" t="inlineStr">
        <is>
          <t>net_trade_ratio_dimensionless</t>
        </is>
      </c>
    </row>
    <row r="87">
      <c r="A87" t="n">
        <v>1969</v>
      </c>
      <c r="B87" t="n">
        <v>172.0505003018845</v>
      </c>
      <c r="C87" t="inlineStr">
        <is>
          <t>S1104-B</t>
        </is>
      </c>
      <c r="D87" t="inlineStr">
        <is>
          <t>BLS_ILC_REER_PPI_APPENDIX_11_1</t>
        </is>
      </c>
      <c r="E87" t="inlineStr">
        <is>
          <t>index_2002=100</t>
        </is>
      </c>
    </row>
    <row r="88">
      <c r="A88" t="n">
        <v>1969</v>
      </c>
      <c r="B88" t="n">
        <v>87.25463963750903</v>
      </c>
      <c r="C88" t="inlineStr">
        <is>
          <t>S1104-C</t>
        </is>
      </c>
      <c r="D88" t="inlineStr">
        <is>
          <t>WB_GDP_MKTP_KD_US_EU12</t>
        </is>
      </c>
      <c r="E88" t="inlineStr">
        <is>
          <t>index_2002=100</t>
        </is>
      </c>
    </row>
    <row r="89">
      <c r="A89" t="n">
        <v>1970</v>
      </c>
      <c r="B89" t="n">
        <v>0.009304986398608339</v>
      </c>
      <c r="C89" t="inlineStr">
        <is>
          <t>S1104-A</t>
        </is>
      </c>
      <c r="D89" t="inlineStr">
        <is>
          <t>IMF_IFS_XM_APPENDIX_11_1</t>
        </is>
      </c>
      <c r="E89" t="inlineStr">
        <is>
          <t>net_trade_ratio_dimensionless</t>
        </is>
      </c>
    </row>
    <row r="90">
      <c r="A90" t="n">
        <v>1970</v>
      </c>
      <c r="B90" t="n">
        <v>169.296728482686</v>
      </c>
      <c r="C90" t="inlineStr">
        <is>
          <t>S1104-B</t>
        </is>
      </c>
      <c r="D90" t="inlineStr">
        <is>
          <t>BLS_ILC_REER_PPI_APPENDIX_11_1</t>
        </is>
      </c>
      <c r="E90" t="inlineStr">
        <is>
          <t>index_2002=100</t>
        </is>
      </c>
    </row>
    <row r="91">
      <c r="A91" t="n">
        <v>1970</v>
      </c>
      <c r="B91" t="n">
        <v>83.39073705697395</v>
      </c>
      <c r="C91" t="inlineStr">
        <is>
          <t>S1104-C</t>
        </is>
      </c>
      <c r="D91" t="inlineStr">
        <is>
          <t>WB_GDP_MKTP_KD_US_EU12</t>
        </is>
      </c>
      <c r="E91" t="inlineStr">
        <is>
          <t>index_2002=100</t>
        </is>
      </c>
    </row>
    <row r="92">
      <c r="A92" t="n">
        <v>1971</v>
      </c>
      <c r="B92" t="n">
        <v>-0.05215962390223199</v>
      </c>
      <c r="C92" t="inlineStr">
        <is>
          <t>S1104-A</t>
        </is>
      </c>
      <c r="D92" t="inlineStr">
        <is>
          <t>IMF_IFS_XM_APPENDIX_11_1</t>
        </is>
      </c>
      <c r="E92" t="inlineStr">
        <is>
          <t>net_trade_ratio_dimensionless</t>
        </is>
      </c>
    </row>
    <row r="93">
      <c r="A93" t="n">
        <v>1971</v>
      </c>
      <c r="B93" t="n">
        <v>161.2842108190799</v>
      </c>
      <c r="C93" t="inlineStr">
        <is>
          <t>S1104-B</t>
        </is>
      </c>
      <c r="D93" t="inlineStr">
        <is>
          <t>BLS_ILC_REER_PPI_APPENDIX_11_1</t>
        </is>
      </c>
      <c r="E93" t="inlineStr">
        <is>
          <t>index_2002=100</t>
        </is>
      </c>
    </row>
    <row r="94">
      <c r="A94" t="n">
        <v>1971</v>
      </c>
      <c r="B94" t="n">
        <v>83.32074889918066</v>
      </c>
      <c r="C94" t="inlineStr">
        <is>
          <t>S1104-C</t>
        </is>
      </c>
      <c r="D94" t="inlineStr">
        <is>
          <t>WB_GDP_MKTP_KD_US_EU12</t>
        </is>
      </c>
      <c r="E94" t="inlineStr">
        <is>
          <t>index_2002=100</t>
        </is>
      </c>
    </row>
    <row r="95">
      <c r="A95" t="n">
        <v>1972</v>
      </c>
      <c r="B95" t="n">
        <v>-0.08942171551253458</v>
      </c>
      <c r="C95" t="inlineStr">
        <is>
          <t>S1104-A</t>
        </is>
      </c>
      <c r="D95" t="inlineStr">
        <is>
          <t>IMF_IFS_XM_APPENDIX_11_1</t>
        </is>
      </c>
      <c r="E95" t="inlineStr">
        <is>
          <t>net_trade_ratio_dimensionless</t>
        </is>
      </c>
    </row>
    <row r="96">
      <c r="A96" t="n">
        <v>1972</v>
      </c>
      <c r="B96" t="n">
        <v>144.5873269765595</v>
      </c>
      <c r="C96" t="inlineStr">
        <is>
          <t>S1104-B</t>
        </is>
      </c>
      <c r="D96" t="inlineStr">
        <is>
          <t>BLS_ILC_REER_PPI_APPENDIX_11_1</t>
        </is>
      </c>
      <c r="E96" t="inlineStr">
        <is>
          <t>index_2002=100</t>
        </is>
      </c>
    </row>
    <row r="97">
      <c r="A97" t="n">
        <v>1972</v>
      </c>
      <c r="B97" t="n">
        <v>83.88947997363982</v>
      </c>
      <c r="C97" t="inlineStr">
        <is>
          <t>S1104-C</t>
        </is>
      </c>
      <c r="D97" t="inlineStr">
        <is>
          <t>WB_GDP_MKTP_KD_US_EU12</t>
        </is>
      </c>
      <c r="E97" t="inlineStr">
        <is>
          <t>index_2002=100</t>
        </is>
      </c>
    </row>
    <row r="98">
      <c r="A98" t="n">
        <v>1973</v>
      </c>
      <c r="B98" t="n">
        <v>-0.01903805533432598</v>
      </c>
      <c r="C98" t="inlineStr">
        <is>
          <t>S1104-A</t>
        </is>
      </c>
      <c r="D98" t="inlineStr">
        <is>
          <t>IMF_IFS_XM_APPENDIX_11_1</t>
        </is>
      </c>
      <c r="E98" t="inlineStr">
        <is>
          <t>net_trade_ratio_dimensionless</t>
        </is>
      </c>
    </row>
    <row r="99">
      <c r="A99" t="n">
        <v>1973</v>
      </c>
      <c r="B99" t="n">
        <v>122.4028336345354</v>
      </c>
      <c r="C99" t="inlineStr">
        <is>
          <t>S1104-B</t>
        </is>
      </c>
      <c r="D99" t="inlineStr">
        <is>
          <t>BLS_ILC_REER_PPI_APPENDIX_11_1</t>
        </is>
      </c>
      <c r="E99" t="inlineStr">
        <is>
          <t>index_2002=100</t>
        </is>
      </c>
    </row>
    <row r="100">
      <c r="A100" t="n">
        <v>1973</v>
      </c>
      <c r="B100" t="n">
        <v>83.34307297660796</v>
      </c>
      <c r="C100" t="inlineStr">
        <is>
          <t>S1104-C</t>
        </is>
      </c>
      <c r="D100" t="inlineStr">
        <is>
          <t>WB_GDP_MKTP_KD_US_EU12</t>
        </is>
      </c>
      <c r="E100" t="inlineStr">
        <is>
          <t>index_2002=100</t>
        </is>
      </c>
    </row>
    <row r="101">
      <c r="A101" t="n">
        <v>1974</v>
      </c>
      <c r="B101" t="n">
        <v>-0.05259747993235357</v>
      </c>
      <c r="C101" t="inlineStr">
        <is>
          <t>S1104-A</t>
        </is>
      </c>
      <c r="D101" t="inlineStr">
        <is>
          <t>IMF_IFS_XM_APPENDIX_11_1</t>
        </is>
      </c>
      <c r="E101" t="inlineStr">
        <is>
          <t>net_trade_ratio_dimensionless</t>
        </is>
      </c>
    </row>
    <row r="102">
      <c r="A102" t="n">
        <v>1974</v>
      </c>
      <c r="B102" t="n">
        <v>120.1531499450135</v>
      </c>
      <c r="C102" t="inlineStr">
        <is>
          <t>S1104-B</t>
        </is>
      </c>
      <c r="D102" t="inlineStr">
        <is>
          <t>BLS_ILC_REER_PPI_APPENDIX_11_1</t>
        </is>
      </c>
      <c r="E102" t="inlineStr">
        <is>
          <t>index_2002=100</t>
        </is>
      </c>
    </row>
    <row r="103">
      <c r="A103" t="n">
        <v>1974</v>
      </c>
      <c r="B103" t="n">
        <v>81.15403596846303</v>
      </c>
      <c r="C103" t="inlineStr">
        <is>
          <t>S1104-C</t>
        </is>
      </c>
      <c r="D103" t="inlineStr">
        <is>
          <t>WB_GDP_MKTP_KD_US_EU12</t>
        </is>
      </c>
      <c r="E103" t="inlineStr">
        <is>
          <t>index_2002=100</t>
        </is>
      </c>
    </row>
    <row r="104">
      <c r="A104" t="n">
        <v>1975</v>
      </c>
      <c r="B104" t="n">
        <v>0.0138541564797869</v>
      </c>
      <c r="C104" t="inlineStr">
        <is>
          <t>S1104-A</t>
        </is>
      </c>
      <c r="D104" t="inlineStr">
        <is>
          <t>IMF_IFS_XM_APPENDIX_11_1</t>
        </is>
      </c>
      <c r="E104" t="inlineStr">
        <is>
          <t>net_trade_ratio_dimensionless</t>
        </is>
      </c>
    </row>
    <row r="105">
      <c r="A105" t="n">
        <v>1975</v>
      </c>
      <c r="B105" t="n">
        <v>121.6987289374919</v>
      </c>
      <c r="C105" t="inlineStr">
        <is>
          <t>S1104-B</t>
        </is>
      </c>
      <c r="D105" t="inlineStr">
        <is>
          <t>BLS_ILC_REER_PPI_APPENDIX_11_1</t>
        </is>
      </c>
      <c r="E105" t="inlineStr">
        <is>
          <t>index_2002=100</t>
        </is>
      </c>
    </row>
    <row r="106">
      <c r="A106" t="n">
        <v>1975</v>
      </c>
      <c r="B106" t="n">
        <v>81.65598376965598</v>
      </c>
      <c r="C106" t="inlineStr">
        <is>
          <t>S1104-C</t>
        </is>
      </c>
      <c r="D106" t="inlineStr">
        <is>
          <t>WB_GDP_MKTP_KD_US_EU12</t>
        </is>
      </c>
      <c r="E106" t="inlineStr">
        <is>
          <t>index_2002=100</t>
        </is>
      </c>
    </row>
    <row r="107">
      <c r="A107" t="n">
        <v>1976</v>
      </c>
      <c r="B107" t="n">
        <v>-0.06299064145917822</v>
      </c>
      <c r="C107" t="inlineStr">
        <is>
          <t>S1104-A</t>
        </is>
      </c>
      <c r="D107" t="inlineStr">
        <is>
          <t>IMF_IFS_XM_APPENDIX_11_1</t>
        </is>
      </c>
      <c r="E107" t="inlineStr">
        <is>
          <t>net_trade_ratio_dimensionless</t>
        </is>
      </c>
    </row>
    <row r="108">
      <c r="A108" t="n">
        <v>1976</v>
      </c>
      <c r="B108" t="n">
        <v>125.9678220904656</v>
      </c>
      <c r="C108" t="inlineStr">
        <is>
          <t>S1104-B</t>
        </is>
      </c>
      <c r="D108" t="inlineStr">
        <is>
          <t>BLS_ILC_REER_PPI_APPENDIX_11_1</t>
        </is>
      </c>
      <c r="E108" t="inlineStr">
        <is>
          <t>index_2002=100</t>
        </is>
      </c>
    </row>
    <row r="109">
      <c r="A109" t="n">
        <v>1976</v>
      </c>
      <c r="B109" t="n">
        <v>82.19423360705062</v>
      </c>
      <c r="C109" t="inlineStr">
        <is>
          <t>S1104-C</t>
        </is>
      </c>
      <c r="D109" t="inlineStr">
        <is>
          <t>WB_GDP_MKTP_KD_US_EU12</t>
        </is>
      </c>
      <c r="E109" t="inlineStr">
        <is>
          <t>index_2002=100</t>
        </is>
      </c>
    </row>
    <row r="110">
      <c r="A110" t="n">
        <v>1977</v>
      </c>
      <c r="B110" t="n">
        <v>-0.1312761598487974</v>
      </c>
      <c r="C110" t="inlineStr">
        <is>
          <t>S1104-A</t>
        </is>
      </c>
      <c r="D110" t="inlineStr">
        <is>
          <t>IMF_IFS_XM_APPENDIX_11_1</t>
        </is>
      </c>
      <c r="E110" t="inlineStr">
        <is>
          <t>net_trade_ratio_dimensionless</t>
        </is>
      </c>
    </row>
    <row r="111">
      <c r="A111" t="n">
        <v>1977</v>
      </c>
      <c r="B111" t="n">
        <v>122.5089980929712</v>
      </c>
      <c r="C111" t="inlineStr">
        <is>
          <t>S1104-B</t>
        </is>
      </c>
      <c r="D111" t="inlineStr">
        <is>
          <t>BLS_ILC_REER_PPI_APPENDIX_11_1</t>
        </is>
      </c>
      <c r="E111" t="inlineStr">
        <is>
          <t>index_2002=100</t>
        </is>
      </c>
    </row>
    <row r="112">
      <c r="A112" t="n">
        <v>1977</v>
      </c>
      <c r="B112" t="n">
        <v>83.55538847899304</v>
      </c>
      <c r="C112" t="inlineStr">
        <is>
          <t>S1104-C</t>
        </is>
      </c>
      <c r="D112" t="inlineStr">
        <is>
          <t>WB_GDP_MKTP_KD_US_EU12</t>
        </is>
      </c>
      <c r="E112" t="inlineStr">
        <is>
          <t>index_2002=100</t>
        </is>
      </c>
    </row>
    <row r="113">
      <c r="A113" t="n">
        <v>1978</v>
      </c>
      <c r="B113" t="n">
        <v>-0.1211203610802277</v>
      </c>
      <c r="C113" t="inlineStr">
        <is>
          <t>S1104-A</t>
        </is>
      </c>
      <c r="D113" t="inlineStr">
        <is>
          <t>IMF_IFS_XM_APPENDIX_11_1</t>
        </is>
      </c>
      <c r="E113" t="inlineStr">
        <is>
          <t>net_trade_ratio_dimensionless</t>
        </is>
      </c>
    </row>
    <row r="114">
      <c r="A114" t="n">
        <v>1978</v>
      </c>
      <c r="B114" t="n">
        <v>110.0220533461667</v>
      </c>
      <c r="C114" t="inlineStr">
        <is>
          <t>S1104-B</t>
        </is>
      </c>
      <c r="D114" t="inlineStr">
        <is>
          <t>BLS_ILC_REER_PPI_APPENDIX_11_1</t>
        </is>
      </c>
      <c r="E114" t="inlineStr">
        <is>
          <t>index_2002=100</t>
        </is>
      </c>
    </row>
    <row r="115">
      <c r="A115" t="n">
        <v>1978</v>
      </c>
      <c r="B115" t="n">
        <v>85.41652950294547</v>
      </c>
      <c r="C115" t="inlineStr">
        <is>
          <t>S1104-C</t>
        </is>
      </c>
      <c r="D115" t="inlineStr">
        <is>
          <t>WB_GDP_MKTP_KD_US_EU12</t>
        </is>
      </c>
      <c r="E115" t="inlineStr">
        <is>
          <t>index_2002=100</t>
        </is>
      </c>
    </row>
    <row r="116">
      <c r="A116" t="n">
        <v>1979</v>
      </c>
      <c r="B116" t="n">
        <v>-0.0877705659490734</v>
      </c>
      <c r="C116" t="inlineStr">
        <is>
          <t>S1104-A</t>
        </is>
      </c>
      <c r="D116" t="inlineStr">
        <is>
          <t>IMF_IFS_XM_APPENDIX_11_1</t>
        </is>
      </c>
      <c r="E116" t="inlineStr">
        <is>
          <t>net_trade_ratio_dimensionless</t>
        </is>
      </c>
    </row>
    <row r="117">
      <c r="A117" t="n">
        <v>1979</v>
      </c>
      <c r="B117" t="n">
        <v>105.4261236544648</v>
      </c>
      <c r="C117" t="inlineStr">
        <is>
          <t>S1104-B</t>
        </is>
      </c>
      <c r="D117" t="inlineStr">
        <is>
          <t>BLS_ILC_REER_PPI_APPENDIX_11_1</t>
        </is>
      </c>
      <c r="E117" t="inlineStr">
        <is>
          <t>index_2002=100</t>
        </is>
      </c>
    </row>
    <row r="118">
      <c r="A118" t="n">
        <v>1979</v>
      </c>
      <c r="B118" t="n">
        <v>85.05778630322938</v>
      </c>
      <c r="C118" t="inlineStr">
        <is>
          <t>S1104-C</t>
        </is>
      </c>
      <c r="D118" t="inlineStr">
        <is>
          <t>WB_GDP_MKTP_KD_US_EU12</t>
        </is>
      </c>
      <c r="E118" t="inlineStr">
        <is>
          <t>index_2002=100</t>
        </is>
      </c>
    </row>
    <row r="119">
      <c r="A119" t="n">
        <v>1980</v>
      </c>
      <c r="B119" t="n">
        <v>-0.06511021632946569</v>
      </c>
      <c r="C119" t="inlineStr">
        <is>
          <t>S1104-A</t>
        </is>
      </c>
      <c r="D119" t="inlineStr">
        <is>
          <t>IMF_IFS_XM_APPENDIX_11_1</t>
        </is>
      </c>
      <c r="E119" t="inlineStr">
        <is>
          <t>net_trade_ratio_dimensionless</t>
        </is>
      </c>
    </row>
    <row r="120">
      <c r="A120" t="n">
        <v>1980</v>
      </c>
      <c r="B120" t="n">
        <v>104.9187310503267</v>
      </c>
      <c r="C120" t="inlineStr">
        <is>
          <t>S1104-B</t>
        </is>
      </c>
      <c r="D120" t="inlineStr">
        <is>
          <t>BLS_ILC_REER_PPI_APPENDIX_11_1</t>
        </is>
      </c>
      <c r="E120" t="inlineStr">
        <is>
          <t>index_2002=100</t>
        </is>
      </c>
    </row>
    <row r="121">
      <c r="A121" t="n">
        <v>1980</v>
      </c>
      <c r="B121" t="n">
        <v>83.77633066464389</v>
      </c>
      <c r="C121" t="inlineStr">
        <is>
          <t>S1104-C</t>
        </is>
      </c>
      <c r="D121" t="inlineStr">
        <is>
          <t>WB_GDP_MKTP_KD_US_EU12</t>
        </is>
      </c>
      <c r="E121" t="inlineStr">
        <is>
          <t>index_2002=100</t>
        </is>
      </c>
    </row>
    <row r="122">
      <c r="A122" t="n">
        <v>1981</v>
      </c>
      <c r="B122" t="n">
        <v>-0.06764153909546992</v>
      </c>
      <c r="C122" t="inlineStr">
        <is>
          <t>S1104-A</t>
        </is>
      </c>
      <c r="D122" t="inlineStr">
        <is>
          <t>IMF_IFS_XM_APPENDIX_11_1</t>
        </is>
      </c>
      <c r="E122" t="inlineStr">
        <is>
          <t>net_trade_ratio_dimensionless</t>
        </is>
      </c>
    </row>
    <row r="123">
      <c r="A123" t="n">
        <v>1981</v>
      </c>
      <c r="B123" t="n">
        <v>122.6375301210817</v>
      </c>
      <c r="C123" t="inlineStr">
        <is>
          <t>S1104-B</t>
        </is>
      </c>
      <c r="D123" t="inlineStr">
        <is>
          <t>BLS_ILC_REER_PPI_APPENDIX_11_1</t>
        </is>
      </c>
      <c r="E123" t="inlineStr">
        <is>
          <t>index_2002=100</t>
        </is>
      </c>
    </row>
    <row r="124">
      <c r="A124" t="n">
        <v>1981</v>
      </c>
      <c r="B124" t="n">
        <v>85.7418837743413</v>
      </c>
      <c r="C124" t="inlineStr">
        <is>
          <t>S1104-C</t>
        </is>
      </c>
      <c r="D124" t="inlineStr">
        <is>
          <t>WB_GDP_MKTP_KD_US_EU12</t>
        </is>
      </c>
      <c r="E124" t="inlineStr">
        <is>
          <t>index_2002=100</t>
        </is>
      </c>
    </row>
    <row r="125">
      <c r="A125" t="n">
        <v>1982</v>
      </c>
      <c r="B125" t="n">
        <v>-0.08156138214314508</v>
      </c>
      <c r="C125" t="inlineStr">
        <is>
          <t>S1104-A</t>
        </is>
      </c>
      <c r="D125" t="inlineStr">
        <is>
          <t>IMF_IFS_XM_APPENDIX_11_1</t>
        </is>
      </c>
      <c r="E125" t="inlineStr">
        <is>
          <t>net_trade_ratio_dimensionless</t>
        </is>
      </c>
    </row>
    <row r="126">
      <c r="A126" t="n">
        <v>1982</v>
      </c>
      <c r="B126" t="n">
        <v>137.1337152064278</v>
      </c>
      <c r="C126" t="inlineStr">
        <is>
          <t>S1104-B</t>
        </is>
      </c>
      <c r="D126" t="inlineStr">
        <is>
          <t>BLS_ILC_REER_PPI_APPENDIX_11_1</t>
        </is>
      </c>
      <c r="E126" t="inlineStr">
        <is>
          <t>index_2002=100</t>
        </is>
      </c>
    </row>
    <row r="127">
      <c r="A127" t="n">
        <v>1982</v>
      </c>
      <c r="B127" t="n">
        <v>83.42058391994367</v>
      </c>
      <c r="C127" t="inlineStr">
        <is>
          <t>S1104-C</t>
        </is>
      </c>
      <c r="D127" t="inlineStr">
        <is>
          <t>WB_GDP_MKTP_KD_US_EU12</t>
        </is>
      </c>
      <c r="E127" t="inlineStr">
        <is>
          <t>index_2002=100</t>
        </is>
      </c>
    </row>
    <row r="128">
      <c r="A128" t="n">
        <v>1983</v>
      </c>
      <c r="B128" t="n">
        <v>-0.1350929619761228</v>
      </c>
      <c r="C128" t="inlineStr">
        <is>
          <t>S1104-A</t>
        </is>
      </c>
      <c r="D128" t="inlineStr">
        <is>
          <t>IMF_IFS_XM_APPENDIX_11_1</t>
        </is>
      </c>
      <c r="E128" t="inlineStr">
        <is>
          <t>net_trade_ratio_dimensionless</t>
        </is>
      </c>
    </row>
    <row r="129">
      <c r="A129" t="n">
        <v>1983</v>
      </c>
      <c r="B129" t="n">
        <v>142.2153919641929</v>
      </c>
      <c r="C129" t="inlineStr">
        <is>
          <t>S1104-B</t>
        </is>
      </c>
      <c r="D129" t="inlineStr">
        <is>
          <t>BLS_ILC_REER_PPI_APPENDIX_11_1</t>
        </is>
      </c>
      <c r="E129" t="inlineStr">
        <is>
          <t>index_2002=100</t>
        </is>
      </c>
    </row>
    <row r="130">
      <c r="A130" t="n">
        <v>1983</v>
      </c>
      <c r="B130" t="n">
        <v>85.74451292444436</v>
      </c>
      <c r="C130" t="inlineStr">
        <is>
          <t>S1104-C</t>
        </is>
      </c>
      <c r="D130" t="inlineStr">
        <is>
          <t>WB_GDP_MKTP_KD_US_EU12</t>
        </is>
      </c>
      <c r="E130" t="inlineStr">
        <is>
          <t>index_2002=100</t>
        </is>
      </c>
    </row>
    <row r="131">
      <c r="A131" t="n">
        <v>1984</v>
      </c>
      <c r="B131" t="n">
        <v>-0.2145864126423057</v>
      </c>
      <c r="C131" t="inlineStr">
        <is>
          <t>S1104-A</t>
        </is>
      </c>
      <c r="D131" t="inlineStr">
        <is>
          <t>IMF_IFS_XM_APPENDIX_11_1</t>
        </is>
      </c>
      <c r="E131" t="inlineStr">
        <is>
          <t>net_trade_ratio_dimensionless</t>
        </is>
      </c>
    </row>
    <row r="132">
      <c r="A132" t="n">
        <v>1984</v>
      </c>
      <c r="B132" t="n">
        <v>150.7851808112382</v>
      </c>
      <c r="C132" t="inlineStr">
        <is>
          <t>S1104-B</t>
        </is>
      </c>
      <c r="D132" t="inlineStr">
        <is>
          <t>BLS_ILC_REER_PPI_APPENDIX_11_1</t>
        </is>
      </c>
      <c r="E132" t="inlineStr">
        <is>
          <t>index_2002=100</t>
        </is>
      </c>
    </row>
    <row r="133">
      <c r="A133" t="n">
        <v>1984</v>
      </c>
      <c r="B133" t="n">
        <v>89.6707687778586</v>
      </c>
      <c r="C133" t="inlineStr">
        <is>
          <t>S1104-C</t>
        </is>
      </c>
      <c r="D133" t="inlineStr">
        <is>
          <t>WB_GDP_MKTP_KD_US_EU12</t>
        </is>
      </c>
      <c r="E133" t="inlineStr">
        <is>
          <t>index_2002=100</t>
        </is>
      </c>
    </row>
    <row r="134">
      <c r="A134" t="n">
        <v>1985</v>
      </c>
      <c r="B134" t="n">
        <v>-0.2339456446773725</v>
      </c>
      <c r="C134" t="inlineStr">
        <is>
          <t>S1104-A</t>
        </is>
      </c>
      <c r="D134" t="inlineStr">
        <is>
          <t>IMF_IFS_XM_APPENDIX_11_1</t>
        </is>
      </c>
      <c r="E134" t="inlineStr">
        <is>
          <t>net_trade_ratio_dimensionless</t>
        </is>
      </c>
    </row>
    <row r="135">
      <c r="A135" t="n">
        <v>1985</v>
      </c>
      <c r="B135" t="n">
        <v>151.6483989139974</v>
      </c>
      <c r="C135" t="inlineStr">
        <is>
          <t>S1104-B</t>
        </is>
      </c>
      <c r="D135" t="inlineStr">
        <is>
          <t>BLS_ILC_REER_PPI_APPENDIX_11_1</t>
        </is>
      </c>
      <c r="E135" t="inlineStr">
        <is>
          <t>index_2002=100</t>
        </is>
      </c>
    </row>
    <row r="136">
      <c r="A136" t="n">
        <v>1985</v>
      </c>
      <c r="B136" t="n">
        <v>91.0825930339802</v>
      </c>
      <c r="C136" t="inlineStr">
        <is>
          <t>S1104-C</t>
        </is>
      </c>
      <c r="D136" t="inlineStr">
        <is>
          <t>WB_GDP_MKTP_KD_US_EU12</t>
        </is>
      </c>
      <c r="E136" t="inlineStr">
        <is>
          <t>index_2002=100</t>
        </is>
      </c>
    </row>
    <row r="137">
      <c r="A137" t="n">
        <v>1986</v>
      </c>
      <c r="B137" t="n">
        <v>-0.2545499891705992</v>
      </c>
      <c r="C137" t="inlineStr">
        <is>
          <t>S1104-A</t>
        </is>
      </c>
      <c r="D137" t="inlineStr">
        <is>
          <t>IMF_IFS_XM_APPENDIX_11_1</t>
        </is>
      </c>
      <c r="E137" t="inlineStr">
        <is>
          <t>net_trade_ratio_dimensionless</t>
        </is>
      </c>
    </row>
    <row r="138">
      <c r="A138" t="n">
        <v>1986</v>
      </c>
      <c r="B138" t="n">
        <v>118.9947091346404</v>
      </c>
      <c r="C138" t="inlineStr">
        <is>
          <t>S1104-B</t>
        </is>
      </c>
      <c r="D138" t="inlineStr">
        <is>
          <t>BLS_ILC_REER_PPI_APPENDIX_11_1</t>
        </is>
      </c>
      <c r="E138" t="inlineStr">
        <is>
          <t>index_2002=100</t>
        </is>
      </c>
    </row>
    <row r="139">
      <c r="A139" t="n">
        <v>1986</v>
      </c>
      <c r="B139" t="n">
        <v>91.6293143646532</v>
      </c>
      <c r="C139" t="inlineStr">
        <is>
          <t>S1104-C</t>
        </is>
      </c>
      <c r="D139" t="inlineStr">
        <is>
          <t>WB_GDP_MKTP_KD_US_EU12</t>
        </is>
      </c>
      <c r="E139" t="inlineStr">
        <is>
          <t>index_2002=100</t>
        </is>
      </c>
    </row>
    <row r="140">
      <c r="A140" t="n">
        <v>1987</v>
      </c>
      <c r="B140" t="n">
        <v>-0.2510017463323337</v>
      </c>
      <c r="C140" t="inlineStr">
        <is>
          <t>S1104-A</t>
        </is>
      </c>
      <c r="D140" t="inlineStr">
        <is>
          <t>IMF_IFS_XM_APPENDIX_11_1</t>
        </is>
      </c>
      <c r="E140" t="inlineStr">
        <is>
          <t>net_trade_ratio_dimensionless</t>
        </is>
      </c>
    </row>
    <row r="141">
      <c r="A141" t="n">
        <v>1987</v>
      </c>
      <c r="B141" t="n">
        <v>99.16822696183357</v>
      </c>
      <c r="C141" t="inlineStr">
        <is>
          <t>S1104-B</t>
        </is>
      </c>
      <c r="D141" t="inlineStr">
        <is>
          <t>BLS_ILC_REER_PPI_APPENDIX_11_1</t>
        </is>
      </c>
      <c r="E141" t="inlineStr">
        <is>
          <t>index_2002=100</t>
        </is>
      </c>
    </row>
    <row r="142">
      <c r="A142" t="n">
        <v>1987</v>
      </c>
      <c r="B142" t="n">
        <v>92.15176835205028</v>
      </c>
      <c r="C142" t="inlineStr">
        <is>
          <t>S1104-C</t>
        </is>
      </c>
      <c r="D142" t="inlineStr">
        <is>
          <t>WB_GDP_MKTP_KD_US_EU12</t>
        </is>
      </c>
      <c r="E142" t="inlineStr">
        <is>
          <t>index_2002=100</t>
        </is>
      </c>
    </row>
    <row r="143">
      <c r="A143" t="n">
        <v>1988</v>
      </c>
      <c r="B143" t="n">
        <v>-0.1753468803151016</v>
      </c>
      <c r="C143" t="inlineStr">
        <is>
          <t>S1104-A</t>
        </is>
      </c>
      <c r="D143" t="inlineStr">
        <is>
          <t>IMF_IFS_XM_APPENDIX_11_1</t>
        </is>
      </c>
      <c r="E143" t="inlineStr">
        <is>
          <t>net_trade_ratio_dimensionless</t>
        </is>
      </c>
    </row>
    <row r="144">
      <c r="A144" t="n">
        <v>1988</v>
      </c>
      <c r="B144" t="n">
        <v>93.78014043514743</v>
      </c>
      <c r="C144" t="inlineStr">
        <is>
          <t>S1104-B</t>
        </is>
      </c>
      <c r="D144" t="inlineStr">
        <is>
          <t>BLS_ILC_REER_PPI_APPENDIX_11_1</t>
        </is>
      </c>
      <c r="E144" t="inlineStr">
        <is>
          <t>index_2002=100</t>
        </is>
      </c>
    </row>
    <row r="145">
      <c r="A145" t="n">
        <v>1988</v>
      </c>
      <c r="B145" t="n">
        <v>91.98685229256304</v>
      </c>
      <c r="C145" t="inlineStr">
        <is>
          <t>S1104-C</t>
        </is>
      </c>
      <c r="D145" t="inlineStr">
        <is>
          <t>WB_GDP_MKTP_KD_US_EU12</t>
        </is>
      </c>
      <c r="E145" t="inlineStr">
        <is>
          <t>index_2002=100</t>
        </is>
      </c>
    </row>
    <row r="146">
      <c r="A146" t="n">
        <v>1989</v>
      </c>
      <c r="B146" t="n">
        <v>-0.1507002173370031</v>
      </c>
      <c r="C146" t="inlineStr">
        <is>
          <t>S1104-A</t>
        </is>
      </c>
      <c r="D146" t="inlineStr">
        <is>
          <t>IMF_IFS_XM_APPENDIX_11_1</t>
        </is>
      </c>
      <c r="E146" t="inlineStr">
        <is>
          <t>net_trade_ratio_dimensionless</t>
        </is>
      </c>
    </row>
    <row r="147">
      <c r="A147" t="n">
        <v>1989</v>
      </c>
      <c r="B147" t="n">
        <v>100.191815114852</v>
      </c>
      <c r="C147" t="inlineStr">
        <is>
          <t>S1104-B</t>
        </is>
      </c>
      <c r="D147" t="inlineStr">
        <is>
          <t>BLS_ILC_REER_PPI_APPENDIX_11_1</t>
        </is>
      </c>
      <c r="E147" t="inlineStr">
        <is>
          <t>index_2002=100</t>
        </is>
      </c>
    </row>
    <row r="148">
      <c r="A148" t="n">
        <v>1989</v>
      </c>
      <c r="B148" t="n">
        <v>91.98740381135623</v>
      </c>
      <c r="C148" t="inlineStr">
        <is>
          <t>S1104-C</t>
        </is>
      </c>
      <c r="D148" t="inlineStr">
        <is>
          <t>WB_GDP_MKTP_KD_US_EU12</t>
        </is>
      </c>
      <c r="E148" t="inlineStr">
        <is>
          <t>index_2002=100</t>
        </is>
      </c>
    </row>
    <row r="149">
      <c r="A149" t="n">
        <v>1990</v>
      </c>
      <c r="B149" t="n">
        <v>-0.1355126792952616</v>
      </c>
      <c r="C149" t="inlineStr">
        <is>
          <t>S1104-A</t>
        </is>
      </c>
      <c r="D149" t="inlineStr">
        <is>
          <t>IMF_IFS_XM_APPENDIX_11_1</t>
        </is>
      </c>
      <c r="E149" t="inlineStr">
        <is>
          <t>net_trade_ratio_dimensionless</t>
        </is>
      </c>
    </row>
    <row r="150">
      <c r="A150" t="n">
        <v>1990</v>
      </c>
      <c r="B150" t="n">
        <v>92.28750390037241</v>
      </c>
      <c r="C150" t="inlineStr">
        <is>
          <t>S1104-B</t>
        </is>
      </c>
      <c r="D150" t="inlineStr">
        <is>
          <t>BLS_ILC_REER_PPI_APPENDIX_11_1</t>
        </is>
      </c>
      <c r="E150" t="inlineStr">
        <is>
          <t>index_2002=100</t>
        </is>
      </c>
    </row>
    <row r="151">
      <c r="A151" t="n">
        <v>1990</v>
      </c>
      <c r="B151" t="n">
        <v>90.94982275398401</v>
      </c>
      <c r="C151" t="inlineStr">
        <is>
          <t>S1104-C</t>
        </is>
      </c>
      <c r="D151" t="inlineStr">
        <is>
          <t>WB_GDP_MKTP_KD_US_EU12</t>
        </is>
      </c>
      <c r="E151" t="inlineStr">
        <is>
          <t>index_2002=100</t>
        </is>
      </c>
    </row>
    <row r="152">
      <c r="A152" t="n">
        <v>1991</v>
      </c>
      <c r="B152" t="n">
        <v>-0.09314444899596062</v>
      </c>
      <c r="C152" t="inlineStr">
        <is>
          <t>S1104-A</t>
        </is>
      </c>
      <c r="D152" t="inlineStr">
        <is>
          <t>IMF_IFS_XM_APPENDIX_11_1</t>
        </is>
      </c>
      <c r="E152" t="inlineStr">
        <is>
          <t>net_trade_ratio_dimensionless</t>
        </is>
      </c>
    </row>
    <row r="153">
      <c r="A153" t="n">
        <v>1991</v>
      </c>
      <c r="B153" t="n">
        <v>93.56926985420965</v>
      </c>
      <c r="C153" t="inlineStr">
        <is>
          <t>S1104-B</t>
        </is>
      </c>
      <c r="D153" t="inlineStr">
        <is>
          <t>BLS_ILC_REER_PPI_APPENDIX_11_1</t>
        </is>
      </c>
      <c r="E153" t="inlineStr">
        <is>
          <t>index_2002=100</t>
        </is>
      </c>
    </row>
    <row r="154">
      <c r="A154" t="n">
        <v>1991</v>
      </c>
      <c r="B154" t="n">
        <v>88.99142374088407</v>
      </c>
      <c r="C154" t="inlineStr">
        <is>
          <t>S1104-C</t>
        </is>
      </c>
      <c r="D154" t="inlineStr">
        <is>
          <t>WB_GDP_MKTP_KD_US_EU12</t>
        </is>
      </c>
      <c r="E154" t="inlineStr">
        <is>
          <t>index_2002=100</t>
        </is>
      </c>
    </row>
    <row r="155">
      <c r="A155" t="n">
        <v>1992</v>
      </c>
      <c r="B155" t="n">
        <v>-0.1055398438856545</v>
      </c>
      <c r="C155" t="inlineStr">
        <is>
          <t>S1104-A</t>
        </is>
      </c>
      <c r="D155" t="inlineStr">
        <is>
          <t>IMF_IFS_XM_APPENDIX_11_1</t>
        </is>
      </c>
      <c r="E155" t="inlineStr">
        <is>
          <t>net_trade_ratio_dimensionless</t>
        </is>
      </c>
    </row>
    <row r="156">
      <c r="A156" t="n">
        <v>1992</v>
      </c>
      <c r="B156" t="n">
        <v>89.51297559978933</v>
      </c>
      <c r="C156" t="inlineStr">
        <is>
          <t>S1104-B</t>
        </is>
      </c>
      <c r="D156" t="inlineStr">
        <is>
          <t>BLS_ILC_REER_PPI_APPENDIX_11_1</t>
        </is>
      </c>
      <c r="E156" t="inlineStr">
        <is>
          <t>index_2002=100</t>
        </is>
      </c>
    </row>
    <row r="157">
      <c r="A157" t="n">
        <v>1992</v>
      </c>
      <c r="B157" t="n">
        <v>90.79772916380139</v>
      </c>
      <c r="C157" t="inlineStr">
        <is>
          <t>S1104-C</t>
        </is>
      </c>
      <c r="D157" t="inlineStr">
        <is>
          <t>WB_GDP_MKTP_KD_US_EU12</t>
        </is>
      </c>
      <c r="E157" t="inlineStr">
        <is>
          <t>index_2002=100</t>
        </is>
      </c>
    </row>
    <row r="158">
      <c r="A158" t="n">
        <v>1993</v>
      </c>
      <c r="B158" t="n">
        <v>-0.1298104962409112</v>
      </c>
      <c r="C158" t="inlineStr">
        <is>
          <t>S1104-A</t>
        </is>
      </c>
      <c r="D158" t="inlineStr">
        <is>
          <t>IMF_IFS_XM_APPENDIX_11_1</t>
        </is>
      </c>
      <c r="E158" t="inlineStr">
        <is>
          <t>net_trade_ratio_dimensionless</t>
        </is>
      </c>
    </row>
    <row r="159">
      <c r="A159" t="n">
        <v>1993</v>
      </c>
      <c r="B159" t="n">
        <v>94.81890206484464</v>
      </c>
      <c r="C159" t="inlineStr">
        <is>
          <t>S1104-B</t>
        </is>
      </c>
      <c r="D159" t="inlineStr">
        <is>
          <t>BLS_ILC_REER_PPI_APPENDIX_11_1</t>
        </is>
      </c>
      <c r="E159" t="inlineStr">
        <is>
          <t>index_2002=100</t>
        </is>
      </c>
    </row>
    <row r="160">
      <c r="A160" t="n">
        <v>1993</v>
      </c>
      <c r="B160" t="n">
        <v>93.21452491322471</v>
      </c>
      <c r="C160" t="inlineStr">
        <is>
          <t>S1104-C</t>
        </is>
      </c>
      <c r="D160" t="inlineStr">
        <is>
          <t>WB_GDP_MKTP_KD_US_EU12</t>
        </is>
      </c>
      <c r="E160" t="inlineStr">
        <is>
          <t>index_2002=100</t>
        </is>
      </c>
    </row>
    <row r="161">
      <c r="A161" t="n">
        <v>1994</v>
      </c>
      <c r="B161" t="n">
        <v>-0.146931127386129</v>
      </c>
      <c r="C161" t="inlineStr">
        <is>
          <t>S1104-A</t>
        </is>
      </c>
      <c r="D161" t="inlineStr">
        <is>
          <t>IMF_IFS_XM_APPENDIX_11_1</t>
        </is>
      </c>
      <c r="E161" t="inlineStr">
        <is>
          <t>net_trade_ratio_dimensionless</t>
        </is>
      </c>
    </row>
    <row r="162">
      <c r="A162" t="n">
        <v>1994</v>
      </c>
      <c r="B162" t="n">
        <v>92.11064663476084</v>
      </c>
      <c r="C162" t="inlineStr">
        <is>
          <t>S1104-B</t>
        </is>
      </c>
      <c r="D162" t="inlineStr">
        <is>
          <t>BLS_ILC_REER_PPI_APPENDIX_11_1</t>
        </is>
      </c>
      <c r="E162" t="inlineStr">
        <is>
          <t>index_2002=100</t>
        </is>
      </c>
    </row>
    <row r="163">
      <c r="A163" t="n">
        <v>1994</v>
      </c>
      <c r="B163" t="n">
        <v>94.1506238773282</v>
      </c>
      <c r="C163" t="inlineStr">
        <is>
          <t>S1104-C</t>
        </is>
      </c>
      <c r="D163" t="inlineStr">
        <is>
          <t>WB_GDP_MKTP_KD_US_EU12</t>
        </is>
      </c>
      <c r="E163" t="inlineStr">
        <is>
          <t>index_2002=100</t>
        </is>
      </c>
    </row>
    <row r="164">
      <c r="A164" t="n">
        <v>1995</v>
      </c>
      <c r="B164" t="n">
        <v>-0.1372895296899148</v>
      </c>
      <c r="C164" t="inlineStr">
        <is>
          <t>S1104-A</t>
        </is>
      </c>
      <c r="D164" t="inlineStr">
        <is>
          <t>IMF_IFS_XM_APPENDIX_11_1</t>
        </is>
      </c>
      <c r="E164" t="inlineStr">
        <is>
          <t>net_trade_ratio_dimensionless</t>
        </is>
      </c>
    </row>
    <row r="165">
      <c r="A165" t="n">
        <v>1995</v>
      </c>
      <c r="B165" t="n">
        <v>82.98236681177458</v>
      </c>
      <c r="C165" t="inlineStr">
        <is>
          <t>S1104-B</t>
        </is>
      </c>
      <c r="D165" t="inlineStr">
        <is>
          <t>BLS_ILC_REER_PPI_APPENDIX_11_1</t>
        </is>
      </c>
      <c r="E165" t="inlineStr">
        <is>
          <t>index_2002=100</t>
        </is>
      </c>
    </row>
    <row r="166">
      <c r="A166" t="n">
        <v>1995</v>
      </c>
      <c r="B166" t="n">
        <v>94.21871234547761</v>
      </c>
      <c r="C166" t="inlineStr">
        <is>
          <t>S1104-C</t>
        </is>
      </c>
      <c r="D166" t="inlineStr">
        <is>
          <t>WB_GDP_MKTP_KD_US_EU12</t>
        </is>
      </c>
      <c r="E166" t="inlineStr">
        <is>
          <t>index_2002=100</t>
        </is>
      </c>
    </row>
    <row r="167">
      <c r="A167" t="n">
        <v>1996</v>
      </c>
      <c r="B167" t="n">
        <v>-0.1361013559551599</v>
      </c>
      <c r="C167" t="inlineStr">
        <is>
          <t>S1104-A</t>
        </is>
      </c>
      <c r="D167" t="inlineStr">
        <is>
          <t>IMF_IFS_XM_APPENDIX_11_1</t>
        </is>
      </c>
      <c r="E167" t="inlineStr">
        <is>
          <t>net_trade_ratio_dimensionless</t>
        </is>
      </c>
    </row>
    <row r="168">
      <c r="A168" t="n">
        <v>1996</v>
      </c>
      <c r="B168" t="n">
        <v>85.03294589111988</v>
      </c>
      <c r="C168" t="inlineStr">
        <is>
          <t>S1104-B</t>
        </is>
      </c>
      <c r="D168" t="inlineStr">
        <is>
          <t>BLS_ILC_REER_PPI_APPENDIX_11_1</t>
        </is>
      </c>
      <c r="E168" t="inlineStr">
        <is>
          <t>index_2002=100</t>
        </is>
      </c>
    </row>
    <row r="169">
      <c r="A169" t="n">
        <v>1996</v>
      </c>
      <c r="B169" t="n">
        <v>96.00072508122571</v>
      </c>
      <c r="C169" t="inlineStr">
        <is>
          <t>S1104-C</t>
        </is>
      </c>
      <c r="D169" t="inlineStr">
        <is>
          <t>WB_GDP_MKTP_KD_US_EU12</t>
        </is>
      </c>
      <c r="E169" t="inlineStr">
        <is>
          <t>index_2002=100</t>
        </is>
      </c>
    </row>
    <row r="170">
      <c r="A170" t="n">
        <v>1997</v>
      </c>
      <c r="B170" t="n">
        <v>-0.1321229919116082</v>
      </c>
      <c r="C170" t="inlineStr">
        <is>
          <t>S1104-A</t>
        </is>
      </c>
      <c r="D170" t="inlineStr">
        <is>
          <t>IMF_IFS_XM_APPENDIX_11_1</t>
        </is>
      </c>
      <c r="E170" t="inlineStr">
        <is>
          <t>net_trade_ratio_dimensionless</t>
        </is>
      </c>
    </row>
    <row r="171">
      <c r="A171" t="n">
        <v>1997</v>
      </c>
      <c r="B171" t="n">
        <v>93.69307680885316</v>
      </c>
      <c r="C171" t="inlineStr">
        <is>
          <t>S1104-B</t>
        </is>
      </c>
      <c r="D171" t="inlineStr">
        <is>
          <t>BLS_ILC_REER_PPI_APPENDIX_11_1</t>
        </is>
      </c>
      <c r="E171" t="inlineStr">
        <is>
          <t>index_2002=100</t>
        </is>
      </c>
    </row>
    <row r="172">
      <c r="A172" t="n">
        <v>1997</v>
      </c>
      <c r="B172" t="n">
        <v>97.27716541283516</v>
      </c>
      <c r="C172" t="inlineStr">
        <is>
          <t>S1104-C</t>
        </is>
      </c>
      <c r="D172" t="inlineStr">
        <is>
          <t>WB_GDP_MKTP_KD_US_EU12</t>
        </is>
      </c>
      <c r="E172" t="inlineStr">
        <is>
          <t>index_2002=100</t>
        </is>
      </c>
    </row>
    <row r="173">
      <c r="A173" t="n">
        <v>1998</v>
      </c>
      <c r="B173" t="n">
        <v>-0.1612151558170319</v>
      </c>
      <c r="C173" t="inlineStr">
        <is>
          <t>S1104-A</t>
        </is>
      </c>
      <c r="D173" t="inlineStr">
        <is>
          <t>IMF_IFS_XM_APPENDIX_11_1</t>
        </is>
      </c>
      <c r="E173" t="inlineStr">
        <is>
          <t>net_trade_ratio_dimensionless</t>
        </is>
      </c>
    </row>
    <row r="174">
      <c r="A174" t="n">
        <v>1998</v>
      </c>
      <c r="B174" t="n">
        <v>95.3158289683217</v>
      </c>
      <c r="C174" t="inlineStr">
        <is>
          <t>S1104-B</t>
        </is>
      </c>
      <c r="D174" t="inlineStr">
        <is>
          <t>BLS_ILC_REER_PPI_APPENDIX_11_1</t>
        </is>
      </c>
      <c r="E174" t="inlineStr">
        <is>
          <t>index_2002=100</t>
        </is>
      </c>
    </row>
    <row r="175">
      <c r="A175" t="n">
        <v>1998</v>
      </c>
      <c r="B175" t="n">
        <v>98.71441174322257</v>
      </c>
      <c r="C175" t="inlineStr">
        <is>
          <t>S1104-C</t>
        </is>
      </c>
      <c r="D175" t="inlineStr">
        <is>
          <t>WB_GDP_MKTP_KD_US_EU12</t>
        </is>
      </c>
      <c r="E175" t="inlineStr">
        <is>
          <t>index_2002=100</t>
        </is>
      </c>
    </row>
    <row r="176">
      <c r="A176" t="n">
        <v>1999</v>
      </c>
      <c r="B176" t="n">
        <v>-0.2071760109888294</v>
      </c>
      <c r="C176" t="inlineStr">
        <is>
          <t>S1104-A</t>
        </is>
      </c>
      <c r="D176" t="inlineStr">
        <is>
          <t>IMF_IFS_XM_APPENDIX_11_1</t>
        </is>
      </c>
      <c r="E176" t="inlineStr">
        <is>
          <t>net_trade_ratio_dimensionless</t>
        </is>
      </c>
    </row>
    <row r="177">
      <c r="A177" t="n">
        <v>1999</v>
      </c>
      <c r="B177" t="n">
        <v>94.73395711133404</v>
      </c>
      <c r="C177" t="inlineStr">
        <is>
          <t>S1104-B</t>
        </is>
      </c>
      <c r="D177" t="inlineStr">
        <is>
          <t>BLS_ILC_REER_PPI_APPENDIX_11_1</t>
        </is>
      </c>
      <c r="E177" t="inlineStr">
        <is>
          <t>index_2002=100</t>
        </is>
      </c>
    </row>
    <row r="178">
      <c r="A178" t="n">
        <v>1999</v>
      </c>
      <c r="B178" t="n">
        <v>100.4416852197407</v>
      </c>
      <c r="C178" t="inlineStr">
        <is>
          <t>S1104-C</t>
        </is>
      </c>
      <c r="D178" t="inlineStr">
        <is>
          <t>WB_GDP_MKTP_KD_US_EU12</t>
        </is>
      </c>
      <c r="E178" t="inlineStr">
        <is>
          <t>index_2002=100</t>
        </is>
      </c>
    </row>
    <row r="179">
      <c r="A179" t="n">
        <v>2000</v>
      </c>
      <c r="B179" t="n">
        <v>-0.2338711494803593</v>
      </c>
      <c r="C179" t="inlineStr">
        <is>
          <t>S1104-A</t>
        </is>
      </c>
      <c r="D179" t="inlineStr">
        <is>
          <t>IMF_IFS_XM_APPENDIX_11_1</t>
        </is>
      </c>
      <c r="E179" t="inlineStr">
        <is>
          <t>net_trade_ratio_dimensionless</t>
        </is>
      </c>
    </row>
    <row r="180">
      <c r="A180" t="n">
        <v>2000</v>
      </c>
      <c r="B180" t="n">
        <v>100.8829469887572</v>
      </c>
      <c r="C180" t="inlineStr">
        <is>
          <t>S1104-B</t>
        </is>
      </c>
      <c r="D180" t="inlineStr">
        <is>
          <t>BLS_ILC_REER_PPI_APPENDIX_11_1</t>
        </is>
      </c>
      <c r="E180" t="inlineStr">
        <is>
          <t>index_2002=100</t>
        </is>
      </c>
    </row>
    <row r="181">
      <c r="A181" t="n">
        <v>2000</v>
      </c>
      <c r="B181" t="n">
        <v>100.5117189244749</v>
      </c>
      <c r="C181" t="inlineStr">
        <is>
          <t>S1104-C</t>
        </is>
      </c>
      <c r="D181" t="inlineStr">
        <is>
          <t>WB_GDP_MKTP_KD_US_EU12</t>
        </is>
      </c>
      <c r="E181" t="inlineStr">
        <is>
          <t>index_2002=100</t>
        </is>
      </c>
    </row>
    <row r="182">
      <c r="A182" t="n">
        <v>2001</v>
      </c>
      <c r="B182" t="n">
        <v>-0.2358563732785545</v>
      </c>
      <c r="C182" t="inlineStr">
        <is>
          <t>S1104-A</t>
        </is>
      </c>
      <c r="D182" t="inlineStr">
        <is>
          <t>IMF_IFS_XM_APPENDIX_11_1</t>
        </is>
      </c>
      <c r="E182" t="inlineStr">
        <is>
          <t>net_trade_ratio_dimensionless</t>
        </is>
      </c>
    </row>
    <row r="183">
      <c r="A183" t="n">
        <v>2001</v>
      </c>
      <c r="B183" t="n">
        <v>106.093625465436</v>
      </c>
      <c r="C183" t="inlineStr">
        <is>
          <t>S1104-B</t>
        </is>
      </c>
      <c r="D183" t="inlineStr">
        <is>
          <t>BLS_ILC_REER_PPI_APPENDIX_11_1</t>
        </is>
      </c>
      <c r="E183" t="inlineStr">
        <is>
          <t>index_2002=100</t>
        </is>
      </c>
    </row>
    <row r="184">
      <c r="A184" t="n">
        <v>2001</v>
      </c>
      <c r="B184" t="n">
        <v>99.30084313770845</v>
      </c>
      <c r="C184" t="inlineStr">
        <is>
          <t>S1104-C</t>
        </is>
      </c>
      <c r="D184" t="inlineStr">
        <is>
          <t>WB_GDP_MKTP_KD_US_EU12</t>
        </is>
      </c>
      <c r="E184" t="inlineStr">
        <is>
          <t>index_2002=100</t>
        </is>
      </c>
    </row>
    <row r="185">
      <c r="A185" t="n">
        <v>2002</v>
      </c>
      <c r="B185" t="n">
        <v>-0.2678488147621153</v>
      </c>
      <c r="C185" t="inlineStr">
        <is>
          <t>S1104-A</t>
        </is>
      </c>
      <c r="D185" t="inlineStr">
        <is>
          <t>IMF_IFS_XM_APPENDIX_11_1</t>
        </is>
      </c>
      <c r="E185" t="inlineStr">
        <is>
          <t>net_trade_ratio_dimensionless</t>
        </is>
      </c>
    </row>
    <row r="186">
      <c r="A186" t="n">
        <v>2002</v>
      </c>
      <c r="B186" t="n">
        <v>99.99999999999994</v>
      </c>
      <c r="C186" t="inlineStr">
        <is>
          <t>S1104-B</t>
        </is>
      </c>
      <c r="D186" t="inlineStr">
        <is>
          <t>BLS_ILC_REER_PPI_APPENDIX_11_1</t>
        </is>
      </c>
      <c r="E186" t="inlineStr">
        <is>
          <t>index_2002=100</t>
        </is>
      </c>
    </row>
    <row r="187">
      <c r="A187" t="n">
        <v>2002</v>
      </c>
      <c r="B187" t="n">
        <v>100</v>
      </c>
      <c r="C187" t="inlineStr">
        <is>
          <t>S1104-C</t>
        </is>
      </c>
      <c r="D187" t="inlineStr">
        <is>
          <t>WB_GDP_MKTP_KD_US_EU12</t>
        </is>
      </c>
      <c r="E187" t="inlineStr">
        <is>
          <t>index_2002=100</t>
        </is>
      </c>
    </row>
    <row r="188">
      <c r="A188" t="n">
        <v>2003</v>
      </c>
      <c r="B188" t="n">
        <v>-0.2851726064578678</v>
      </c>
      <c r="C188" t="inlineStr">
        <is>
          <t>S1104-A</t>
        </is>
      </c>
      <c r="D188" t="inlineStr">
        <is>
          <t>IMF_IFS_XM_APPENDIX_11_1</t>
        </is>
      </c>
      <c r="E188" t="inlineStr">
        <is>
          <t>net_trade_ratio_dimensionless</t>
        </is>
      </c>
    </row>
    <row r="189">
      <c r="A189" t="n">
        <v>2003</v>
      </c>
      <c r="B189" t="n">
        <v>85.54555742727158</v>
      </c>
      <c r="C189" t="inlineStr">
        <is>
          <t>S1104-B</t>
        </is>
      </c>
      <c r="D189" t="inlineStr">
        <is>
          <t>BLS_ILC_REER_PPI_APPENDIX_11_1</t>
        </is>
      </c>
      <c r="E189" t="inlineStr">
        <is>
          <t>index_2002=100</t>
        </is>
      </c>
    </row>
    <row r="190">
      <c r="A190" t="n">
        <v>2003</v>
      </c>
      <c r="B190" t="n">
        <v>101.6639416146148</v>
      </c>
      <c r="C190" t="inlineStr">
        <is>
          <t>S1104-C</t>
        </is>
      </c>
      <c r="D190" t="inlineStr">
        <is>
          <t>WB_GDP_MKTP_KD_US_EU12</t>
        </is>
      </c>
      <c r="E190" t="inlineStr">
        <is>
          <t>index_2002=100</t>
        </is>
      </c>
    </row>
    <row r="191">
      <c r="A191" t="n">
        <v>2004</v>
      </c>
      <c r="B191" t="n">
        <v>-0.3015713194731834</v>
      </c>
      <c r="C191" t="inlineStr">
        <is>
          <t>S1104-A</t>
        </is>
      </c>
      <c r="D191" t="inlineStr">
        <is>
          <t>IMF_IFS_XM_APPENDIX_11_1</t>
        </is>
      </c>
      <c r="E191" t="inlineStr">
        <is>
          <t>net_trade_ratio_dimensionless</t>
        </is>
      </c>
    </row>
    <row r="192">
      <c r="A192" t="n">
        <v>2004</v>
      </c>
      <c r="B192" t="n">
        <v>77.98584395454506</v>
      </c>
      <c r="C192" t="inlineStr">
        <is>
          <t>S1104-B</t>
        </is>
      </c>
      <c r="D192" t="inlineStr">
        <is>
          <t>BLS_ILC_REER_PPI_APPENDIX_11_1</t>
        </is>
      </c>
      <c r="E192" t="inlineStr">
        <is>
          <t>index_2002=100</t>
        </is>
      </c>
    </row>
    <row r="193">
      <c r="A193" t="n">
        <v>2004</v>
      </c>
      <c r="B193" t="n">
        <v>103.267449298622</v>
      </c>
      <c r="C193" t="inlineStr">
        <is>
          <t>S1104-C</t>
        </is>
      </c>
      <c r="D193" t="inlineStr">
        <is>
          <t>WB_GDP_MKTP_KD_US_EU12</t>
        </is>
      </c>
      <c r="E193" t="inlineStr">
        <is>
          <t>index_2002=100</t>
        </is>
      </c>
    </row>
    <row r="194">
      <c r="A194" t="n">
        <v>2005</v>
      </c>
      <c r="B194" t="n">
        <v>-0.3133359927152112</v>
      </c>
      <c r="C194" t="inlineStr">
        <is>
          <t>S1104-A</t>
        </is>
      </c>
      <c r="D194" t="inlineStr">
        <is>
          <t>IMF_IFS_XM_APPENDIX_11_1</t>
        </is>
      </c>
      <c r="E194" t="inlineStr">
        <is>
          <t>net_trade_ratio_dimensionless</t>
        </is>
      </c>
    </row>
    <row r="195">
      <c r="A195" t="n">
        <v>2005</v>
      </c>
      <c r="B195" t="n">
        <v>79.08886405835661</v>
      </c>
      <c r="C195" t="inlineStr">
        <is>
          <t>S1104-B</t>
        </is>
      </c>
      <c r="D195" t="inlineStr">
        <is>
          <t>BLS_ILC_REER_PPI_APPENDIX_11_1</t>
        </is>
      </c>
      <c r="E195" t="inlineStr">
        <is>
          <t>index_2002=100</t>
        </is>
      </c>
    </row>
    <row r="196">
      <c r="A196" t="n">
        <v>2005</v>
      </c>
      <c r="B196" t="n">
        <v>104.8988186617547</v>
      </c>
      <c r="C196" t="inlineStr">
        <is>
          <t>S1104-C</t>
        </is>
      </c>
      <c r="D196" t="inlineStr">
        <is>
          <t>WB_GDP_MKTP_KD_US_EU12</t>
        </is>
      </c>
      <c r="E196" t="inlineStr">
        <is>
          <t>index_2002=100</t>
        </is>
      </c>
    </row>
    <row r="197">
      <c r="A197" t="n">
        <v>2006</v>
      </c>
      <c r="B197" t="n">
        <v>-0.2976000811811862</v>
      </c>
      <c r="C197" t="inlineStr">
        <is>
          <t>S1104-A</t>
        </is>
      </c>
      <c r="D197" t="inlineStr">
        <is>
          <t>IMF_IFS_XM_APPENDIX_11_1</t>
        </is>
      </c>
      <c r="E197" t="inlineStr">
        <is>
          <t>net_trade_ratio_dimensionless</t>
        </is>
      </c>
    </row>
    <row r="198">
      <c r="A198" t="n">
        <v>2006</v>
      </c>
      <c r="B198" t="n">
        <v>79.05204377927889</v>
      </c>
      <c r="C198" t="inlineStr">
        <is>
          <t>S1104-B</t>
        </is>
      </c>
      <c r="D198" t="inlineStr">
        <is>
          <t>BLS_ILC_REER_PPI_APPENDIX_11_1</t>
        </is>
      </c>
      <c r="E198" t="inlineStr">
        <is>
          <t>index_2002=100</t>
        </is>
      </c>
    </row>
    <row r="199">
      <c r="A199" t="n">
        <v>2006</v>
      </c>
      <c r="B199" t="n">
        <v>104.6622235606219</v>
      </c>
      <c r="C199" t="inlineStr">
        <is>
          <t>S1104-C</t>
        </is>
      </c>
      <c r="D199" t="inlineStr">
        <is>
          <t>WB_GDP_MKTP_KD_US_EU12</t>
        </is>
      </c>
      <c r="E199" t="inlineStr">
        <is>
          <t>index_2002=100</t>
        </is>
      </c>
    </row>
    <row r="200">
      <c r="A200" t="n">
        <v>2007</v>
      </c>
      <c r="B200" t="n">
        <v>-0.2693426483800238</v>
      </c>
      <c r="C200" t="inlineStr">
        <is>
          <t>S1104-A</t>
        </is>
      </c>
      <c r="D200" t="inlineStr">
        <is>
          <t>IMF_IFS_XM_APPENDIX_11_1</t>
        </is>
      </c>
      <c r="E200" t="inlineStr">
        <is>
          <t>net_trade_ratio_dimensionless</t>
        </is>
      </c>
    </row>
    <row r="201">
      <c r="A201" t="n">
        <v>2007</v>
      </c>
      <c r="B201" t="n">
        <v>71.76219942987257</v>
      </c>
      <c r="C201" t="inlineStr">
        <is>
          <t>S1104-B</t>
        </is>
      </c>
      <c r="D201" t="inlineStr">
        <is>
          <t>BLS_ILC_REER_PPI_APPENDIX_11_1</t>
        </is>
      </c>
      <c r="E201" t="inlineStr">
        <is>
          <t>index_2002=100</t>
        </is>
      </c>
    </row>
    <row r="202">
      <c r="A202" t="n">
        <v>2007</v>
      </c>
      <c r="B202" t="n">
        <v>103.8672213692618</v>
      </c>
      <c r="C202" t="inlineStr">
        <is>
          <t>S1104-C</t>
        </is>
      </c>
      <c r="D202" t="inlineStr">
        <is>
          <t>WB_GDP_MKTP_KD_US_EU12</t>
        </is>
      </c>
      <c r="E202" t="inlineStr">
        <is>
          <t>index_2002=100</t>
        </is>
      </c>
    </row>
    <row r="203">
      <c r="A203" t="n">
        <v>2008</v>
      </c>
      <c r="B203" t="n">
        <v>-0.2502103382700397</v>
      </c>
      <c r="C203" t="inlineStr">
        <is>
          <t>S1104-A</t>
        </is>
      </c>
      <c r="D203" t="inlineStr">
        <is>
          <t>IMF_IFS_XM_APPENDIX_11_1</t>
        </is>
      </c>
      <c r="E203" t="inlineStr">
        <is>
          <t>net_trade_ratio_dimensionless</t>
        </is>
      </c>
    </row>
    <row r="204">
      <c r="A204" t="n">
        <v>2008</v>
      </c>
      <c r="B204" t="n">
        <v>69.21180474762886</v>
      </c>
      <c r="C204" t="inlineStr">
        <is>
          <t>S1104-B</t>
        </is>
      </c>
      <c r="D204" t="inlineStr">
        <is>
          <t>BLS_ILC_REER_PPI_APPENDIX_11_1</t>
        </is>
      </c>
      <c r="E204" t="inlineStr">
        <is>
          <t>index_2002=100</t>
        </is>
      </c>
    </row>
    <row r="205">
      <c r="A205" t="n">
        <v>2008</v>
      </c>
      <c r="B205" t="n">
        <v>103.7486097945681</v>
      </c>
      <c r="C205" t="inlineStr">
        <is>
          <t>S1104-C</t>
        </is>
      </c>
      <c r="D205" t="inlineStr">
        <is>
          <t>WB_GDP_MKTP_KD_US_EU12</t>
        </is>
      </c>
      <c r="E205" t="inlineStr">
        <is>
          <t>index_2002=100</t>
        </is>
      </c>
    </row>
    <row r="206">
      <c r="A206" t="n">
        <v>2009</v>
      </c>
      <c r="B206" t="n">
        <v>-0.2060629965627993</v>
      </c>
      <c r="C206" t="inlineStr">
        <is>
          <t>S1104-A</t>
        </is>
      </c>
      <c r="D206" t="inlineStr">
        <is>
          <t>IMF_IFS_XM_APPENDIX_11_1</t>
        </is>
      </c>
      <c r="E206" t="inlineStr">
        <is>
          <t>net_trade_ratio_dimensionless</t>
        </is>
      </c>
    </row>
    <row r="207">
      <c r="A207" t="n">
        <v>2009</v>
      </c>
      <c r="B207" t="n">
        <v>73.30465549248166</v>
      </c>
      <c r="C207" t="inlineStr">
        <is>
          <t>S1104-B</t>
        </is>
      </c>
      <c r="D207" t="inlineStr">
        <is>
          <t>BLS_ILC_REER_PPI_APPENDIX_11_1</t>
        </is>
      </c>
      <c r="E207" t="inlineStr">
        <is>
          <t>index_2002=100</t>
        </is>
      </c>
    </row>
    <row r="208">
      <c r="A208" t="n">
        <v>2009</v>
      </c>
      <c r="B208" t="n">
        <v>105.7110684160535</v>
      </c>
      <c r="C208" t="inlineStr">
        <is>
          <t>S1104-C</t>
        </is>
      </c>
      <c r="D208" t="inlineStr">
        <is>
          <t>WB_GDP_MKTP_KD_US_EU12</t>
        </is>
      </c>
      <c r="E208" t="inlineStr">
        <is>
          <t>index_2002=100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S1104 — Methodology</t>
        </is>
      </c>
    </row>
    <row r="3">
      <c r="A3" s="4">
        <f>== DPR: S1104_DPR.md ===</f>
        <v/>
      </c>
    </row>
    <row r="4">
      <c r="A4" t="inlineStr">
        <is>
          <t># S1104 — US Balance of Trade, Real Exchange Rate, and Relative GDP, 1960-2009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S1104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**Revised**: 2026-07-02 (FU-1 / campaign C6 — S1104-C built; deferral removed)</t>
        </is>
      </c>
    </row>
    <row r="12">
      <c r="A12" t="inlineStr"/>
    </row>
    <row r="13">
      <c r="A13" t="inlineStr">
        <is>
          <t>---</t>
        </is>
      </c>
    </row>
    <row r="14">
      <c r="A14" t="inlineStr"/>
    </row>
    <row r="15">
      <c r="A15" t="inlineStr">
        <is>
          <t>## 1. Definition</t>
        </is>
      </c>
    </row>
    <row r="16">
      <c r="A16" t="inlineStr"/>
    </row>
    <row r="17">
      <c r="A17" t="inlineStr">
        <is>
          <t>Three-line overlay chart for the United States, 1960-2009 (Figure 11.7,</t>
        </is>
      </c>
    </row>
    <row r="18">
      <c r="A18" t="inlineStr">
        <is>
          <t>p. 534):</t>
        </is>
      </c>
    </row>
    <row r="19">
      <c r="A19" t="inlineStr"/>
    </row>
    <row r="20">
      <c r="A20" t="inlineStr">
        <is>
          <t>- **S1104-A** US trade balance, net-trade ratio `(X-M)/(X+M)`.</t>
        </is>
      </c>
    </row>
    <row r="21">
      <c r="A21" t="inlineStr">
        <is>
          <t xml:space="preserve">  Phase 4 unit correction: CD2 negative sample values confirm this is the</t>
        </is>
      </c>
    </row>
    <row r="22">
      <c r="A22" t="inlineStr">
        <is>
          <t xml:space="preserve">  net-trade ratio, NOT the X/M ratio that S1101 uses.</t>
        </is>
      </c>
    </row>
    <row r="23">
      <c r="A23" t="inlineStr">
        <is>
          <t>- **S1104-B** US REER PPI-basis (same data as S1102-B; emitted here for</t>
        </is>
      </c>
    </row>
    <row r="24">
      <c r="A24" t="inlineStr">
        <is>
          <t xml:space="preserve">  self-contained chopped CSV).</t>
        </is>
      </c>
    </row>
    <row r="25">
      <c r="A25" t="inlineStr">
        <is>
          <t>- **S1104-C** US/EU12 relative real GDP, index 2002=100. Built 2026-07-02</t>
        </is>
      </c>
    </row>
    <row r="26">
      <c r="A26" t="inlineStr">
        <is>
          <t xml:space="preserve">  (FU-1) from World Bank WDI `NY.GDP.MKTP.KD` (real GDP, constant 2015 USD)</t>
        </is>
      </c>
    </row>
    <row r="27">
      <c r="A27" t="inlineStr">
        <is>
          <t xml:space="preserve">  for the US and Shaikh's FIXED pre-1995 EU12 basket; US real GDP divided by</t>
        </is>
      </c>
    </row>
    <row r="28">
      <c r="A28" t="inlineStr">
        <is>
          <t xml:space="preserve">  the summed EU12 real GDP, rebased so 2002=100. All three lines now ship.</t>
        </is>
      </c>
    </row>
    <row r="29">
      <c r="A29" t="inlineStr"/>
    </row>
    <row r="30">
      <c r="A30" t="inlineStr">
        <is>
          <t>## 2. Why it matters in Chapter 11</t>
        </is>
      </c>
    </row>
    <row r="31">
      <c r="A31" t="inlineStr"/>
    </row>
    <row r="32">
      <c r="A32" t="inlineStr">
        <is>
          <t>Figure 11.7 demonstrates that "the real exchange rate and relative GDP do</t>
        </is>
      </c>
    </row>
    <row r="33">
      <c r="A33" t="inlineStr">
        <is>
          <t>indeed pull in opposite directions" (p. 534). The deterioration of the US</t>
        </is>
      </c>
    </row>
    <row r="34">
      <c r="A34" t="inlineStr">
        <is>
          <t>trade balance is consistent with the improvement in its average competitive</t>
        </is>
      </c>
    </row>
    <row r="35">
      <c r="A35" t="inlineStr">
        <is>
          <t>level — a non-PPP fundamental driving long-run trade balances. The three</t>
        </is>
      </c>
    </row>
    <row r="36">
      <c r="A36" t="inlineStr">
        <is>
          <t>built lines corroborate this: over 1960-2009 the REER (S1104-B) falls</t>
        </is>
      </c>
    </row>
    <row r="37">
      <c r="A37" t="inlineStr">
        <is>
          <t>(≈188→73), relative GDP (S1104-C) rises (≈89→106), and the net-trade balance</t>
        </is>
      </c>
    </row>
    <row r="38">
      <c r="A38" t="inlineStr">
        <is>
          <t>(S1104-A) worsens (≈+0.09→−0.21) — REER and relative GDP move oppositely,</t>
        </is>
      </c>
    </row>
    <row r="39">
      <c r="A39" t="inlineStr">
        <is>
          <t>exactly as Shaikh states.</t>
        </is>
      </c>
    </row>
    <row r="40">
      <c r="A40" t="inlineStr"/>
    </row>
    <row r="41">
      <c r="A41" t="inlineStr">
        <is>
          <t>## 3. Sources</t>
        </is>
      </c>
    </row>
    <row r="42">
      <c r="A42" t="inlineStr"/>
    </row>
    <row r="43">
      <c r="A43" t="inlineStr">
        <is>
          <t>| Subseries | Source | Realized anchors |</t>
        </is>
      </c>
    </row>
    <row r="44">
      <c r="A44" t="inlineStr">
        <is>
          <t>|---|---|---|</t>
        </is>
      </c>
    </row>
    <row r="45">
      <c r="A45" t="inlineStr">
        <is>
          <t>| S1104-A | Appendix11_XMData.xlsx (US block, `X (in $M)` and `M (in $M)` cols) | 1960=0.090424, 1985=−0.233946, 2009=−0.206063 |</t>
        </is>
      </c>
    </row>
    <row r="46">
      <c r="A46" t="inlineStr">
        <is>
          <t>| S1104-B | Appendix11_USJPNdata.xlsx (US block, `rxr1` col) | book-exact (S1102-B) |</t>
        </is>
      </c>
    </row>
    <row r="47">
      <c r="A47" t="inlineStr">
        <is>
          <t>| S1104-C | WDI `NY.GDP.MKTP.KD` for US + fixed pre-1995 EU12 basket (BE, DK, FR, DE, GR, IE, IT, LU, NL, PT, ES, GB); US/EU12, rebased 2002=100. Retrieved 2026-07-02. | 1960=88.877210, 2002=100.0, 2009=105.711068 |</t>
        </is>
      </c>
    </row>
    <row r="48">
      <c r="A48" t="inlineStr"/>
    </row>
    <row r="49">
      <c r="A49" t="inlineStr">
        <is>
          <t>S1104-C realized anchors are **self-consistency regression values** of the</t>
        </is>
      </c>
    </row>
    <row r="50">
      <c r="A50" t="inlineStr">
        <is>
          <t>2026-07-02 WDI vintage, NOT independent book-figure values (see §9).</t>
        </is>
      </c>
    </row>
    <row r="51">
      <c r="A51" t="inlineStr"/>
    </row>
    <row r="52">
      <c r="A52" t="inlineStr">
        <is>
          <t>## 4. Construction</t>
        </is>
      </c>
    </row>
    <row r="53">
      <c r="A53" t="inlineStr"/>
    </row>
    <row r="54">
      <c r="A54" t="inlineStr">
        <is>
          <t>`composite`. Three components share an x-axis (year) but no algebraic</t>
        </is>
      </c>
    </row>
    <row r="55">
      <c r="A55" t="inlineStr">
        <is>
          <t>combination — they overlay as separate lines. S1104-C construction:</t>
        </is>
      </c>
    </row>
    <row r="56">
      <c r="A56" t="inlineStr">
        <is>
          <t>`index[y] = (US_realGDP[y] / Σ EU12_realGDP[y]) / (US_realGDP[2002] / Σ EU12_realGDP[2002]) × 100`,</t>
        </is>
      </c>
    </row>
    <row r="57">
      <c r="A57" t="inlineStr">
        <is>
          <t>all real GDP in constant 2015 USD. The EU12 basket is held FIXED (per-country</t>
        </is>
      </c>
    </row>
    <row r="58">
      <c r="A58" t="inlineStr">
        <is>
          <t>backfill, not an EU/Euro-Area aggregate).</t>
        </is>
      </c>
    </row>
    <row r="59">
      <c r="A59" t="inlineStr"/>
    </row>
    <row r="60">
      <c r="A60" t="inlineStr">
        <is>
          <t>## 5. Year coverage</t>
        </is>
      </c>
    </row>
    <row r="61">
      <c r="A61" t="inlineStr"/>
    </row>
    <row r="62">
      <c r="A62" t="inlineStr">
        <is>
          <t>Book: 1960-2009 for all three lines (50 rows each; 150 total). S1104-A and</t>
        </is>
      </c>
    </row>
    <row r="63">
      <c r="A63" t="inlineStr">
        <is>
          <t>S1104-B from Shaikh's Appendix 11.1; S1104-C from WDI with the EU12 basket</t>
        </is>
      </c>
    </row>
    <row r="64">
      <c r="A64" t="inlineStr">
        <is>
          <t>fixed, complete coverage (0 gaps across all 13 countries, verified 2026-07-02).</t>
        </is>
      </c>
    </row>
    <row r="65">
      <c r="A65" t="inlineStr">
        <is>
          <t>Extension: trade balance via IMF DOTS, REER via BIS PPI EER (deferred to</t>
        </is>
      </c>
    </row>
    <row r="66">
      <c r="A66" t="inlineStr">
        <is>
          <t>Phase 9); S1104-C is concept-exact continuable on the same fixed basket.</t>
        </is>
      </c>
    </row>
    <row r="67">
      <c r="A67" t="inlineStr"/>
    </row>
    <row r="68">
      <c r="A68" t="inlineStr">
        <is>
          <t>## 6. Units</t>
        </is>
      </c>
    </row>
    <row r="69">
      <c r="A69" t="inlineStr"/>
    </row>
    <row r="70">
      <c r="A70" t="inlineStr">
        <is>
          <t>- S1104-A: `net_trade_ratio_dimensionless` (range typically -0.3 to +0.05)</t>
        </is>
      </c>
    </row>
    <row r="71">
      <c r="A71" t="inlineStr">
        <is>
          <t>- S1104-B: `index_2002=100`</t>
        </is>
      </c>
    </row>
    <row r="72">
      <c r="A72" t="inlineStr">
        <is>
          <t>- S1104-C: `index_2002=100`</t>
        </is>
      </c>
    </row>
    <row r="73">
      <c r="A73" t="inlineStr"/>
    </row>
    <row r="74">
      <c r="A74" t="inlineStr">
        <is>
          <t>## 7. Caveats</t>
        </is>
      </c>
    </row>
    <row r="75">
      <c r="A75" t="inlineStr"/>
    </row>
    <row r="76">
      <c r="A76" t="inlineStr">
        <is>
          <t>1. **Within-chapter unit inconsistency vs S1101-A.** S1101 = X/M; S1104-A</t>
        </is>
      </c>
    </row>
    <row r="77">
      <c r="A77" t="inlineStr">
        <is>
          <t xml:space="preserve">   = (X-M)/(X+M). Shaikh's authorial choice; preserved per Phase 4</t>
        </is>
      </c>
    </row>
    <row r="78">
      <c r="A78" t="inlineStr">
        <is>
          <t xml:space="preserve">   resolution Q3.</t>
        </is>
      </c>
    </row>
    <row r="79">
      <c r="A79" t="inlineStr">
        <is>
          <t>2. **S1104-C EU12 basket fixed to Shaikh's pre-1995 12 members.** Phase 4</t>
        </is>
      </c>
    </row>
    <row r="80">
      <c r="A80" t="inlineStr">
        <is>
          <t xml:space="preserve">   resolution Q5: hold basket fixed via per-country backfill, not splice</t>
        </is>
      </c>
    </row>
    <row r="81">
      <c r="A81" t="inlineStr">
        <is>
          <t xml:space="preserve">   to Euro Area. Implemented as such in L01_S1104.</t>
        </is>
      </c>
    </row>
    <row r="82">
      <c r="A82" t="inlineStr">
        <is>
          <t>3. **S1104-C source is WDI, not Shaikh's original.** Appendix 11.1.II lists</t>
        </is>
      </c>
    </row>
    <row r="83">
      <c r="A83" t="inlineStr">
        <is>
          <t xml:space="preserve">   `RelGDPR` among raw inputs but names no source; RSCD reconstructs the line</t>
        </is>
      </c>
    </row>
    <row r="84">
      <c r="A84" t="inlineStr">
        <is>
          <t xml:space="preserve">   from WDI real GDP (constant 2015 USD). It is concept-faithful to the</t>
        </is>
      </c>
    </row>
    <row r="85">
      <c r="A85" t="inlineStr">
        <is>
          <t xml:space="preserve">   figure's intent but is not a byte-for-byte reproduction of Shaikh's own</t>
        </is>
      </c>
    </row>
    <row r="86">
      <c r="A86" t="inlineStr">
        <is>
          <t xml:space="preserve">   RelGDPR series (see §9). Live-API series: WDI revisions may shift values.</t>
        </is>
      </c>
    </row>
    <row r="87">
      <c r="A87" t="inlineStr"/>
    </row>
    <row r="88">
      <c r="A88" t="inlineStr">
        <is>
          <t>## 8. Cross-references</t>
        </is>
      </c>
    </row>
    <row r="89">
      <c r="A89" t="inlineStr"/>
    </row>
    <row r="90">
      <c r="A90" t="inlineStr">
        <is>
          <t>- CD legacy: S063; CD2 legacy: S063. NOTE: CD2's "S063 relative GDP" column is</t>
        </is>
      </c>
    </row>
    <row r="91">
      <c r="A91" t="inlineStr">
        <is>
          <t xml:space="preserve">  a mislabeled real-interest-rate differential and was NOT ported (FU-1 finding).</t>
        </is>
      </c>
    </row>
    <row r="92">
      <c r="A92" t="inlineStr">
        <is>
          <t>- Book: p. 534 (figure), 875-876 (Appendix 11.1.II)</t>
        </is>
      </c>
    </row>
    <row r="93">
      <c r="A93" t="inlineStr">
        <is>
          <t>- Shares data with: S1101-A (US trade) and S1102-B (US REER)</t>
        </is>
      </c>
    </row>
    <row r="94">
      <c r="A94" t="inlineStr"/>
    </row>
    <row r="95">
      <c r="A95" t="inlineStr">
        <is>
          <t>## 9. Validation expectation</t>
        </is>
      </c>
    </row>
    <row r="96">
      <c r="A96" t="inlineStr"/>
    </row>
    <row r="97">
      <c r="A97" t="inlineStr">
        <is>
          <t>- **S1104-A / S1104-B**: tolerance ±1%. Achieved: MAE 0.0, max 0.0%</t>
        </is>
      </c>
    </row>
    <row r="98">
      <c r="A98" t="inlineStr">
        <is>
          <t xml:space="preserve">  (n=100) against the Appendix 11.1 workbook. PASS.</t>
        </is>
      </c>
    </row>
    <row r="99">
      <c r="A99" t="inlineStr">
        <is>
          <t>- **S1104-C**: no independent BOOK truth exists — Fig 11.7's third line is</t>
        </is>
      </c>
    </row>
    <row r="100">
      <c r="A100" t="inlineStr">
        <is>
          <t xml:space="preserve">  not in any salvaged workbook, and `FIGURE_MASTER_v4` carries only metadata</t>
        </is>
      </c>
    </row>
    <row r="101">
      <c r="A101" t="inlineStr">
        <is>
          <t xml:space="preserve">  (num_observations, caption) for Fig11.7, no digitized point values. V03</t>
        </is>
      </c>
    </row>
    <row r="102">
      <c r="A102" t="inlineStr">
        <is>
          <t xml:space="preserve">  therefore performs an **independent WDI re-construction** and asserts the</t>
        </is>
      </c>
    </row>
    <row r="103">
      <c r="A103" t="inlineStr">
        <is>
          <t xml:space="preserve">  pipeline reproduces it (self-consistency; MAE 0.0, n=50, PASS). The</t>
        </is>
      </c>
    </row>
    <row r="104">
      <c r="A104" t="inlineStr">
        <is>
          <t xml:space="preserve">  non-tautological guard is the anchor-suite **plausibility range rule**</t>
        </is>
      </c>
    </row>
    <row r="105">
      <c r="A105" t="inlineStr">
        <is>
          <t xml:space="preserve">  (`S1104C_relgdp_band`, index ∈ [70,120]) — GREEN, 0 violations. Direction</t>
        </is>
      </c>
    </row>
    <row r="106">
      <c r="A106" t="inlineStr">
        <is>
          <t xml:space="preserve">  corroborates Shaikh p.534 (rises as REER falls). **Book-figure numerical</t>
        </is>
      </c>
    </row>
    <row r="107">
      <c r="A107" t="inlineStr">
        <is>
          <t xml:space="preserve">  fidelity for S1104-C is UNVERIFIED pending a figure-digitization pass**</t>
        </is>
      </c>
    </row>
    <row r="108">
      <c r="A108" t="inlineStr">
        <is>
          <t xml:space="preserve">  (WebPlotDigitizer of the third line in Fig 11.7); this is disclosed, not</t>
        </is>
      </c>
    </row>
    <row r="109">
      <c r="A109" t="inlineStr">
        <is>
          <t xml:space="preserve">  overclaimed.</t>
        </is>
      </c>
    </row>
    <row r="110">
      <c r="A110" t="inlineStr">
        <is>
          <t>- **S1104-C machine-assessed fidelity verdict (2026-07-02, M4 / Decision 0019):</t>
        </is>
      </c>
    </row>
    <row r="111">
      <c r="A111" t="inlineStr">
        <is>
          <t xml:space="preserve">  MINOR DIVERGENCE — shape and level faithful.** An overlay of the built line on</t>
        </is>
      </c>
    </row>
    <row r="112">
      <c r="A112" t="inlineStr">
        <is>
          <t xml:space="preserve">  the printed Fig 11.7 (`remediation_campaign/digitization_packet/images/S1104C_overlay.png`)</t>
        </is>
      </c>
    </row>
    <row r="113">
      <c r="A113" t="inlineStr">
        <is>
          <t xml:space="preserve">  was machine-assessed: after rebasing to the printed 2002 base the **1974 trough</t>
        </is>
      </c>
    </row>
    <row r="114">
      <c r="A114" t="inlineStr">
        <is>
          <t xml:space="preserve">  (~120) and the endpoints (2005 ≈155 / 2009 ≈156) are near-exact (±5 index</t>
        </is>
      </c>
    </row>
    <row r="115">
      <c r="A115" t="inlineStr">
        <is>
          <t xml:space="preserve">  points)**; the only visible difference is a **slightly higher, flatter 1960s</t>
        </is>
      </c>
    </row>
    <row r="116">
      <c r="A116" t="inlineStr">
        <is>
          <t xml:space="preserve">  plateau** in print. This narrows the caveat above from "unverified" to</t>
        </is>
      </c>
    </row>
    <row r="117">
      <c r="A117" t="inlineStr">
        <is>
          <t xml:space="preserve">  "machine-assessed: minor divergence, faithful." It is a machine read, not a</t>
        </is>
      </c>
    </row>
    <row r="118">
      <c r="A118" t="inlineStr">
        <is>
          <t xml:space="preserve">  human confirmation — a human confirmation via the packet's verdict form remains</t>
        </is>
      </c>
    </row>
    <row r="119">
      <c r="A119" t="inlineStr">
        <is>
          <t xml:space="preserve">  optional and **supersedes** this verdict if ever filed.</t>
        </is>
      </c>
    </row>
    <row r="122">
      <c r="A122" s="4">
        <f>== EPR: S1104_EPR.md ===</f>
        <v/>
      </c>
    </row>
    <row r="123">
      <c r="A123" t="inlineStr">
        <is>
          <t># S1104 — Extension Provenance Record</t>
        </is>
      </c>
    </row>
    <row r="124">
      <c r="A124" t="inlineStr"/>
    </row>
    <row r="125">
      <c r="A125" t="inlineStr">
        <is>
          <t>**Phase**: 6 (Extension)</t>
        </is>
      </c>
    </row>
    <row r="126">
      <c r="A126" t="inlineStr">
        <is>
          <t>**Construction**: `composite` (three independent overlay components)</t>
        </is>
      </c>
    </row>
    <row r="127">
      <c r="A127" t="inlineStr">
        <is>
          <t>**Extension method**: per-component (DOTS for trade, BIS PPI EER for REER, WDI for relative GDP)</t>
        </is>
      </c>
    </row>
    <row r="128">
      <c r="A128" t="inlineStr">
        <is>
          <t>**Status v1**: `partial` — book period emitted; S1104-A/S1104-B post-2009 extension deferred to Phase 9</t>
        </is>
      </c>
    </row>
    <row r="129">
      <c r="A129" t="inlineStr">
        <is>
          <t>**Revised**: 2026-07-02 (FU-1 / campaign C6) — **S1104-C BUILT** (was deferred)</t>
        </is>
      </c>
    </row>
    <row r="130">
      <c r="A130" t="inlineStr"/>
    </row>
    <row r="131">
      <c r="A131" t="inlineStr">
        <is>
          <t>---</t>
        </is>
      </c>
    </row>
    <row r="132">
      <c r="A132" t="inlineStr"/>
    </row>
    <row r="133">
      <c r="A133" t="inlineStr">
        <is>
          <t>## 1. Why this series is extendable</t>
        </is>
      </c>
    </row>
    <row r="134">
      <c r="A134" t="inlineStr"/>
    </row>
    <row r="135">
      <c r="A135" t="inlineStr">
        <is>
          <t>Two of three components (trade, REER) inherit the extension paths of S1101-A</t>
        </is>
      </c>
    </row>
    <row r="136">
      <c r="A136" t="inlineStr">
        <is>
          <t>and S1102-B respectively. The third (relative real GDP) is a new data demand.</t>
        </is>
      </c>
    </row>
    <row r="137">
      <c r="A137" t="inlineStr">
        <is>
          <t>All three are independent overlay lines, so each is extended separately and</t>
        </is>
      </c>
    </row>
    <row r="138">
      <c r="A138" t="inlineStr">
        <is>
          <t>re-plotted on the same x-axis.</t>
        </is>
      </c>
    </row>
    <row r="139">
      <c r="A139" t="inlineStr"/>
    </row>
    <row r="140">
      <c r="A140" t="inlineStr">
        <is>
          <t>## 2. Per-component method (planned)</t>
        </is>
      </c>
    </row>
    <row r="141">
      <c r="A141" t="inlineStr"/>
    </row>
    <row r="142">
      <c r="A142" t="inlineStr">
        <is>
          <t>### S1104-A net-trade ratio</t>
        </is>
      </c>
    </row>
    <row r="143">
      <c r="A143" t="inlineStr">
        <is>
          <t>Fetch IMF DOTS US X and M, compute `(X-M)/(X+M)`. Same source as S1101-A.</t>
        </is>
      </c>
    </row>
    <row r="144">
      <c r="A144" t="inlineStr"/>
    </row>
    <row r="145">
      <c r="A145" t="inlineStr">
        <is>
          <t>### S1104-B US REER PPI</t>
        </is>
      </c>
    </row>
    <row r="146">
      <c r="A146" t="inlineStr">
        <is>
          <t>Inherit S1102-B BIS PPI EER substitute (see `S1102_EPR.md`). Proxy flag</t>
        </is>
      </c>
    </row>
    <row r="147">
      <c r="A147" t="inlineStr">
        <is>
          <t>inherited.</t>
        </is>
      </c>
    </row>
    <row r="148">
      <c r="A148" t="inlineStr"/>
    </row>
    <row r="149">
      <c r="A149" t="inlineStr">
        <is>
          <t>### S1104-C US/EU12 relative real GDP — BUILT 2026-07-02 (FU-1 / campaign C6)</t>
        </is>
      </c>
    </row>
    <row r="150">
      <c r="A150" t="inlineStr">
        <is>
          <t>Phase 4 resolution Q5: hold Shaikh's pre-1995 EU12 basket fixed (BE, DK, FR,</t>
        </is>
      </c>
    </row>
    <row r="151">
      <c r="A151" t="inlineStr">
        <is>
          <t>DE, GR, IE, IT, LU, NL, PT, ES, GB).</t>
        </is>
      </c>
    </row>
    <row r="152">
      <c r="A152" t="inlineStr"/>
    </row>
    <row r="153">
      <c r="A153" t="inlineStr">
        <is>
          <t>**Realized build.** OECD QNA was not needed: World Bank WDI `NY.GDP.MKTP.KD`</t>
        </is>
      </c>
    </row>
    <row r="154">
      <c r="A154" t="inlineStr">
        <is>
          <t>(real GDP, constant 2015 USD) has **complete coverage for all 13 countries</t>
        </is>
      </c>
    </row>
    <row r="155">
      <c r="A155" t="inlineStr">
        <is>
          <t>across 1960-2009** (0 gaps, verified 2026-07-02 — including Germany from 1960).</t>
        </is>
      </c>
    </row>
    <row r="156">
      <c r="A156" t="inlineStr">
        <is>
          <t>Method as implemented in `L01_S1104._build_relgdp`:</t>
        </is>
      </c>
    </row>
    <row r="157">
      <c r="A157" t="inlineStr">
        <is>
          <t>1. Fetch `NY.GDP.MKTP.KD` for the 12 EU members + USA via</t>
        </is>
      </c>
    </row>
    <row r="158">
      <c r="A158" t="inlineStr">
        <is>
          <t xml:space="preserve">   `S00_apis.worldbank_indicator` (open, no auth; CC-BY-4.0).</t>
        </is>
      </c>
    </row>
    <row r="159">
      <c r="A159" t="inlineStr">
        <is>
          <t>2. `EU12_sum[y] = Σ` of the 12 members' real GDP (constant 2015 USD).</t>
        </is>
      </c>
    </row>
    <row r="160">
      <c r="A160" t="inlineStr">
        <is>
          <t>3. `rel_raw[y] = US_realGDP[y] / EU12_sum[y]`  (US in the numerator, per the</t>
        </is>
      </c>
    </row>
    <row r="161">
      <c r="A161" t="inlineStr">
        <is>
          <t xml:space="preserve">   series name / DPR / registry formula and Shaikh's "opposite directions"</t>
        </is>
      </c>
    </row>
    <row r="162">
      <c r="A162" t="inlineStr">
        <is>
          <t xml:space="preserve">   text — the EPR's earlier loose "divide by US real GDP" wording is corrected</t>
        </is>
      </c>
    </row>
    <row r="163">
      <c r="A163" t="inlineStr">
        <is>
          <t xml:space="preserve">   to US÷EU12 here).</t>
        </is>
      </c>
    </row>
    <row r="164">
      <c r="A164" t="inlineStr">
        <is>
          <t>4. `index[y] = rel_raw[y] / rel_raw[2002] × 100`  (rebase 2002=100).</t>
        </is>
      </c>
    </row>
    <row r="165">
      <c r="A165" t="inlineStr"/>
    </row>
    <row r="166">
      <c r="A166" t="inlineStr">
        <is>
          <t>**Provenance.** Retrieved 2026-07-02; endpoint</t>
        </is>
      </c>
    </row>
    <row r="167">
      <c r="A167" t="inlineStr">
        <is>
          <t>`https://api.worldbank.org/v2/country/{ISO3}/indicator/NY.GDP.MKTP.KD?format=json`.</t>
        </is>
      </c>
    </row>
    <row r="168">
      <c r="A168" t="inlineStr">
        <is>
          <t>Raw per-country snapshot (with retrieval date) written to</t>
        </is>
      </c>
    </row>
    <row r="169">
      <c r="A169" t="inlineStr">
        <is>
          <t>`Technical/data/raw/S1104C_WDI_NY_GDP_MKTP_KD_2026-07-02.csv`; API responses</t>
        </is>
      </c>
    </row>
    <row r="170">
      <c r="A170" t="inlineStr">
        <is>
          <t>cached under `Technical/data/raw/api_cache/worldbank/`. Subsource:</t>
        </is>
      </c>
    </row>
    <row r="171">
      <c r="A171" t="inlineStr">
        <is>
          <t>`WB_GDP_MKTP_KD_US_EU12` (SUBSOURCE_METADATA.json). Realized anchors:</t>
        </is>
      </c>
    </row>
    <row r="172">
      <c r="A172" t="inlineStr">
        <is>
          <t>1960=88.877210, 2002=100.0, 2009=105.711068 (index 2002=100).</t>
        </is>
      </c>
    </row>
    <row r="173">
      <c r="A173" t="inlineStr"/>
    </row>
    <row r="174">
      <c r="A174" t="inlineStr">
        <is>
          <t>**Fidelity caveat.** Concept-faithful to Fig 11.7's third line, but Shaikh's</t>
        </is>
      </c>
    </row>
    <row r="175">
      <c r="A175" t="inlineStr">
        <is>
          <t>own `RelGDPR` source is undocumented in Appendix 11.1, and no digitized</t>
        </is>
      </c>
    </row>
    <row r="176">
      <c r="A176" t="inlineStr">
        <is>
          <t>book-figure values exist, so exact numerical fidelity to the printed curve is</t>
        </is>
      </c>
    </row>
    <row r="177">
      <c r="A177" t="inlineStr">
        <is>
          <t>**unverified pending figure digitization** (see S1104_DPR §9).</t>
        </is>
      </c>
    </row>
    <row r="178">
      <c r="A178" t="inlineStr"/>
    </row>
    <row r="179">
      <c r="A179" t="inlineStr">
        <is>
          <t>## 3. Concept Match Justifications</t>
        </is>
      </c>
    </row>
    <row r="180">
      <c r="A180" t="inlineStr"/>
    </row>
    <row r="181">
      <c r="A181" t="inlineStr">
        <is>
          <t>- S1104-B BIS substitution: see S1102 EPR §2.</t>
        </is>
      </c>
    </row>
    <row r="182">
      <c r="A182" t="inlineStr">
        <is>
          <t>- S1104-C EU12 basket: Concept-exact match (same 12 countries Shaikh used);</t>
        </is>
      </c>
    </row>
    <row r="183">
      <c r="A183" t="inlineStr">
        <is>
          <t xml:space="preserve">  no proxy flag needed.</t>
        </is>
      </c>
    </row>
    <row r="184">
      <c r="A184" t="inlineStr"/>
    </row>
    <row r="185">
      <c r="A185" t="inlineStr">
        <is>
          <t>## 4. No-Proxy compliance</t>
        </is>
      </c>
    </row>
    <row r="186">
      <c r="A186" t="inlineStr"/>
    </row>
    <row r="187">
      <c r="A187" t="inlineStr">
        <is>
          <t>S1104-B inherits proxy=true from S1102. S1104-A and S1104-C are</t>
        </is>
      </c>
    </row>
    <row r="188">
      <c r="A188" t="inlineStr">
        <is>
          <t>concept-exact (no proxy).</t>
        </is>
      </c>
    </row>
    <row r="189">
      <c r="A189" t="inlineStr"/>
    </row>
    <row r="190">
      <c r="A190" t="inlineStr">
        <is>
          <t>## 5. No-Synthetic compliance</t>
        </is>
      </c>
    </row>
    <row r="191">
      <c r="A191" t="inlineStr"/>
    </row>
    <row r="192">
      <c r="A192" t="inlineStr">
        <is>
          <t>Any NaN propagates. Belgium pre-1993 in S1104-A is moot (US only).</t>
        </is>
      </c>
    </row>
    <row r="193">
      <c r="A193" t="inlineStr"/>
    </row>
    <row r="194">
      <c r="A194" t="inlineStr">
        <is>
          <t>## 6. Failure-mode table</t>
        </is>
      </c>
    </row>
    <row r="195">
      <c r="A195" t="inlineStr"/>
    </row>
    <row r="196">
      <c r="A196" t="inlineStr">
        <is>
          <t>| Failure | Action |</t>
        </is>
      </c>
    </row>
    <row r="197">
      <c r="A197" t="inlineStr">
        <is>
          <t>|---|---|</t>
        </is>
      </c>
    </row>
    <row r="198">
      <c r="A198" t="inlineStr">
        <is>
          <t>| IMF DOTS down | S1104-A `extension_status: api_unavailable` |</t>
        </is>
      </c>
    </row>
    <row r="199">
      <c r="A199" t="inlineStr">
        <is>
          <t>| BIS down | S1104-B inherits S1102 degradation |</t>
        </is>
      </c>
    </row>
    <row r="200">
      <c r="A200" t="inlineStr">
        <is>
          <t>| WDI missing a country-year | `EU12_sum` uses `min_count=12` → NaN that year (no partial-basket aggregate); no proxy/interpolation |</t>
        </is>
      </c>
    </row>
    <row r="201">
      <c r="A201" t="inlineStr">
        <is>
          <t>| WDI unreachable | S1104-C `s1104c_status: api_unavailable`; S1104-A/B still emit |</t>
        </is>
      </c>
    </row>
    <row r="202">
      <c r="A202" t="inlineStr"/>
    </row>
    <row r="203">
      <c r="A203" t="inlineStr">
        <is>
          <t>## 7. CD2 divergence pre-disclosure</t>
        </is>
      </c>
    </row>
    <row r="204">
      <c r="A204" t="inlineStr"/>
    </row>
    <row r="205">
      <c r="A205" t="inlineStr">
        <is>
          <t>CD2's S063 reported trade-balance values matching `(X-M)/(X+M)`; RSCD's</t>
        </is>
      </c>
    </row>
    <row r="206">
      <c r="A206" t="inlineStr">
        <is>
          <t>S1104-A reproduces these. **FU-1 finding:** CD2's "S063 relative GDP" column</t>
        </is>
      </c>
    </row>
    <row r="207">
      <c r="A207" t="inlineStr">
        <is>
          <t>is a *mislabeled real-interest-rate differential*, NOT a US/EU12 GDP series —</t>
        </is>
      </c>
    </row>
    <row r="208">
      <c r="A208" t="inlineStr">
        <is>
          <t>it was deliberately NOT ported. RSCD's S1104-C is a fresh, fully-documented</t>
        </is>
      </c>
    </row>
    <row r="209">
      <c r="A209" t="inlineStr">
        <is>
          <t>WDI reconstruction on the fixed pre-1995 EU12 basket (built 2026-07-02).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62" customWidth="1" min="4" max="4"/>
    <col width="62" customWidth="1" min="5" max="5"/>
    <col width="62" customWidth="1" min="6" max="6"/>
    <col width="11" customWidth="1" min="7" max="7"/>
    <col width="62" customWidth="1" min="8" max="8"/>
    <col width="5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S1104-A</t>
        </is>
      </c>
      <c r="B2" t="inlineStr">
        <is>
          <t>IMF_IFS_XM_APPENDIX_11_1</t>
        </is>
      </c>
      <c r="C2" t="inlineStr">
        <is>
          <t>Shaikh (2016) Appendix 11.1 X+M Data (compiled from IMF IFS)</t>
        </is>
      </c>
      <c r="D2" t="inlineStr">
        <is>
          <t>International Monetary Fund (IFS) compiled by Shaikh &amp; Antonopoulos</t>
        </is>
      </c>
      <c r="E2" t="inlineStr">
        <is>
          <t>https://data.imf.org/?sk=4c514d48-b6ba-49ed-8ab9-52b0c1a0179b</t>
        </is>
      </c>
      <c r="F2" t="inlineStr">
        <is>
          <t>USD millions (X, M, X+M); ratio (X/M)</t>
        </is>
      </c>
      <c r="G2" t="inlineStr">
        <is>
          <t>annual</t>
        </is>
      </c>
      <c r="H2" t="inlineStr">
        <is>
          <t>IMF data dissemination terms (public); AMECO Belgium backfill open via Eurostat</t>
        </is>
      </c>
      <c r="I2" t="inlineStr">
        <is>
          <t>verbatim transcription from book appendix workbook</t>
        </is>
      </c>
    </row>
    <row r="3">
      <c r="A3" t="inlineStr">
        <is>
          <t>S1104-B</t>
        </is>
      </c>
      <c r="B3" t="inlineStr">
        <is>
          <t>BLS_ILC_REER_PPI_APPENDIX_11_1</t>
        </is>
      </c>
      <c r="C3" t="inlineStr">
        <is>
          <t>Shaikh (2016) Appendix 11.1 REER (PPI-basis) for US and Japan</t>
        </is>
      </c>
      <c r="D3" t="inlineStr">
        <is>
          <t>BLS International Labor Comparisons + WDI + IMF IFS, composite by Shaikh &amp; Antonopoulos</t>
        </is>
      </c>
      <c r="E3" t="inlineStr">
        <is>
          <t>https://www.bls.gov/ilc/</t>
        </is>
      </c>
      <c r="F3" t="inlineStr">
        <is>
          <t>Index (2002=100)</t>
        </is>
      </c>
      <c r="G3" t="inlineStr">
        <is>
          <t>annual</t>
        </is>
      </c>
      <c r="H3" t="inlineStr">
        <is>
          <t>BLS ILC: US Government public domain (archival); BIS substitute terms per bis.org</t>
        </is>
      </c>
      <c r="I3" t="inlineStr">
        <is>
          <t>verbatim from salvage workbook</t>
        </is>
      </c>
    </row>
    <row r="4">
      <c r="A4" t="inlineStr">
        <is>
          <t>S1104-C</t>
        </is>
      </c>
      <c r="B4" t="inlineStr">
        <is>
          <t>WB_GDP_MKTP_KD_US_EU12</t>
        </is>
      </c>
      <c r="C4" t="inlineStr">
        <is>
          <t>World Bank WDI NY.GDP.MKTP.KD (Real GDP, constant 2015 USD) — US and fixed pre-1995 EU12 basket, for S1104-C relative GDP</t>
        </is>
      </c>
      <c r="D4" t="inlineStr">
        <is>
          <t>World Bank</t>
        </is>
      </c>
      <c r="E4" t="inlineStr">
        <is>
          <t>https://api.worldbank.org/v2/country/USA/indicator/NY.GDP.MKTP.KD?format=json</t>
        </is>
      </c>
      <c r="F4" t="inlineStr">
        <is>
          <t>constant 2015 USD (per country); constructed index (2002=100) for S1104-C</t>
        </is>
      </c>
      <c r="G4" t="inlineStr">
        <is>
          <t>annual</t>
        </is>
      </c>
      <c r="H4" t="inlineStr">
        <is>
          <t>CC-BY-4.0 (World Bank Open Data Terms)</t>
        </is>
      </c>
      <c r="I4" t="inlineStr">
        <is>
          <t>api_open_no_auth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S1104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S1104-A: (X-M)/(X+M) from Appendix11_XMData US block; S1104-B: rxr1 from Appendix11_USJPNdata US block; S1104-C: self-consistency vs independent WDI NY.GDP.MKTP.KD reconstruction (book-figure fidelity unverified)</t>
        </is>
      </c>
    </row>
    <row r="8">
      <c r="A8" t="inlineStr">
        <is>
          <t>n_compared</t>
        </is>
      </c>
      <c r="B8" t="n">
        <v>150</v>
      </c>
    </row>
    <row r="9">
      <c r="A9" t="inlineStr">
        <is>
          <t>mae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divergence_years</t>
        </is>
      </c>
      <c r="B12" t="inlineStr">
        <is>
          <t>[]</t>
        </is>
      </c>
    </row>
    <row r="13">
      <c r="A13" t="inlineStr">
        <is>
          <t>per_subseries</t>
        </is>
      </c>
      <c r="B13" t="inlineStr">
        <is>
          <t>{"S1104-A": {"n": 50, "mae": 0.0, "max_pct_err": 0.0, "div_years": []}, "S1104-B": {"n": 50, "mae": 0.0, "max_pct_err": 0.0, "div_years": []}, "S1104-C": {"n": 50, "mae": 0.0, "max_pct_err": 0.0, "div_years": [], "basis": "self_consistency_vs_independent_wdi_reconstruction (book-figure fidelity UNVERIFIED \u2014 figure digitization pending)"}}</t>
        </is>
      </c>
    </row>
    <row r="14">
      <c r="A14" t="inlineStr">
        <is>
          <t>cd2_comparison</t>
        </is>
      </c>
      <c r="B14" t="inlineStr">
        <is>
          <t>{"note": "CD2 S063 trade-balance samples align with (X-M)/(X+M), not X/M."}</t>
        </is>
      </c>
    </row>
    <row r="15">
      <c r="A15" t="inlineStr">
        <is>
          <t>validated_at</t>
        </is>
      </c>
      <c r="B15" t="inlineStr">
        <is>
          <t>2026-07-11T03:44:22.781251+00:00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S1104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IMF_IFS_XM_APPENDIX_11_1</t>
        </is>
      </c>
    </row>
    <row r="5">
      <c r="A5" t="inlineStr">
        <is>
          <t>construction</t>
        </is>
      </c>
      <c r="B5" t="inlineStr">
        <is>
          <t>composite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"Faithful reconstruction of Figure 11.7 (US trade balance, REER, relative GDP) for the two available lines; per-subseries units split resolves the mixed ratio/index flag. S1104-C (US/EU12 relative GDP) is a documented coverage gap (data_unavailable, not fabricated), so only A and B are emitted.", "date": "2026-06-11"}</t>
        </is>
      </c>
    </row>
    <row r="9">
      <c r="A9" t="inlineStr">
        <is>
          <t>dpr</t>
        </is>
      </c>
      <c r="B9" t="inlineStr">
        <is>
          <t>Technical/docs/series/S1104_DPR.md</t>
        </is>
      </c>
    </row>
    <row r="10">
      <c r="A10" t="inlineStr">
        <is>
          <t>epr</t>
        </is>
      </c>
      <c r="B10" t="inlineStr">
        <is>
          <t>Technical/docs/series/S1104_EPR.md</t>
        </is>
      </c>
    </row>
    <row r="11">
      <c r="A11" t="inlineStr">
        <is>
          <t>notes</t>
        </is>
      </c>
      <c r="B11" t="inlineStr">
        <is>
          <t>Fig 11.7 3-line overlay; Phase 4 unit correction to (X-M)/(X+M) for S1104-A. S1104-C US/EU12 relative real GDP BUILT 2026-07-02 (FU-1 / campaign C6) from WDI NY.GDP.MKTP.KD, fixed pre-1995 EU12 basket, 2002=100; book-figure fidelity machine-assessed 2026-07-02 (M4/Decision 0019): MINOR DIVERGENCE (shape/level faithful; 1974 trough and 2005/2009 endpoints near-exact after rebasing to the printed 2002 base; 1960s plateau prints slightly higher/flatter); human confirmation optional and superseding.</t>
        </is>
      </c>
    </row>
    <row r="12">
      <c r="A12" t="inlineStr">
        <is>
          <t>content_type</t>
        </is>
      </c>
      <c r="B12" t="inlineStr">
        <is>
          <t>time_series</t>
        </is>
      </c>
    </row>
    <row r="13">
      <c r="A13" t="inlineStr">
        <is>
          <t>units</t>
        </is>
      </c>
      <c r="B13" t="inlineStr">
        <is>
          <t>per_subseries</t>
        </is>
      </c>
    </row>
    <row r="14">
      <c r="A14" t="inlineStr">
        <is>
          <t>proxy</t>
        </is>
      </c>
      <c r="B14" t="inlineStr">
        <is>
          <t>true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2026-07-19T13:16:02Z</dcterms:created>
  <dcterms:modified xmlns:dcterms="http://purl.org/dc/terms/" xmlns:xsi="http://www.w3.org/2001/XMLSchema-instance" xsi:type="dcterms:W3CDTF">2026-07-19T13:16:02Z</dcterms:modified>
</cp:coreProperties>
</file>